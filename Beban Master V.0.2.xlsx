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Beban/"/>
    </mc:Choice>
  </mc:AlternateContent>
  <xr:revisionPtr revIDLastSave="1" documentId="13_ncr:1_{EC5DF54F-76B8-4E5D-8288-7FD1026D5A29}" xr6:coauthVersionLast="47" xr6:coauthVersionMax="47" xr10:uidLastSave="{60AAA3F1-D335-49D2-90A9-5860D62646BB}"/>
  <bookViews>
    <workbookView xWindow="-108" yWindow="-108" windowWidth="23256" windowHeight="12456" firstSheet="1" activeTab="4" xr2:uid="{00000000-000D-0000-FFFF-FFFF00000000}"/>
  </bookViews>
  <sheets>
    <sheet name="E2" sheetId="2" state="hidden" r:id="rId1"/>
    <sheet name="Isi data" sheetId="3" r:id="rId2"/>
    <sheet name="Pooled STDV Repeatability  MC" sheetId="5" r:id="rId3"/>
    <sheet name="Koreksi themohygro rotronic 202" sheetId="6" r:id="rId4"/>
    <sheet name="U95 Beban" sheetId="7" r:id="rId5"/>
    <sheet name="Database" sheetId="8" r:id="rId6"/>
    <sheet name="Sertifikat" sheetId="9" r:id="rId7"/>
    <sheet name="Komparasi dengan CSIRO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DyTudvxHcYJhN+eKRP/GT59mwhdgP9qiK3iuajWiXIk="/>
    </ext>
  </extLst>
</workbook>
</file>

<file path=xl/calcChain.xml><?xml version="1.0" encoding="utf-8"?>
<calcChain xmlns="http://schemas.openxmlformats.org/spreadsheetml/2006/main">
  <c r="B90" i="9" l="1"/>
  <c r="B89" i="9"/>
  <c r="F64" i="9" l="1"/>
  <c r="E33" i="9"/>
  <c r="E35" i="9"/>
  <c r="E25" i="9" l="1"/>
  <c r="E23" i="9"/>
  <c r="E21" i="9"/>
  <c r="E19" i="9"/>
  <c r="D58" i="7" l="1" a="1"/>
  <c r="D58" i="7" s="1"/>
  <c r="D57" i="7" a="1"/>
  <c r="D57" i="7" s="1"/>
  <c r="O28" i="7" l="1"/>
  <c r="O27" i="7"/>
  <c r="O26" i="7"/>
  <c r="O25" i="7"/>
  <c r="O24" i="7"/>
  <c r="O23" i="7"/>
  <c r="O22" i="7"/>
  <c r="O21" i="7"/>
  <c r="F104" i="7"/>
  <c r="D17" i="10" l="1"/>
  <c r="D16" i="10"/>
  <c r="I81" i="7"/>
  <c r="I78" i="7"/>
  <c r="I77" i="7"/>
  <c r="I74" i="7"/>
  <c r="I73" i="7"/>
  <c r="I70" i="7"/>
  <c r="I69" i="7"/>
  <c r="I66" i="7"/>
  <c r="I65" i="7"/>
  <c r="I62" i="7"/>
  <c r="I85" i="7" l="1"/>
  <c r="F112" i="7" s="1"/>
  <c r="I83" i="7"/>
  <c r="H98" i="7" a="1"/>
  <c r="H98" i="7" s="1"/>
  <c r="F109" i="7" s="1"/>
  <c r="I109" i="7" s="1"/>
  <c r="K109" i="7" s="1"/>
  <c r="H97" i="7" a="1"/>
  <c r="H97" i="7" s="1"/>
  <c r="F108" i="7" s="1"/>
  <c r="I108" i="7" s="1"/>
  <c r="K108" i="7" s="1"/>
  <c r="H96" i="7" a="1"/>
  <c r="H96" i="7" s="1"/>
  <c r="F107" i="7" s="1"/>
  <c r="I107" i="7" s="1"/>
  <c r="K107" i="7" s="1"/>
  <c r="H95" i="7" a="1"/>
  <c r="H95" i="7" s="1"/>
  <c r="H94" i="7" a="1"/>
  <c r="H94" i="7" s="1"/>
  <c r="F103" i="7"/>
  <c r="I103" i="7" s="1"/>
  <c r="K103" i="7" s="1"/>
  <c r="G17" i="10"/>
  <c r="I17" i="10" s="1"/>
  <c r="E17" i="10"/>
  <c r="G16" i="10"/>
  <c r="I16" i="10" s="1"/>
  <c r="G15" i="10"/>
  <c r="I15" i="10" s="1"/>
  <c r="G14" i="10"/>
  <c r="I14" i="10" s="1"/>
  <c r="K13" i="10"/>
  <c r="I13" i="10"/>
  <c r="J13" i="10" s="1"/>
  <c r="G13" i="10"/>
  <c r="D12" i="10"/>
  <c r="G12" i="10" s="1"/>
  <c r="I12" i="10" s="1"/>
  <c r="D11" i="10"/>
  <c r="G11" i="10" s="1"/>
  <c r="I11" i="10" s="1"/>
  <c r="D10" i="10"/>
  <c r="G10" i="10" s="1"/>
  <c r="I10" i="10" s="1"/>
  <c r="G9" i="10"/>
  <c r="I9" i="10" s="1"/>
  <c r="G8" i="10"/>
  <c r="I8" i="10" s="1"/>
  <c r="G7" i="10"/>
  <c r="I7" i="10" s="1"/>
  <c r="G6" i="10"/>
  <c r="I6" i="10" s="1"/>
  <c r="D78" i="9"/>
  <c r="D77" i="9"/>
  <c r="D76" i="9"/>
  <c r="D74" i="9"/>
  <c r="D73" i="9"/>
  <c r="D72" i="9"/>
  <c r="D71" i="9"/>
  <c r="D70" i="9"/>
  <c r="D69" i="9"/>
  <c r="F65" i="9"/>
  <c r="G27" i="9"/>
  <c r="G114" i="7"/>
  <c r="C109" i="7"/>
  <c r="C108" i="7"/>
  <c r="C107" i="7"/>
  <c r="C106" i="7"/>
  <c r="C105" i="7"/>
  <c r="G97" i="7"/>
  <c r="G96" i="7"/>
  <c r="D96" i="7"/>
  <c r="G95" i="7"/>
  <c r="G98" i="7"/>
  <c r="G94" i="7"/>
  <c r="H81" i="7"/>
  <c r="H79" i="7"/>
  <c r="H77" i="7"/>
  <c r="H75" i="7"/>
  <c r="H73" i="7"/>
  <c r="H71" i="7"/>
  <c r="H69" i="7"/>
  <c r="H67" i="7"/>
  <c r="H65" i="7"/>
  <c r="H63" i="7"/>
  <c r="D56" i="7"/>
  <c r="D55" i="7"/>
  <c r="D42" i="7"/>
  <c r="F42" i="7" s="1"/>
  <c r="I77" i="9" s="1"/>
  <c r="F41" i="7"/>
  <c r="F40" i="7"/>
  <c r="D39" i="7"/>
  <c r="D36" i="7"/>
  <c r="O20" i="7"/>
  <c r="O19" i="7"/>
  <c r="O18" i="7"/>
  <c r="O17" i="7"/>
  <c r="D4" i="6"/>
  <c r="C4" i="6"/>
  <c r="D3" i="6"/>
  <c r="C3" i="6"/>
  <c r="C107" i="5"/>
  <c r="A107" i="5"/>
  <c r="C104" i="5"/>
  <c r="A104" i="5"/>
  <c r="C101" i="5"/>
  <c r="D108" i="5" s="1"/>
  <c r="A101" i="5"/>
  <c r="C98" i="5"/>
  <c r="A98" i="5"/>
  <c r="C95" i="5"/>
  <c r="A95" i="5"/>
  <c r="C89" i="5"/>
  <c r="A89" i="5"/>
  <c r="C86" i="5"/>
  <c r="A86" i="5"/>
  <c r="C83" i="5"/>
  <c r="A83" i="5"/>
  <c r="C80" i="5"/>
  <c r="A80" i="5"/>
  <c r="C77" i="5"/>
  <c r="A77" i="5"/>
  <c r="D90" i="5" s="1"/>
  <c r="C71" i="5"/>
  <c r="A71" i="5"/>
  <c r="C68" i="5"/>
  <c r="A68" i="5"/>
  <c r="C65" i="5"/>
  <c r="A65" i="5"/>
  <c r="C62" i="5"/>
  <c r="A62" i="5"/>
  <c r="C59" i="5"/>
  <c r="A59" i="5"/>
  <c r="D72" i="5" s="1"/>
  <c r="C53" i="5"/>
  <c r="A53" i="5"/>
  <c r="C50" i="5"/>
  <c r="A50" i="5"/>
  <c r="D54" i="5" s="1"/>
  <c r="C47" i="5"/>
  <c r="A47" i="5"/>
  <c r="C44" i="5"/>
  <c r="A44" i="5"/>
  <c r="C41" i="5"/>
  <c r="A41" i="5"/>
  <c r="C35" i="5"/>
  <c r="A35" i="5"/>
  <c r="C32" i="5"/>
  <c r="A32" i="5"/>
  <c r="C29" i="5"/>
  <c r="A29" i="5"/>
  <c r="C26" i="5"/>
  <c r="A26" i="5"/>
  <c r="C23" i="5"/>
  <c r="A23" i="5"/>
  <c r="D36" i="5" s="1"/>
  <c r="C17" i="5"/>
  <c r="A17" i="5"/>
  <c r="C14" i="5"/>
  <c r="A14" i="5"/>
  <c r="C11" i="5"/>
  <c r="A11" i="5"/>
  <c r="C8" i="5"/>
  <c r="A8" i="5"/>
  <c r="C5" i="5"/>
  <c r="A5" i="5"/>
  <c r="D18" i="5" s="1"/>
  <c r="I112" i="7"/>
  <c r="F106" i="7" l="1"/>
  <c r="I106" i="7" s="1"/>
  <c r="K106" i="7" s="1"/>
  <c r="M106" i="7" s="1"/>
  <c r="D49" i="7"/>
  <c r="D50" i="7" s="1"/>
  <c r="F105" i="7"/>
  <c r="I105" i="7" s="1"/>
  <c r="K105" i="7" s="1"/>
  <c r="L105" i="7" s="1"/>
  <c r="I104" i="7"/>
  <c r="H85" i="7"/>
  <c r="C5" i="6"/>
  <c r="H83" i="7"/>
  <c r="D5" i="6"/>
  <c r="D8" i="6" s="1"/>
  <c r="K16" i="10"/>
  <c r="J16" i="10"/>
  <c r="F3" i="5"/>
  <c r="F111" i="7" s="1"/>
  <c r="I111" i="7" s="1"/>
  <c r="K111" i="7" s="1"/>
  <c r="F4" i="5"/>
  <c r="M108" i="7"/>
  <c r="L108" i="7"/>
  <c r="K9" i="10"/>
  <c r="J9" i="10"/>
  <c r="K10" i="10"/>
  <c r="J10" i="10"/>
  <c r="J11" i="10"/>
  <c r="K11" i="10"/>
  <c r="M103" i="7"/>
  <c r="L103" i="7"/>
  <c r="J6" i="10"/>
  <c r="K6" i="10"/>
  <c r="K7" i="10"/>
  <c r="J7" i="10"/>
  <c r="G8" i="5"/>
  <c r="G9" i="5" s="1"/>
  <c r="K14" i="10"/>
  <c r="J14" i="10"/>
  <c r="D97" i="7"/>
  <c r="C8" i="6"/>
  <c r="C9" i="6" s="1"/>
  <c r="C6" i="6"/>
  <c r="C10" i="6" s="1"/>
  <c r="I75" i="9" s="1"/>
  <c r="M109" i="7"/>
  <c r="L109" i="7"/>
  <c r="L106" i="7"/>
  <c r="L107" i="7"/>
  <c r="M107" i="7"/>
  <c r="K8" i="10"/>
  <c r="J8" i="10"/>
  <c r="K12" i="10"/>
  <c r="J12" i="10"/>
  <c r="K15" i="10"/>
  <c r="J15" i="10"/>
  <c r="J17" i="10"/>
  <c r="K17" i="10"/>
  <c r="M105" i="7" l="1"/>
  <c r="K96" i="7"/>
  <c r="F110" i="7" s="1"/>
  <c r="I110" i="7" s="1"/>
  <c r="K88" i="7"/>
  <c r="H87" i="7" s="1"/>
  <c r="J104" i="7"/>
  <c r="K104" i="7" s="1"/>
  <c r="M104" i="7" s="1"/>
  <c r="J110" i="7"/>
  <c r="J112" i="7"/>
  <c r="K112" i="7" s="1"/>
  <c r="M112" i="7" s="1"/>
  <c r="F113" i="7"/>
  <c r="I113" i="7" s="1"/>
  <c r="K113" i="7" s="1"/>
  <c r="D6" i="6"/>
  <c r="D7" i="6" s="1"/>
  <c r="D9" i="6" s="1"/>
  <c r="K19" i="10"/>
  <c r="K18" i="10"/>
  <c r="L111" i="7"/>
  <c r="M111" i="7"/>
  <c r="J19" i="10"/>
  <c r="J21" i="10" s="1"/>
  <c r="J18" i="10"/>
  <c r="J20" i="10" s="1"/>
  <c r="H88" i="7" l="1"/>
  <c r="E84" i="9"/>
  <c r="D10" i="6"/>
  <c r="I76" i="9" s="1"/>
  <c r="K110" i="7"/>
  <c r="M110" i="7" s="1"/>
  <c r="J22" i="10"/>
  <c r="J24" i="10" s="1"/>
  <c r="J26" i="10" s="1"/>
  <c r="L113" i="7"/>
  <c r="M113" i="7"/>
  <c r="L104" i="7"/>
  <c r="L112" i="7"/>
  <c r="J23" i="10"/>
  <c r="J25" i="10" s="1"/>
  <c r="J27" i="10" s="1"/>
  <c r="L110" i="7" l="1"/>
  <c r="L115" i="7" s="1"/>
  <c r="L117" i="7" s="1"/>
  <c r="M115" i="7"/>
  <c r="L119" i="7" l="1"/>
  <c r="L121" i="7" s="1"/>
  <c r="L123" i="7" s="1"/>
  <c r="F114" i="7" s="1"/>
  <c r="I114" i="7" l="1"/>
  <c r="K114" i="7" s="1"/>
  <c r="M114" i="7" l="1"/>
  <c r="M116" i="7" s="1"/>
  <c r="L114" i="7"/>
  <c r="L116" i="7" s="1"/>
  <c r="L118" i="7" s="1"/>
  <c r="L120" i="7" l="1"/>
  <c r="L122" i="7" s="1"/>
  <c r="L124" i="7" l="1"/>
  <c r="G8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<sst xmlns="http://schemas.openxmlformats.org/spreadsheetml/2006/main" count="659" uniqueCount="355">
  <si>
    <t>Class F1</t>
  </si>
  <si>
    <t>Class F2</t>
  </si>
  <si>
    <t>Class M1</t>
  </si>
  <si>
    <t>Class M2</t>
  </si>
  <si>
    <t>Class M3</t>
  </si>
  <si>
    <t>500 g</t>
  </si>
  <si>
    <t>200 g</t>
  </si>
  <si>
    <t>100 g</t>
  </si>
  <si>
    <t>50 g</t>
  </si>
  <si>
    <t>20 g</t>
  </si>
  <si>
    <t>5 g</t>
  </si>
  <si>
    <t>2 g</t>
  </si>
  <si>
    <t>1 g</t>
  </si>
  <si>
    <t>-</t>
  </si>
  <si>
    <t>Nominal 
(g)</t>
  </si>
  <si>
    <t>Konvensional 
(g)</t>
  </si>
  <si>
    <t>Ketidakpastian 
(mg)</t>
  </si>
  <si>
    <t>2000*</t>
  </si>
  <si>
    <t>200*</t>
  </si>
  <si>
    <t>20*</t>
  </si>
  <si>
    <t>2*</t>
  </si>
  <si>
    <t>0,2*</t>
  </si>
  <si>
    <t>0,02*</t>
  </si>
  <si>
    <t>0,002*</t>
  </si>
  <si>
    <t>Deskripsi</t>
  </si>
  <si>
    <t>Isi</t>
  </si>
  <si>
    <t>Satuan</t>
  </si>
  <si>
    <t>No Order</t>
  </si>
  <si>
    <t>Pemilik Alat</t>
  </si>
  <si>
    <t>Alamat Pemilik Alat</t>
  </si>
  <si>
    <t>Lokasi Alat</t>
  </si>
  <si>
    <t>Nama  Alat</t>
  </si>
  <si>
    <t xml:space="preserve">Beban </t>
  </si>
  <si>
    <t xml:space="preserve">Merk </t>
  </si>
  <si>
    <t>Tipe</t>
  </si>
  <si>
    <t>No Seri</t>
  </si>
  <si>
    <t>Kapasitas</t>
  </si>
  <si>
    <t>2000 g</t>
  </si>
  <si>
    <t>No. Identifikasi</t>
  </si>
  <si>
    <t>Tanggal Terima</t>
  </si>
  <si>
    <t>Tanggal ditulis dengan format text</t>
  </si>
  <si>
    <t>Tanggal Kalibrasi</t>
  </si>
  <si>
    <t xml:space="preserve">Mass Comparator </t>
  </si>
  <si>
    <t>No. Seri Mass comp</t>
  </si>
  <si>
    <t>Kalibrator</t>
  </si>
  <si>
    <t xml:space="preserve">E2 </t>
  </si>
  <si>
    <t>Merk Kalibrator</t>
  </si>
  <si>
    <t xml:space="preserve">Kern </t>
  </si>
  <si>
    <t xml:space="preserve">No Seri Kalibrator </t>
  </si>
  <si>
    <t>G982106</t>
  </si>
  <si>
    <t>r1</t>
  </si>
  <si>
    <t>r2</t>
  </si>
  <si>
    <t>g</t>
  </si>
  <si>
    <t>mg</t>
  </si>
  <si>
    <t>Msens</t>
  </si>
  <si>
    <t>U95</t>
  </si>
  <si>
    <t>STDV</t>
  </si>
  <si>
    <t xml:space="preserve">Sensitivity Reciprocal </t>
  </si>
  <si>
    <t>Siklus ke-1</t>
  </si>
  <si>
    <t>u Pooled STDV</t>
  </si>
  <si>
    <t xml:space="preserve">&lt;--------- Pooled Standard Deviation, Menggunakan 6 kali siklus data historis </t>
  </si>
  <si>
    <t xml:space="preserve">r1 </t>
  </si>
  <si>
    <t xml:space="preserve">r3 </t>
  </si>
  <si>
    <t xml:space="preserve">r4 </t>
  </si>
  <si>
    <t>&lt;--------- Menggunkaan rumus SNSU PK.M-04:2.2022</t>
  </si>
  <si>
    <t xml:space="preserve">r5 </t>
  </si>
  <si>
    <t xml:space="preserve">r6 </t>
  </si>
  <si>
    <t xml:space="preserve">r7 </t>
  </si>
  <si>
    <t xml:space="preserve">r8 </t>
  </si>
  <si>
    <t>Tabel maksimum nilai F pada perhitungan F-Test</t>
  </si>
  <si>
    <t>F TEST</t>
  </si>
  <si>
    <t>n (siklus)</t>
  </si>
  <si>
    <r>
      <rPr>
        <b/>
        <sz val="11"/>
        <color theme="1"/>
        <rFont val="Calibri"/>
        <family val="2"/>
      </rPr>
      <t>v</t>
    </r>
    <r>
      <rPr>
        <b/>
        <vertAlign val="subscript"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</rPr>
      <t>=9</t>
    </r>
  </si>
  <si>
    <t>F-Test value</t>
  </si>
  <si>
    <t xml:space="preserve">r9 </t>
  </si>
  <si>
    <t xml:space="preserve">r10 </t>
  </si>
  <si>
    <t xml:space="preserve">r11 </t>
  </si>
  <si>
    <t xml:space="preserve">R12 </t>
  </si>
  <si>
    <t>Judgement</t>
  </si>
  <si>
    <t xml:space="preserve">r13 </t>
  </si>
  <si>
    <t xml:space="preserve">r14 </t>
  </si>
  <si>
    <t xml:space="preserve">r15 </t>
  </si>
  <si>
    <t xml:space="preserve">r16 </t>
  </si>
  <si>
    <t xml:space="preserve">r17 </t>
  </si>
  <si>
    <t xml:space="preserve">r18 </t>
  </si>
  <si>
    <t xml:space="preserve">r19 </t>
  </si>
  <si>
    <t xml:space="preserve">r20 </t>
  </si>
  <si>
    <t>Siklus ke-2</t>
  </si>
  <si>
    <t>Siklus ke-3</t>
  </si>
  <si>
    <t>Siklus ke-4</t>
  </si>
  <si>
    <t>Siklus ke-5</t>
  </si>
  <si>
    <t>Siklus ke-6</t>
  </si>
  <si>
    <r>
      <rPr>
        <sz val="10"/>
        <color rgb="FF000000"/>
        <rFont val="Calibri"/>
        <family val="2"/>
      </rPr>
      <t>Suhu (</t>
    </r>
    <r>
      <rPr>
        <sz val="10"/>
        <color rgb="FF000000"/>
        <rFont val="Calibri"/>
        <family val="2"/>
      </rPr>
      <t>°</t>
    </r>
    <r>
      <rPr>
        <sz val="8"/>
        <color rgb="FF000000"/>
        <rFont val="Calibri"/>
        <family val="2"/>
      </rPr>
      <t>C)</t>
    </r>
  </si>
  <si>
    <t>%RH</t>
  </si>
  <si>
    <t>Thermohygro Rotronic data 2025</t>
  </si>
  <si>
    <t>Awal</t>
  </si>
  <si>
    <t>Koreksi suhu</t>
  </si>
  <si>
    <t xml:space="preserve">Koreksi RH </t>
  </si>
  <si>
    <t>Akhir</t>
  </si>
  <si>
    <t>T (°C)</t>
  </si>
  <si>
    <t xml:space="preserve">Koreksi  </t>
  </si>
  <si>
    <t>RH (%)</t>
  </si>
  <si>
    <t>Rata2</t>
  </si>
  <si>
    <t>Terkoreksi</t>
  </si>
  <si>
    <t>Fluktuasi suhu</t>
  </si>
  <si>
    <t>Flu+U95</t>
  </si>
  <si>
    <t>Kondisi Ruang</t>
  </si>
  <si>
    <t xml:space="preserve">F1 </t>
  </si>
  <si>
    <t>M1</t>
  </si>
  <si>
    <t xml:space="preserve">E2 METTLER TOLEDO </t>
  </si>
  <si>
    <t>TABEL MPE OIML R111-1</t>
  </si>
  <si>
    <t>Massa konvensional 
(g)</t>
  </si>
  <si>
    <t>U95 
(mg)</t>
  </si>
  <si>
    <t>Identitas</t>
  </si>
  <si>
    <t>Nominal Value (g)</t>
  </si>
  <si>
    <r>
      <rPr>
        <b/>
        <sz val="10"/>
        <color theme="1"/>
        <rFont val="Arial"/>
        <family val="2"/>
      </rPr>
      <t>Class E</t>
    </r>
    <r>
      <rPr>
        <b/>
        <sz val="9"/>
        <color theme="1"/>
        <rFont val="Arial"/>
        <family val="2"/>
      </rPr>
      <t>1</t>
    </r>
  </si>
  <si>
    <r>
      <rPr>
        <b/>
        <sz val="10"/>
        <color theme="1"/>
        <rFont val="Arial"/>
        <family val="2"/>
      </rPr>
      <t>Class E</t>
    </r>
    <r>
      <rPr>
        <b/>
        <sz val="9"/>
        <color theme="1"/>
        <rFont val="Arial"/>
        <family val="2"/>
      </rPr>
      <t>2</t>
    </r>
  </si>
  <si>
    <t>50000 g</t>
  </si>
  <si>
    <t>M2</t>
  </si>
  <si>
    <t>20000 g</t>
  </si>
  <si>
    <t>M3</t>
  </si>
  <si>
    <t>10000 g</t>
  </si>
  <si>
    <t>2000t</t>
  </si>
  <si>
    <t>M4</t>
  </si>
  <si>
    <t>5000 g</t>
  </si>
  <si>
    <t>200t</t>
  </si>
  <si>
    <t>M5</t>
  </si>
  <si>
    <t>M6</t>
  </si>
  <si>
    <t>1000 g</t>
  </si>
  <si>
    <t>M7</t>
  </si>
  <si>
    <t>M8</t>
  </si>
  <si>
    <t>20t</t>
  </si>
  <si>
    <t>M9</t>
  </si>
  <si>
    <t>M10</t>
  </si>
  <si>
    <t>M11</t>
  </si>
  <si>
    <t>M12</t>
  </si>
  <si>
    <t>10 g</t>
  </si>
  <si>
    <t>2t</t>
  </si>
  <si>
    <t>M13</t>
  </si>
  <si>
    <t>M14</t>
  </si>
  <si>
    <t>M15</t>
  </si>
  <si>
    <t>M16</t>
  </si>
  <si>
    <t>0,5 g</t>
  </si>
  <si>
    <t>0,2t</t>
  </si>
  <si>
    <t>20LZ1</t>
  </si>
  <si>
    <t>0,2 g</t>
  </si>
  <si>
    <t>10LZ1</t>
  </si>
  <si>
    <t>0,1 g</t>
  </si>
  <si>
    <t>5A</t>
  </si>
  <si>
    <t>0,05 g</t>
  </si>
  <si>
    <t>10A</t>
  </si>
  <si>
    <t>0,02 g</t>
  </si>
  <si>
    <t>A</t>
  </si>
  <si>
    <t>0,01 g</t>
  </si>
  <si>
    <t>B</t>
  </si>
  <si>
    <t>0,005 g</t>
  </si>
  <si>
    <t>C</t>
  </si>
  <si>
    <t>0,002 g</t>
  </si>
  <si>
    <t>D</t>
  </si>
  <si>
    <t>0,001 g</t>
  </si>
  <si>
    <t>E</t>
  </si>
  <si>
    <t>F</t>
  </si>
  <si>
    <t>G</t>
  </si>
  <si>
    <t>ISI DATA</t>
  </si>
  <si>
    <t>H</t>
  </si>
  <si>
    <t xml:space="preserve">Temperatur Awal </t>
  </si>
  <si>
    <t xml:space="preserve">°C </t>
  </si>
  <si>
    <r>
      <rPr>
        <sz val="11"/>
        <color theme="1"/>
        <rFont val="Calibri"/>
        <family val="2"/>
      </rPr>
      <t xml:space="preserve">&lt;-----------   </t>
    </r>
    <r>
      <rPr>
        <b/>
        <sz val="11"/>
        <color theme="1"/>
        <rFont val="Calibri"/>
        <family val="2"/>
      </rPr>
      <t xml:space="preserve">Warna kuning, isian manual </t>
    </r>
  </si>
  <si>
    <t>I</t>
  </si>
  <si>
    <t>Temperatur Akhir</t>
  </si>
  <si>
    <t>Temperatur rata2</t>
  </si>
  <si>
    <t>Kelembaban Awal</t>
  </si>
  <si>
    <t>Kelembaban Akhir</t>
  </si>
  <si>
    <t>Kelembapan rata2</t>
  </si>
  <si>
    <t>Tekanan awal</t>
  </si>
  <si>
    <t>hPa</t>
  </si>
  <si>
    <t>mmHg</t>
  </si>
  <si>
    <t xml:space="preserve">1 hPa </t>
  </si>
  <si>
    <t>Tekanan akhir</t>
  </si>
  <si>
    <t>Tekanan rata2</t>
  </si>
  <si>
    <t>AT yang digunakan</t>
  </si>
  <si>
    <t>AT Standar 1</t>
  </si>
  <si>
    <r>
      <rPr>
        <sz val="11"/>
        <color theme="1"/>
        <rFont val="Calibri"/>
        <family val="2"/>
      </rPr>
      <t xml:space="preserve">&lt;-----------   </t>
    </r>
    <r>
      <rPr>
        <b/>
        <sz val="11"/>
        <color theme="1"/>
        <rFont val="Calibri"/>
        <family val="2"/>
      </rPr>
      <t xml:space="preserve">Warna </t>
    </r>
    <r>
      <rPr>
        <b/>
        <sz val="11"/>
        <color rgb="FF00B050"/>
        <rFont val="Calibri"/>
        <family val="2"/>
      </rPr>
      <t>Hijau</t>
    </r>
    <r>
      <rPr>
        <b/>
        <sz val="11"/>
        <color theme="1"/>
        <rFont val="Calibri"/>
        <family val="2"/>
      </rPr>
      <t xml:space="preserve">, Dropdown pilihan </t>
    </r>
  </si>
  <si>
    <t>AT Standar 2</t>
  </si>
  <si>
    <t xml:space="preserve"> </t>
  </si>
  <si>
    <t>AT Standar 3</t>
  </si>
  <si>
    <t>AT Standar 4</t>
  </si>
  <si>
    <t>AT Standar  5</t>
  </si>
  <si>
    <t>Mass Comp</t>
  </si>
  <si>
    <t>Resolusi</t>
  </si>
  <si>
    <t>`</t>
  </si>
  <si>
    <r>
      <rPr>
        <sz val="11"/>
        <color theme="1"/>
        <rFont val="Calibri"/>
        <family val="2"/>
      </rPr>
      <t xml:space="preserve">&lt;-----------  </t>
    </r>
    <r>
      <rPr>
        <b/>
        <sz val="11"/>
        <color theme="1"/>
        <rFont val="Calibri"/>
        <family val="2"/>
      </rPr>
      <t xml:space="preserve"> Sudah otomatis, jangan diubah </t>
    </r>
  </si>
  <si>
    <r>
      <rPr>
        <sz val="11"/>
        <color theme="1"/>
        <rFont val="Calibri"/>
        <family val="2"/>
      </rPr>
      <t xml:space="preserve">&lt;-----------  </t>
    </r>
    <r>
      <rPr>
        <b/>
        <sz val="11"/>
        <color theme="1"/>
        <rFont val="Calibri"/>
        <family val="2"/>
      </rPr>
      <t xml:space="preserve"> Sudah otomatis, jangan diubah </t>
    </r>
  </si>
  <si>
    <t>Massa standard</t>
  </si>
  <si>
    <r>
      <rPr>
        <sz val="11"/>
        <color theme="1"/>
        <rFont val="Calibri"/>
        <family val="2"/>
      </rPr>
      <t xml:space="preserve">&lt;-----------   </t>
    </r>
    <r>
      <rPr>
        <b/>
        <sz val="11"/>
        <color theme="1"/>
        <rFont val="Calibri"/>
        <family val="2"/>
      </rPr>
      <t xml:space="preserve">Sudah otomatis, jangan diubah </t>
    </r>
  </si>
  <si>
    <t xml:space="preserve">U95 standard </t>
  </si>
  <si>
    <r>
      <rPr>
        <sz val="11"/>
        <color theme="1"/>
        <rFont val="Calibri"/>
        <family val="2"/>
      </rPr>
      <t xml:space="preserve">&lt;-----------   </t>
    </r>
    <r>
      <rPr>
        <b/>
        <sz val="11"/>
        <color theme="1"/>
        <rFont val="Calibri"/>
        <family val="2"/>
      </rPr>
      <t xml:space="preserve">Sudah otomatis, jangan diubah </t>
    </r>
  </si>
  <si>
    <t>X1</t>
  </si>
  <si>
    <t>X2</t>
  </si>
  <si>
    <t>X3</t>
  </si>
  <si>
    <t>X4</t>
  </si>
  <si>
    <t>X5</t>
  </si>
  <si>
    <t>dm</t>
  </si>
  <si>
    <t>( g )</t>
  </si>
  <si>
    <t>t1</t>
  </si>
  <si>
    <t>t2</t>
  </si>
  <si>
    <t>r3</t>
  </si>
  <si>
    <t>t3</t>
  </si>
  <si>
    <t>t4</t>
  </si>
  <si>
    <t>r4</t>
  </si>
  <si>
    <t>r5</t>
  </si>
  <si>
    <t>t5</t>
  </si>
  <si>
    <t>t6</t>
  </si>
  <si>
    <t>r6</t>
  </si>
  <si>
    <t>r7</t>
  </si>
  <si>
    <t>t7</t>
  </si>
  <si>
    <t>t8</t>
  </si>
  <si>
    <t>r8</t>
  </si>
  <si>
    <t>r9</t>
  </si>
  <si>
    <t>t9</t>
  </si>
  <si>
    <t>t10</t>
  </si>
  <si>
    <t>r10</t>
  </si>
  <si>
    <t>Mean</t>
  </si>
  <si>
    <t>Stdev</t>
  </si>
  <si>
    <t>Mt</t>
  </si>
  <si>
    <t>UNCERTAINTY BUDGET SEBAGAI PENDUKUNG KLAIM BMC</t>
  </si>
  <si>
    <t xml:space="preserve">Besaran yang diukur : </t>
  </si>
  <si>
    <t>Massa</t>
  </si>
  <si>
    <t>Jenis alat yang dikalibrasi :</t>
  </si>
  <si>
    <t>Beban</t>
  </si>
  <si>
    <t>Standar yang digunakan :</t>
  </si>
  <si>
    <t>Titik  Ukur :</t>
  </si>
  <si>
    <r>
      <rPr>
        <sz val="10"/>
        <color theme="1"/>
        <rFont val="Times New Roman"/>
        <family val="1"/>
      </rPr>
      <t>Model matematis   :               Mt= Ms +S</t>
    </r>
    <r>
      <rPr>
        <sz val="10"/>
        <color theme="1"/>
        <rFont val="Aptos Narrow"/>
        <family val="2"/>
      </rPr>
      <t>×</t>
    </r>
    <r>
      <rPr>
        <sz val="10"/>
        <color theme="1"/>
        <rFont val="Times New Roman"/>
        <family val="1"/>
      </rPr>
      <t xml:space="preserve">dm,  dengan Mt= massa massa konvensional yang dikalibrasi, Ms = massa standar,  dm= koreksi alat, S = Sensitivitas resiprokal (Sensitivity Reciprocal) </t>
    </r>
  </si>
  <si>
    <t>Komponen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</si>
  <si>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</si>
  <si>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</si>
  <si>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</si>
  <si>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</si>
  <si>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</si>
  <si>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</si>
  <si>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</si>
  <si>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2</t>
    </r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</si>
  <si>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4</t>
    </r>
    <r>
      <rPr>
        <b/>
        <sz val="10"/>
        <color theme="1"/>
        <rFont val="Times New Roman"/>
        <family val="1"/>
      </rPr>
      <t>/vi</t>
    </r>
  </si>
  <si>
    <t xml:space="preserve">Callibration of Mr </t>
  </si>
  <si>
    <t>Normal</t>
  </si>
  <si>
    <t>Callibration of Msens</t>
  </si>
  <si>
    <t>Instability in Msens</t>
  </si>
  <si>
    <t xml:space="preserve">Balance Repeatability </t>
  </si>
  <si>
    <t>Balance Repeatability r sens</t>
  </si>
  <si>
    <t>Buoyancy</t>
  </si>
  <si>
    <t>Rectangular</t>
  </si>
  <si>
    <t>Rounding</t>
  </si>
  <si>
    <t>Sums</t>
  </si>
  <si>
    <t>Ketidakpastian baku gabungan, uc, mg</t>
  </si>
  <si>
    <t>Dearajat kebebasan efektif, veff</t>
  </si>
  <si>
    <t>Faktor cakupan, k-student for veff and CL 95%</t>
  </si>
  <si>
    <t>Ketidakpastian bentangan, U = kuc, mg</t>
  </si>
  <si>
    <t>Rounding ketidakpastian bentangan, U = kuc, mg</t>
  </si>
  <si>
    <t>KAN</t>
  </si>
  <si>
    <t xml:space="preserve">Titik Ukur </t>
  </si>
  <si>
    <t xml:space="preserve">Kalibrator </t>
  </si>
  <si>
    <t>Merek</t>
  </si>
  <si>
    <t xml:space="preserve">No S/N Timbangan </t>
  </si>
  <si>
    <t>Resolusi timbangan</t>
  </si>
  <si>
    <t xml:space="preserve">Nominal </t>
  </si>
  <si>
    <t xml:space="preserve">CMC KAN </t>
  </si>
  <si>
    <t xml:space="preserve">Nominal Timbangan </t>
  </si>
  <si>
    <t xml:space="preserve">Merek </t>
  </si>
  <si>
    <t xml:space="preserve">Nomor Seri </t>
  </si>
  <si>
    <t>Kern Germany</t>
  </si>
  <si>
    <t>YCS</t>
  </si>
  <si>
    <t>YCS-01-653-00</t>
  </si>
  <si>
    <t>Mettler Toledo</t>
  </si>
  <si>
    <t>0,02t</t>
  </si>
  <si>
    <t>0,002t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</si>
  <si>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</si>
  <si>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</si>
  <si>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</si>
  <si>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</si>
  <si>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</si>
  <si>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r>
      <rPr>
        <i/>
        <sz val="8"/>
        <color rgb="FF000000"/>
        <rFont val="Bookman Old Style"/>
        <family val="1"/>
      </rPr>
      <t>Instrument Name</t>
    </r>
    <r>
      <rPr>
        <sz val="11"/>
        <color rgb="FF000000"/>
        <rFont val="Bookman Old Style"/>
        <family val="1"/>
      </rPr>
      <t xml:space="preserve"> </t>
    </r>
  </si>
  <si>
    <r>
      <rPr>
        <sz val="11"/>
        <color rgb="FF000000"/>
        <rFont val="Bookman Old Style"/>
        <family val="1"/>
      </rP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</si>
  <si>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</si>
  <si>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 xml:space="preserve">Type </t>
  </si>
  <si>
    <t>Nomor Identifikasi</t>
  </si>
  <si>
    <t>Identification Number</t>
  </si>
  <si>
    <t>Serial Number</t>
  </si>
  <si>
    <t>Lain-lain</t>
  </si>
  <si>
    <t>Others</t>
  </si>
  <si>
    <t>: -</t>
  </si>
  <si>
    <t>IDENTITAS PEMILIK</t>
  </si>
  <si>
    <t>Owner’s Identification</t>
  </si>
  <si>
    <r>
      <rPr>
        <sz val="11"/>
        <color rgb="FF000000"/>
        <rFont val="Bookman Old Style"/>
        <family val="1"/>
      </rP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</si>
  <si>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</si>
  <si>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rPr>
        <sz val="11"/>
        <color rgb="FF000000"/>
        <rFont val="Bookman Old Style"/>
        <family val="1"/>
      </rP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</si>
  <si>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</si>
  <si>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 1 dari 2 halaman</t>
  </si>
  <si>
    <t>Page          of            page</t>
  </si>
  <si>
    <t>Date of Issue</t>
  </si>
  <si>
    <t>Nomor</t>
  </si>
  <si>
    <t>No. Order</t>
  </si>
  <si>
    <t>Halaman</t>
  </si>
  <si>
    <t>: 2 dari 2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</si>
  <si>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</si>
  <si>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</si>
  <si>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</si>
  <si>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</si>
  <si>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</si>
  <si>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</si>
  <si>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</si>
  <si>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</si>
  <si>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</si>
  <si>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: CSIRO 2010</t>
  </si>
  <si>
    <t>Temperatur</t>
  </si>
  <si>
    <t>Kelembaban</t>
  </si>
  <si>
    <t>Tekanan</t>
  </si>
  <si>
    <t>HASIL KALIBRASI</t>
  </si>
  <si>
    <t>No.</t>
  </si>
  <si>
    <t>Nilai Nominal</t>
  </si>
  <si>
    <t>Massa konvensional</t>
  </si>
  <si>
    <t>Ketidakpastian U95% (k=2)</t>
  </si>
  <si>
    <t>( mg )</t>
  </si>
  <si>
    <t>Catatan :</t>
  </si>
  <si>
    <t xml:space="preserve">Dari CSIRO 2010 </t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</si>
  <si>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2</t>
    </r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</si>
  <si>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4</t>
    </r>
    <r>
      <rPr>
        <b/>
        <sz val="10"/>
        <color theme="1"/>
        <rFont val="Times New Roman"/>
        <family val="1"/>
      </rPr>
      <t>/vi</t>
    </r>
  </si>
  <si>
    <t>Instability in 50 g</t>
  </si>
  <si>
    <t>Instability in 5 g</t>
  </si>
  <si>
    <t>Instability in 0 g</t>
  </si>
  <si>
    <t>r2  (Sensitivity)</t>
  </si>
  <si>
    <t>(g)</t>
  </si>
  <si>
    <t>rsens (Sensitivity )</t>
  </si>
  <si>
    <t>MPE Msens</t>
  </si>
  <si>
    <t xml:space="preserve">U95 Msens </t>
  </si>
  <si>
    <t>:</t>
  </si>
  <si>
    <t xml:space="preserve"> Anak Timbangan</t>
  </si>
  <si>
    <t xml:space="preserve"> Kapasitas </t>
  </si>
  <si>
    <t xml:space="preserve"> Kecermatan </t>
  </si>
  <si>
    <t xml:space="preserve">K023_2026 </t>
  </si>
  <si>
    <t>PT GATRA PERDANA TRUSTRUE</t>
  </si>
  <si>
    <t>Kawasan Komplek Ruko Golden BCI Blok T3 No. 12 Bengkong Laut, Kec. Bengkong, Kota Batam - Kepulauan Riau</t>
  </si>
  <si>
    <t>Lab.Massa BBSPJILM</t>
  </si>
  <si>
    <t>TB-10 Weight LIFT Test Bar</t>
  </si>
  <si>
    <t>10 lb</t>
  </si>
  <si>
    <t>15 Januari 2026</t>
  </si>
  <si>
    <t>19 Januari 2026</t>
  </si>
  <si>
    <t>Penguji Mutu Barang Ahli Madya,</t>
  </si>
  <si>
    <t>Elis Sofianti</t>
  </si>
  <si>
    <t>NIP. 197109301994032002</t>
  </si>
  <si>
    <t>Diterbitkan Tanggal 22 Januari 2026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</si>
  <si>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>: 0002-2.11/A1/KALIBRASI BBLM/I/2026</t>
    </r>
  </si>
  <si>
    <t xml:space="preserve">     yang tertelusur ke SI melalui LK-001-IDN.</t>
  </si>
  <si>
    <t xml:space="preserve">2.  Sertifikat dengan nomor 0002-2.11/KALIBRASI BBLM/I/2026 berstatus tidak aktif </t>
  </si>
  <si>
    <t xml:space="preserve">     dan digantikan  dengan sertifikat nomor 0002-2.11/A1/KALIBRASI BBLM/I/2026</t>
  </si>
  <si>
    <t xml:space="preserve">     dengan perubahan pada nilai ketidakpastian U95%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</si>
</sst>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,##0.00000"/>
    <numFmt numFmtId="166" formatCode="0.000"/>
    <numFmt numFmtId="167" formatCode="0.00000"/>
    <numFmt numFmtId="168" formatCode="0.000000"/>
    <numFmt numFmtId="169" formatCode="0.0000E+00"/>
    <numFmt numFmtId="170" formatCode="0.0000"/>
    <numFmt numFmtId="171" formatCode="0.0000000"/>
    <numFmt numFmtId="172" formatCode="0E+00"/>
  </numFmts>
  <fonts count="5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i/>
      <u/>
      <sz val="10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mbria"/>
      <family val="1"/>
    </font>
    <font>
      <b/>
      <u/>
      <sz val="11"/>
      <color theme="1"/>
      <name val="Calibri"/>
      <family val="2"/>
    </font>
    <font>
      <sz val="10"/>
      <color rgb="FF444444"/>
      <name val="Roboto"/>
    </font>
    <font>
      <b/>
      <i/>
      <u/>
      <sz val="11"/>
      <color theme="1"/>
      <name val="Calibri"/>
      <family val="2"/>
    </font>
    <font>
      <b/>
      <sz val="11"/>
      <color rgb="FF548DD4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b/>
      <u/>
      <sz val="11"/>
      <color theme="1"/>
      <name val="Bookman Old Style"/>
      <family val="1"/>
    </font>
    <font>
      <b/>
      <i/>
      <sz val="8"/>
      <color theme="1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sz val="11"/>
      <color theme="1"/>
      <name val="Bookman Old Style"/>
      <family val="1"/>
    </font>
    <font>
      <b/>
      <vertAlign val="subscript"/>
      <sz val="11"/>
      <color theme="1"/>
      <name val="Calibri"/>
      <family val="2"/>
    </font>
    <font>
      <sz val="8"/>
      <color rgb="FF000000"/>
      <name val="Calibri"/>
      <family val="2"/>
    </font>
    <font>
      <b/>
      <sz val="9"/>
      <color theme="1"/>
      <name val="Arial"/>
      <family val="2"/>
    </font>
    <font>
      <b/>
      <sz val="11"/>
      <color rgb="FF00B050"/>
      <name val="Calibri"/>
      <family val="2"/>
    </font>
    <font>
      <sz val="10"/>
      <color theme="1"/>
      <name val="Aptos Narrow"/>
      <family val="2"/>
    </font>
    <font>
      <b/>
      <vertAlign val="superscript"/>
      <sz val="10"/>
      <color theme="1"/>
      <name val="Times New Roman"/>
      <family val="1"/>
    </font>
    <font>
      <i/>
      <sz val="11"/>
      <color rgb="FF000000"/>
      <name val="Bookman Old Style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b/>
      <sz val="11"/>
      <name val="Bookman Old Style"/>
      <family val="1"/>
    </font>
    <font>
      <sz val="11"/>
      <name val="Bookman Old Style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7"/>
    <xf numFmtId="0" fontId="8" fillId="0" borderId="7">
      <alignment vertical="center"/>
    </xf>
  </cellStyleXfs>
  <cellXfs count="257">
    <xf numFmtId="0" fontId="0" fillId="0" borderId="0" xfId="0"/>
    <xf numFmtId="14" fontId="4" fillId="0" borderId="0" xfId="0" applyNumberFormat="1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0" fontId="7" fillId="0" borderId="0" xfId="0" applyFont="1"/>
    <xf numFmtId="0" fontId="4" fillId="4" borderId="1" xfId="0" applyFont="1" applyFill="1" applyBorder="1" applyAlignment="1">
      <alignment horizontal="left"/>
    </xf>
    <xf numFmtId="0" fontId="4" fillId="0" borderId="0" xfId="0" applyFont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9" fillId="0" borderId="0" xfId="0" applyFont="1"/>
    <xf numFmtId="0" fontId="5" fillId="0" borderId="0" xfId="0" applyFont="1"/>
    <xf numFmtId="0" fontId="5" fillId="4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5" xfId="0" applyFont="1" applyBorder="1"/>
    <xf numFmtId="0" fontId="10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2" fontId="4" fillId="0" borderId="0" xfId="0" applyNumberFormat="1" applyFont="1"/>
    <xf numFmtId="0" fontId="5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1" fillId="0" borderId="1" xfId="0" applyFont="1" applyBorder="1"/>
    <xf numFmtId="0" fontId="6" fillId="0" borderId="1" xfId="0" applyFont="1" applyBorder="1"/>
    <xf numFmtId="0" fontId="12" fillId="0" borderId="0" xfId="0" applyFont="1"/>
    <xf numFmtId="0" fontId="6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/>
    </xf>
    <xf numFmtId="1" fontId="6" fillId="0" borderId="1" xfId="0" applyNumberFormat="1" applyFont="1" applyBorder="1"/>
    <xf numFmtId="164" fontId="6" fillId="0" borderId="1" xfId="0" applyNumberFormat="1" applyFont="1" applyBorder="1"/>
    <xf numFmtId="0" fontId="7" fillId="7" borderId="1" xfId="0" applyFont="1" applyFill="1" applyBorder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vertical="center"/>
    </xf>
    <xf numFmtId="165" fontId="16" fillId="0" borderId="1" xfId="0" applyNumberFormat="1" applyFont="1" applyBorder="1"/>
    <xf numFmtId="168" fontId="4" fillId="0" borderId="1" xfId="0" applyNumberFormat="1" applyFont="1" applyBorder="1" applyAlignment="1">
      <alignment horizontal="right"/>
    </xf>
    <xf numFmtId="0" fontId="18" fillId="0" borderId="0" xfId="0" applyFont="1"/>
    <xf numFmtId="0" fontId="4" fillId="0" borderId="1" xfId="0" applyFont="1" applyBorder="1" applyAlignment="1">
      <alignment horizontal="left"/>
    </xf>
    <xf numFmtId="0" fontId="5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6" fillId="2" borderId="7" xfId="0" applyFont="1" applyFill="1" applyBorder="1"/>
    <xf numFmtId="1" fontId="4" fillId="0" borderId="0" xfId="0" applyNumberFormat="1" applyFont="1"/>
    <xf numFmtId="0" fontId="19" fillId="0" borderId="0" xfId="0" applyFont="1"/>
    <xf numFmtId="0" fontId="20" fillId="0" borderId="1" xfId="0" applyFont="1" applyBorder="1"/>
    <xf numFmtId="0" fontId="4" fillId="2" borderId="7" xfId="0" applyFont="1" applyFill="1" applyBorder="1" applyAlignment="1">
      <alignment horizontal="lef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6" fontId="4" fillId="0" borderId="8" xfId="0" applyNumberFormat="1" applyFont="1" applyBorder="1"/>
    <xf numFmtId="0" fontId="4" fillId="0" borderId="9" xfId="0" applyFont="1" applyBorder="1"/>
    <xf numFmtId="0" fontId="4" fillId="0" borderId="14" xfId="0" applyFont="1" applyBorder="1"/>
    <xf numFmtId="0" fontId="4" fillId="0" borderId="15" xfId="0" applyFont="1" applyBorder="1"/>
    <xf numFmtId="166" fontId="4" fillId="0" borderId="16" xfId="0" applyNumberFormat="1" applyFont="1" applyBorder="1"/>
    <xf numFmtId="167" fontId="4" fillId="0" borderId="14" xfId="0" applyNumberFormat="1" applyFont="1" applyBorder="1"/>
    <xf numFmtId="0" fontId="4" fillId="0" borderId="16" xfId="0" applyFont="1" applyBorder="1"/>
    <xf numFmtId="0" fontId="4" fillId="0" borderId="11" xfId="0" applyFont="1" applyBorder="1"/>
    <xf numFmtId="0" fontId="4" fillId="0" borderId="12" xfId="0" applyFont="1" applyBorder="1"/>
    <xf numFmtId="166" fontId="4" fillId="0" borderId="11" xfId="0" applyNumberFormat="1" applyFont="1" applyBorder="1"/>
    <xf numFmtId="167" fontId="4" fillId="0" borderId="13" xfId="0" applyNumberFormat="1" applyFont="1" applyBorder="1"/>
    <xf numFmtId="169" fontId="4" fillId="0" borderId="1" xfId="0" applyNumberFormat="1" applyFont="1" applyBorder="1"/>
    <xf numFmtId="168" fontId="4" fillId="0" borderId="0" xfId="0" applyNumberFormat="1" applyFont="1"/>
    <xf numFmtId="170" fontId="4" fillId="0" borderId="0" xfId="0" applyNumberFormat="1" applyFont="1"/>
    <xf numFmtId="167" fontId="21" fillId="0" borderId="1" xfId="0" applyNumberFormat="1" applyFont="1" applyBorder="1"/>
    <xf numFmtId="167" fontId="4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4" fillId="0" borderId="0" xfId="0" applyFont="1"/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" fontId="23" fillId="0" borderId="0" xfId="0" applyNumberFormat="1" applyFont="1"/>
    <xf numFmtId="0" fontId="26" fillId="0" borderId="0" xfId="0" applyFont="1" applyAlignment="1">
      <alignment horizontal="center"/>
    </xf>
    <xf numFmtId="0" fontId="27" fillId="0" borderId="0" xfId="0" applyFont="1"/>
    <xf numFmtId="0" fontId="22" fillId="11" borderId="1" xfId="0" applyFont="1" applyFill="1" applyBorder="1" applyAlignment="1">
      <alignment horizontal="center"/>
    </xf>
    <xf numFmtId="0" fontId="22" fillId="11" borderId="17" xfId="0" applyFont="1" applyFill="1" applyBorder="1" applyAlignment="1">
      <alignment horizontal="center"/>
    </xf>
    <xf numFmtId="0" fontId="22" fillId="11" borderId="18" xfId="0" applyFont="1" applyFill="1" applyBorder="1" applyAlignment="1">
      <alignment horizontal="center"/>
    </xf>
    <xf numFmtId="0" fontId="23" fillId="0" borderId="19" xfId="0" applyFont="1" applyBorder="1"/>
    <xf numFmtId="0" fontId="23" fillId="0" borderId="19" xfId="0" applyFont="1" applyBorder="1" applyAlignment="1">
      <alignment horizontal="center"/>
    </xf>
    <xf numFmtId="0" fontId="23" fillId="0" borderId="20" xfId="0" applyFont="1" applyBorder="1"/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/>
    <xf numFmtId="0" fontId="23" fillId="0" borderId="22" xfId="0" applyFont="1" applyBorder="1" applyAlignment="1">
      <alignment horizontal="center"/>
    </xf>
    <xf numFmtId="0" fontId="23" fillId="0" borderId="22" xfId="0" applyFont="1" applyBorder="1"/>
    <xf numFmtId="0" fontId="23" fillId="2" borderId="21" xfId="0" applyFont="1" applyFill="1" applyBorder="1"/>
    <xf numFmtId="0" fontId="23" fillId="2" borderId="21" xfId="0" applyFont="1" applyFill="1" applyBorder="1" applyAlignment="1">
      <alignment horizontal="center"/>
    </xf>
    <xf numFmtId="171" fontId="23" fillId="2" borderId="21" xfId="0" applyNumberFormat="1" applyFont="1" applyFill="1" applyBorder="1" applyAlignment="1">
      <alignment horizontal="center"/>
    </xf>
    <xf numFmtId="0" fontId="23" fillId="0" borderId="2" xfId="0" applyFont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0" borderId="4" xfId="0" applyFont="1" applyBorder="1"/>
    <xf numFmtId="0" fontId="23" fillId="0" borderId="4" xfId="0" applyFont="1" applyBorder="1" applyAlignment="1">
      <alignment horizontal="center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23" xfId="0" applyFont="1" applyBorder="1"/>
    <xf numFmtId="0" fontId="23" fillId="0" borderId="24" xfId="0" applyFont="1" applyBorder="1"/>
    <xf numFmtId="0" fontId="23" fillId="0" borderId="24" xfId="0" applyFont="1" applyBorder="1" applyAlignment="1">
      <alignment horizontal="center"/>
    </xf>
    <xf numFmtId="0" fontId="23" fillId="0" borderId="25" xfId="0" applyFont="1" applyBorder="1"/>
    <xf numFmtId="0" fontId="23" fillId="0" borderId="25" xfId="0" applyFont="1" applyBorder="1" applyAlignment="1">
      <alignment horizontal="center"/>
    </xf>
    <xf numFmtId="0" fontId="23" fillId="0" borderId="19" xfId="0" applyFont="1" applyBorder="1" applyAlignment="1">
      <alignment horizontal="right"/>
    </xf>
    <xf numFmtId="0" fontId="23" fillId="0" borderId="26" xfId="0" applyFont="1" applyBorder="1"/>
    <xf numFmtId="0" fontId="23" fillId="0" borderId="27" xfId="0" applyFont="1" applyBorder="1"/>
    <xf numFmtId="0" fontId="23" fillId="0" borderId="27" xfId="0" applyFont="1" applyBorder="1" applyAlignment="1">
      <alignment horizontal="center"/>
    </xf>
    <xf numFmtId="0" fontId="23" fillId="0" borderId="28" xfId="0" applyFont="1" applyBorder="1"/>
    <xf numFmtId="0" fontId="23" fillId="0" borderId="28" xfId="0" applyFont="1" applyBorder="1" applyAlignment="1">
      <alignment horizontal="center"/>
    </xf>
    <xf numFmtId="0" fontId="23" fillId="0" borderId="20" xfId="0" applyFont="1" applyBorder="1" applyAlignment="1">
      <alignment horizontal="right"/>
    </xf>
    <xf numFmtId="0" fontId="23" fillId="0" borderId="29" xfId="0" applyFont="1" applyBorder="1"/>
    <xf numFmtId="0" fontId="23" fillId="0" borderId="30" xfId="0" applyFont="1" applyBorder="1"/>
    <xf numFmtId="0" fontId="23" fillId="0" borderId="30" xfId="0" applyFont="1" applyBorder="1" applyAlignment="1">
      <alignment horizontal="center"/>
    </xf>
    <xf numFmtId="0" fontId="23" fillId="0" borderId="31" xfId="0" applyFont="1" applyBorder="1"/>
    <xf numFmtId="0" fontId="23" fillId="0" borderId="31" xfId="0" applyFont="1" applyBorder="1" applyAlignment="1">
      <alignment horizontal="center"/>
    </xf>
    <xf numFmtId="0" fontId="23" fillId="0" borderId="21" xfId="0" applyFont="1" applyBorder="1" applyAlignment="1">
      <alignment horizontal="right"/>
    </xf>
    <xf numFmtId="2" fontId="23" fillId="0" borderId="21" xfId="0" applyNumberFormat="1" applyFont="1" applyBorder="1" applyAlignment="1">
      <alignment horizontal="right"/>
    </xf>
    <xf numFmtId="166" fontId="23" fillId="0" borderId="21" xfId="0" applyNumberFormat="1" applyFont="1" applyBorder="1" applyAlignment="1">
      <alignment horizontal="right"/>
    </xf>
    <xf numFmtId="0" fontId="22" fillId="3" borderId="32" xfId="0" applyFont="1" applyFill="1" applyBorder="1"/>
    <xf numFmtId="0" fontId="22" fillId="3" borderId="33" xfId="0" applyFont="1" applyFill="1" applyBorder="1"/>
    <xf numFmtId="0" fontId="22" fillId="3" borderId="33" xfId="0" applyFont="1" applyFill="1" applyBorder="1" applyAlignment="1">
      <alignment horizontal="center"/>
    </xf>
    <xf numFmtId="0" fontId="22" fillId="3" borderId="34" xfId="0" applyFont="1" applyFill="1" applyBorder="1"/>
    <xf numFmtId="0" fontId="22" fillId="3" borderId="34" xfId="0" applyFont="1" applyFill="1" applyBorder="1" applyAlignment="1">
      <alignment horizontal="center"/>
    </xf>
    <xf numFmtId="166" fontId="22" fillId="3" borderId="35" xfId="0" applyNumberFormat="1" applyFont="1" applyFill="1" applyBorder="1" applyAlignment="1">
      <alignment horizontal="right"/>
    </xf>
    <xf numFmtId="0" fontId="23" fillId="0" borderId="35" xfId="0" applyFont="1" applyBorder="1" applyAlignment="1">
      <alignment horizontal="center"/>
    </xf>
    <xf numFmtId="0" fontId="4" fillId="0" borderId="3" xfId="0" applyFont="1" applyBorder="1"/>
    <xf numFmtId="166" fontId="23" fillId="0" borderId="35" xfId="0" applyNumberFormat="1" applyFont="1" applyBorder="1" applyAlignment="1">
      <alignment horizontal="right"/>
    </xf>
    <xf numFmtId="0" fontId="4" fillId="0" borderId="4" xfId="0" applyFont="1" applyBorder="1"/>
    <xf numFmtId="0" fontId="3" fillId="0" borderId="1" xfId="0" applyFont="1" applyBorder="1" applyAlignment="1">
      <alignment horizontal="right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15" fontId="38" fillId="0" borderId="0" xfId="0" applyNumberFormat="1" applyFont="1" applyAlignment="1">
      <alignment vertical="center"/>
    </xf>
    <xf numFmtId="0" fontId="39" fillId="0" borderId="0" xfId="0" applyFont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2" fontId="36" fillId="0" borderId="0" xfId="0" applyNumberFormat="1" applyFont="1" applyAlignment="1">
      <alignment vertical="center"/>
    </xf>
    <xf numFmtId="0" fontId="30" fillId="12" borderId="7" xfId="0" applyFont="1" applyFill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0" fillId="12" borderId="7" xfId="0" applyFont="1" applyFill="1" applyBorder="1" applyAlignment="1">
      <alignment horizontal="center" vertical="center"/>
    </xf>
    <xf numFmtId="0" fontId="36" fillId="0" borderId="0" xfId="0" applyFont="1" applyAlignment="1">
      <alignment horizontal="right" vertical="center"/>
    </xf>
    <xf numFmtId="170" fontId="36" fillId="0" borderId="0" xfId="0" applyNumberFormat="1" applyFont="1" applyAlignment="1">
      <alignment vertical="center"/>
    </xf>
    <xf numFmtId="0" fontId="36" fillId="0" borderId="0" xfId="0" applyFont="1"/>
    <xf numFmtId="1" fontId="36" fillId="0" borderId="0" xfId="0" applyNumberFormat="1" applyFont="1" applyAlignment="1">
      <alignment vertical="center"/>
    </xf>
    <xf numFmtId="0" fontId="10" fillId="0" borderId="0" xfId="0" applyFont="1"/>
    <xf numFmtId="0" fontId="23" fillId="0" borderId="35" xfId="0" applyFont="1" applyBorder="1"/>
    <xf numFmtId="2" fontId="22" fillId="3" borderId="35" xfId="0" applyNumberFormat="1" applyFont="1" applyFill="1" applyBorder="1" applyAlignment="1">
      <alignment horizontal="right"/>
    </xf>
    <xf numFmtId="0" fontId="4" fillId="0" borderId="18" xfId="0" applyFont="1" applyBorder="1"/>
    <xf numFmtId="0" fontId="4" fillId="0" borderId="36" xfId="0" applyFont="1" applyBorder="1"/>
    <xf numFmtId="0" fontId="4" fillId="0" borderId="37" xfId="0" applyFont="1" applyBorder="1"/>
    <xf numFmtId="0" fontId="4" fillId="14" borderId="15" xfId="0" applyFont="1" applyFill="1" applyBorder="1"/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2" fontId="0" fillId="0" borderId="40" xfId="0" applyNumberFormat="1" applyBorder="1"/>
    <xf numFmtId="0" fontId="0" fillId="0" borderId="39" xfId="0" applyBorder="1"/>
    <xf numFmtId="2" fontId="0" fillId="0" borderId="39" xfId="0" applyNumberFormat="1" applyBorder="1"/>
    <xf numFmtId="0" fontId="4" fillId="0" borderId="41" xfId="0" applyFont="1" applyBorder="1"/>
    <xf numFmtId="169" fontId="4" fillId="0" borderId="42" xfId="0" applyNumberFormat="1" applyFont="1" applyBorder="1"/>
    <xf numFmtId="0" fontId="0" fillId="0" borderId="38" xfId="0" applyBorder="1"/>
    <xf numFmtId="0" fontId="4" fillId="15" borderId="1" xfId="0" applyFont="1" applyFill="1" applyBorder="1"/>
    <xf numFmtId="0" fontId="4" fillId="15" borderId="1" xfId="0" applyFont="1" applyFill="1" applyBorder="1" applyAlignment="1">
      <alignment horizontal="left"/>
    </xf>
    <xf numFmtId="0" fontId="0" fillId="0" borderId="43" xfId="0" applyBorder="1"/>
    <xf numFmtId="0" fontId="0" fillId="13" borderId="43" xfId="0" applyFill="1" applyBorder="1"/>
    <xf numFmtId="1" fontId="23" fillId="0" borderId="21" xfId="0" applyNumberFormat="1" applyFont="1" applyBorder="1" applyAlignment="1">
      <alignment horizontal="center"/>
    </xf>
    <xf numFmtId="0" fontId="49" fillId="0" borderId="0" xfId="0" applyFont="1" applyAlignment="1">
      <alignment horizontal="left"/>
    </xf>
    <xf numFmtId="0" fontId="48" fillId="15" borderId="1" xfId="0" applyFont="1" applyFill="1" applyBorder="1"/>
    <xf numFmtId="0" fontId="48" fillId="0" borderId="1" xfId="0" applyFont="1" applyBorder="1"/>
    <xf numFmtId="172" fontId="23" fillId="0" borderId="21" xfId="0" applyNumberFormat="1" applyFont="1" applyBorder="1" applyAlignment="1">
      <alignment horizontal="center"/>
    </xf>
    <xf numFmtId="0" fontId="2" fillId="0" borderId="43" xfId="1" applyBorder="1"/>
    <xf numFmtId="0" fontId="0" fillId="0" borderId="43" xfId="0" applyBorder="1" applyAlignment="1">
      <alignment vertical="center"/>
    </xf>
    <xf numFmtId="168" fontId="0" fillId="0" borderId="43" xfId="0" applyNumberFormat="1" applyBorder="1"/>
    <xf numFmtId="0" fontId="4" fillId="0" borderId="43" xfId="0" applyFont="1" applyBorder="1"/>
    <xf numFmtId="0" fontId="4" fillId="0" borderId="43" xfId="0" applyFont="1" applyBorder="1" applyAlignment="1">
      <alignment vertical="center"/>
    </xf>
    <xf numFmtId="0" fontId="5" fillId="8" borderId="15" xfId="0" applyFont="1" applyFill="1" applyBorder="1" applyAlignment="1">
      <alignment horizontal="center" wrapText="1"/>
    </xf>
    <xf numFmtId="167" fontId="17" fillId="0" borderId="43" xfId="0" applyNumberFormat="1" applyFont="1" applyBorder="1" applyAlignment="1">
      <alignment vertical="center"/>
    </xf>
    <xf numFmtId="0" fontId="4" fillId="0" borderId="43" xfId="0" applyFont="1" applyBorder="1" applyAlignment="1">
      <alignment horizontal="right"/>
    </xf>
    <xf numFmtId="167" fontId="4" fillId="0" borderId="43" xfId="0" applyNumberFormat="1" applyFont="1" applyBorder="1" applyAlignment="1">
      <alignment horizontal="right"/>
    </xf>
    <xf numFmtId="167" fontId="16" fillId="0" borderId="43" xfId="0" applyNumberFormat="1" applyFont="1" applyBorder="1"/>
    <xf numFmtId="166" fontId="4" fillId="0" borderId="43" xfId="0" applyNumberFormat="1" applyFont="1" applyBorder="1" applyAlignment="1">
      <alignment horizontal="right"/>
    </xf>
    <xf numFmtId="166" fontId="4" fillId="0" borderId="43" xfId="0" applyNumberFormat="1" applyFont="1" applyBorder="1" applyAlignment="1">
      <alignment vertical="center"/>
    </xf>
    <xf numFmtId="0" fontId="50" fillId="3" borderId="43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1" fillId="3" borderId="43" xfId="0" applyFont="1" applyFill="1" applyBorder="1"/>
    <xf numFmtId="0" fontId="50" fillId="3" borderId="43" xfId="0" applyFont="1" applyFill="1" applyBorder="1"/>
    <xf numFmtId="49" fontId="50" fillId="3" borderId="43" xfId="0" applyNumberFormat="1" applyFont="1" applyFill="1" applyBorder="1"/>
    <xf numFmtId="49" fontId="50" fillId="3" borderId="43" xfId="0" applyNumberFormat="1" applyFont="1" applyFill="1" applyBorder="1" applyAlignment="1">
      <alignment horizontal="left"/>
    </xf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30" fillId="16" borderId="7" xfId="2" applyFont="1" applyFill="1">
      <alignment vertical="center"/>
    </xf>
    <xf numFmtId="0" fontId="54" fillId="0" borderId="7" xfId="2" applyFont="1" applyAlignment="1">
      <alignment horizontal="center" vertical="center"/>
    </xf>
    <xf numFmtId="0" fontId="55" fillId="0" borderId="7" xfId="2" applyFont="1">
      <alignment vertical="center"/>
    </xf>
    <xf numFmtId="0" fontId="8" fillId="0" borderId="7" xfId="2">
      <alignment vertical="center"/>
    </xf>
    <xf numFmtId="0" fontId="4" fillId="2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5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 wrapText="1"/>
    </xf>
    <xf numFmtId="0" fontId="8" fillId="0" borderId="9" xfId="0" applyFont="1" applyBorder="1"/>
    <xf numFmtId="0" fontId="8" fillId="0" borderId="10" xfId="0" applyFont="1" applyBorder="1"/>
    <xf numFmtId="0" fontId="30" fillId="0" borderId="8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8" fillId="0" borderId="6" xfId="0" applyFont="1" applyBorder="1"/>
    <xf numFmtId="0" fontId="30" fillId="0" borderId="11" xfId="0" applyFont="1" applyBorder="1" applyAlignment="1">
      <alignment horizontal="center" vertical="center"/>
    </xf>
    <xf numFmtId="0" fontId="8" fillId="0" borderId="13" xfId="0" applyFont="1" applyBorder="1"/>
    <xf numFmtId="0" fontId="36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8" fillId="0" borderId="12" xfId="0" applyFont="1" applyBorder="1"/>
    <xf numFmtId="1" fontId="36" fillId="0" borderId="2" xfId="0" applyNumberFormat="1" applyFont="1" applyBorder="1" applyAlignment="1">
      <alignment horizontal="center" vertical="center"/>
    </xf>
    <xf numFmtId="168" fontId="36" fillId="0" borderId="2" xfId="0" applyNumberFormat="1" applyFont="1" applyBorder="1" applyAlignment="1">
      <alignment horizontal="center" vertical="center"/>
    </xf>
    <xf numFmtId="164" fontId="36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3 2" xfId="1" xr:uid="{F2B6FA04-B468-4B03-A01D-94A68223E777}"/>
    <cellStyle name="Normal 4" xfId="2" xr:uid="{A9239E03-D21F-4F5C-8B63-181AD7704FBF}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127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323850</xdr:colOff>
      <xdr:row>0</xdr:row>
      <xdr:rowOff>139065</xdr:rowOff>
    </xdr:from>
    <xdr:ext cx="4772025" cy="34671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44410" y="139065"/>
          <a:ext cx="4772025" cy="34671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160020</xdr:colOff>
      <xdr:row>100</xdr:row>
      <xdr:rowOff>139065</xdr:rowOff>
    </xdr:from>
    <xdr:ext cx="5905500" cy="144780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65380" y="16918305"/>
          <a:ext cx="5905500" cy="14478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60960</xdr:colOff>
      <xdr:row>78</xdr:row>
      <xdr:rowOff>53340</xdr:rowOff>
    </xdr:from>
    <xdr:ext cx="4876800" cy="29908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B4A1AB1E-2878-47F0-BC99-8A3CCDF0BFB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66320" y="13197840"/>
          <a:ext cx="4876800" cy="29908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121920</xdr:colOff>
      <xdr:row>58</xdr:row>
      <xdr:rowOff>0</xdr:rowOff>
    </xdr:from>
    <xdr:ext cx="6619875" cy="3162300"/>
    <xdr:pic>
      <xdr:nvPicPr>
        <xdr:cNvPr id="6" name="image4.png" title="Gambar">
          <a:extLst>
            <a:ext uri="{FF2B5EF4-FFF2-40B4-BE49-F238E27FC236}">
              <a16:creationId xmlns:a16="http://schemas.microsoft.com/office/drawing/2014/main" id="{CCE41E8D-9028-4B57-804E-1894690F7B6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27280" y="9639300"/>
          <a:ext cx="6619875" cy="31623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449580</xdr:colOff>
      <xdr:row>56</xdr:row>
      <xdr:rowOff>160020</xdr:rowOff>
    </xdr:from>
    <xdr:ext cx="6677025" cy="3524250"/>
    <xdr:pic>
      <xdr:nvPicPr>
        <xdr:cNvPr id="7" name="image2.png" title="Gambar">
          <a:extLst>
            <a:ext uri="{FF2B5EF4-FFF2-40B4-BE49-F238E27FC236}">
              <a16:creationId xmlns:a16="http://schemas.microsoft.com/office/drawing/2014/main" id="{B04914FE-40F6-479B-B228-7193228DFE4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9545300" y="9448800"/>
          <a:ext cx="6677025" cy="3524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150811</xdr:colOff>
      <xdr:row>43</xdr:row>
      <xdr:rowOff>159107</xdr:rowOff>
    </xdr:from>
    <xdr:to>
      <xdr:col>2</xdr:col>
      <xdr:colOff>746124</xdr:colOff>
      <xdr:row>47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6E6E2-1A2F-154A-54D6-E317C200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686" y="7699732"/>
          <a:ext cx="595313" cy="59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66675</xdr:colOff>
      <xdr:row>3</xdr:row>
      <xdr:rowOff>104775</xdr:rowOff>
    </xdr:from>
    <xdr:ext cx="6743700" cy="43624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C7845-0947-4531-85F4-B41048EB5F47}" name="Table1" displayName="Table1" ref="F2:H32" totalsRowShown="0" headerRowDxfId="5" headerRowBorderDxfId="4" tableBorderDxfId="3">
  <autoFilter ref="F2:H32" xr:uid="{B92C7845-0947-4531-85F4-B41048EB5F47}"/>
  <sortState xmlns:xlrd2="http://schemas.microsoft.com/office/spreadsheetml/2017/richdata2" ref="F3:H32">
    <sortCondition ref="F2:F32"/>
  </sortState>
  <tableColumns count="3">
    <tableColumn id="1" xr3:uid="{C0F9281E-7769-44E8-8248-B7560D3CEB62}" name="Nominal _x000a_(g)" dataDxfId="2"/>
    <tableColumn id="2" xr3:uid="{A48972A3-C040-4A81-A1DA-AD0C36302B9A}" name="Massa konvensional _x000a_(g)" dataDxfId="1"/>
    <tableColumn id="3" xr3:uid="{2FA5715E-EAFE-4DEB-AAF7-A3487A3C5351}" name="U95 _x000a_(mg)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D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8.5546875" customWidth="1"/>
    <col min="3" max="3" width="15.88671875" customWidth="1"/>
    <col min="4" max="4" width="19" customWidth="1"/>
    <col min="5" max="5" width="10.6640625" customWidth="1"/>
    <col min="6" max="26" width="9" customWidth="1"/>
  </cols>
  <sheetData>
    <row r="1" spans="2:4" ht="14.25" customHeight="1" x14ac:dyDescent="0.3">
      <c r="C1" s="1">
        <v>44809</v>
      </c>
    </row>
    <row r="2" spans="2:4" ht="14.25" customHeight="1" x14ac:dyDescent="0.3">
      <c r="B2" s="2" t="s">
        <v>14</v>
      </c>
      <c r="C2" s="2" t="s">
        <v>15</v>
      </c>
      <c r="D2" s="2" t="s">
        <v>16</v>
      </c>
    </row>
    <row r="3" spans="2:4" ht="14.25" customHeight="1" x14ac:dyDescent="0.3">
      <c r="B3" s="3">
        <v>5000</v>
      </c>
      <c r="C3" s="3">
        <v>4999.9986600000002</v>
      </c>
      <c r="D3" s="3">
        <v>0.6</v>
      </c>
    </row>
    <row r="4" spans="2:4" ht="14.25" customHeight="1" x14ac:dyDescent="0.3">
      <c r="B4" s="3" t="s">
        <v>17</v>
      </c>
      <c r="C4" s="3">
        <v>2000.0319999999999</v>
      </c>
      <c r="D4" s="3">
        <v>24</v>
      </c>
    </row>
    <row r="5" spans="2:4" ht="14.25" customHeight="1" x14ac:dyDescent="0.3">
      <c r="B5" s="3">
        <v>2000</v>
      </c>
      <c r="C5" s="3">
        <v>2000.0319999999999</v>
      </c>
      <c r="D5" s="3">
        <v>24</v>
      </c>
    </row>
    <row r="6" spans="2:4" ht="14.25" customHeight="1" x14ac:dyDescent="0.3">
      <c r="B6" s="3">
        <v>1000</v>
      </c>
      <c r="C6" s="3">
        <v>1000.000837</v>
      </c>
      <c r="D6" s="3">
        <v>9.9000000000000005E-2</v>
      </c>
    </row>
    <row r="7" spans="2:4" ht="14.25" customHeight="1" x14ac:dyDescent="0.3">
      <c r="B7" s="3">
        <v>500</v>
      </c>
      <c r="C7" s="3">
        <v>500.00008400000002</v>
      </c>
      <c r="D7" s="3">
        <v>5.6000000000000001E-2</v>
      </c>
    </row>
    <row r="8" spans="2:4" ht="14.25" customHeight="1" x14ac:dyDescent="0.3">
      <c r="B8" s="3">
        <v>200</v>
      </c>
      <c r="C8" s="3">
        <v>199.999922</v>
      </c>
      <c r="D8" s="3">
        <v>2.5000000000000001E-2</v>
      </c>
    </row>
    <row r="9" spans="2:4" ht="14.25" customHeight="1" x14ac:dyDescent="0.3">
      <c r="B9" s="3" t="s">
        <v>18</v>
      </c>
      <c r="C9" s="3">
        <v>199.999977</v>
      </c>
      <c r="D9" s="3">
        <v>2.5000000000000001E-2</v>
      </c>
    </row>
    <row r="10" spans="2:4" ht="14.25" customHeight="1" x14ac:dyDescent="0.3">
      <c r="B10" s="3">
        <v>100</v>
      </c>
      <c r="C10" s="3">
        <v>99.999909000000002</v>
      </c>
      <c r="D10" s="3">
        <v>2.1999999999999999E-2</v>
      </c>
    </row>
    <row r="11" spans="2:4" ht="14.25" customHeight="1" x14ac:dyDescent="0.3">
      <c r="B11" s="3">
        <v>50</v>
      </c>
      <c r="C11" s="3">
        <v>49.999975999999997</v>
      </c>
      <c r="D11" s="3">
        <v>1.2E-2</v>
      </c>
    </row>
    <row r="12" spans="2:4" ht="14.25" customHeight="1" x14ac:dyDescent="0.3">
      <c r="B12" s="3">
        <v>20</v>
      </c>
      <c r="C12" s="3">
        <v>19.999989299999999</v>
      </c>
      <c r="D12" s="3">
        <v>8.9999999999999993E-3</v>
      </c>
    </row>
    <row r="13" spans="2:4" ht="14.25" customHeight="1" x14ac:dyDescent="0.3">
      <c r="B13" s="3" t="s">
        <v>19</v>
      </c>
      <c r="C13" s="3">
        <v>19.999988800000001</v>
      </c>
      <c r="D13" s="3">
        <v>8.9999999999999993E-3</v>
      </c>
    </row>
    <row r="14" spans="2:4" ht="14.25" customHeight="1" x14ac:dyDescent="0.3">
      <c r="B14" s="3">
        <v>10</v>
      </c>
      <c r="C14" s="3">
        <v>9.9999660000000006</v>
      </c>
      <c r="D14" s="3">
        <v>8.3000000000000001E-3</v>
      </c>
    </row>
    <row r="15" spans="2:4" ht="14.25" customHeight="1" x14ac:dyDescent="0.3">
      <c r="B15" s="3">
        <v>5</v>
      </c>
      <c r="C15" s="3">
        <v>5.0000099000000002</v>
      </c>
      <c r="D15" s="3">
        <v>5.1000000000000004E-3</v>
      </c>
    </row>
    <row r="16" spans="2:4" ht="14.25" customHeight="1" x14ac:dyDescent="0.3">
      <c r="B16" s="3">
        <v>2</v>
      </c>
      <c r="C16" s="3">
        <v>2.0000124000000001</v>
      </c>
      <c r="D16" s="3">
        <v>3.8999999999999998E-3</v>
      </c>
    </row>
    <row r="17" spans="2:4" ht="14.25" customHeight="1" x14ac:dyDescent="0.3">
      <c r="B17" s="3" t="s">
        <v>20</v>
      </c>
      <c r="C17" s="3">
        <v>1.9999897</v>
      </c>
      <c r="D17" s="3">
        <v>3.8999999999999998E-3</v>
      </c>
    </row>
    <row r="18" spans="2:4" ht="14.25" customHeight="1" x14ac:dyDescent="0.3">
      <c r="B18" s="3">
        <v>1</v>
      </c>
      <c r="C18" s="3">
        <v>0.99998560000000003</v>
      </c>
      <c r="D18" s="3">
        <v>3.5000000000000001E-3</v>
      </c>
    </row>
    <row r="19" spans="2:4" ht="14.25" customHeight="1" x14ac:dyDescent="0.3">
      <c r="B19" s="3">
        <v>0.5</v>
      </c>
      <c r="C19" s="3">
        <v>0.50001799999999996</v>
      </c>
      <c r="D19" s="3">
        <v>3.0000000000000001E-3</v>
      </c>
    </row>
    <row r="20" spans="2:4" ht="14.25" customHeight="1" x14ac:dyDescent="0.3">
      <c r="B20" s="3">
        <v>0.2</v>
      </c>
      <c r="C20" s="3">
        <v>0.20000999999999999</v>
      </c>
      <c r="D20" s="3">
        <v>3.0000000000000001E-3</v>
      </c>
    </row>
    <row r="21" spans="2:4" ht="14.25" customHeight="1" x14ac:dyDescent="0.3">
      <c r="B21" s="3" t="s">
        <v>21</v>
      </c>
      <c r="C21" s="3">
        <v>0.200014</v>
      </c>
      <c r="D21" s="3">
        <v>3.0000000000000001E-3</v>
      </c>
    </row>
    <row r="22" spans="2:4" ht="14.25" customHeight="1" x14ac:dyDescent="0.3">
      <c r="B22" s="3">
        <v>0.1</v>
      </c>
      <c r="C22" s="3">
        <v>0.100005</v>
      </c>
      <c r="D22" s="3">
        <v>2E-3</v>
      </c>
    </row>
    <row r="23" spans="2:4" ht="14.25" customHeight="1" x14ac:dyDescent="0.3">
      <c r="B23" s="3">
        <v>0.05</v>
      </c>
      <c r="C23" s="3">
        <v>5.0004E-2</v>
      </c>
      <c r="D23" s="3">
        <v>2E-3</v>
      </c>
    </row>
    <row r="24" spans="2:4" ht="14.25" customHeight="1" x14ac:dyDescent="0.3">
      <c r="B24" s="3">
        <v>0.02</v>
      </c>
      <c r="C24" s="3">
        <v>2.0004999999999998E-2</v>
      </c>
      <c r="D24" s="3">
        <v>2E-3</v>
      </c>
    </row>
    <row r="25" spans="2:4" ht="14.25" customHeight="1" x14ac:dyDescent="0.3">
      <c r="B25" s="3" t="s">
        <v>22</v>
      </c>
      <c r="C25" s="3">
        <v>1.9996E-2</v>
      </c>
      <c r="D25" s="3">
        <v>2E-3</v>
      </c>
    </row>
    <row r="26" spans="2:4" ht="14.25" customHeight="1" x14ac:dyDescent="0.3">
      <c r="B26" s="3">
        <v>0.01</v>
      </c>
      <c r="C26" s="3">
        <v>9.9950000000000004E-3</v>
      </c>
      <c r="D26" s="3">
        <v>2E-3</v>
      </c>
    </row>
    <row r="27" spans="2:4" ht="14.25" customHeight="1" x14ac:dyDescent="0.3">
      <c r="B27" s="3">
        <v>5.0000000000000001E-3</v>
      </c>
      <c r="C27" s="3">
        <v>5.0039999999999998E-3</v>
      </c>
      <c r="D27" s="3">
        <v>2E-3</v>
      </c>
    </row>
    <row r="28" spans="2:4" ht="14.25" customHeight="1" x14ac:dyDescent="0.3">
      <c r="B28" s="3">
        <v>2E-3</v>
      </c>
      <c r="C28" s="3">
        <v>1.9989999999999999E-3</v>
      </c>
      <c r="D28" s="3">
        <v>2E-3</v>
      </c>
    </row>
    <row r="29" spans="2:4" ht="14.25" customHeight="1" x14ac:dyDescent="0.3">
      <c r="B29" s="3" t="s">
        <v>23</v>
      </c>
      <c r="C29" s="3">
        <v>2.0049999999999998E-3</v>
      </c>
      <c r="D29" s="3">
        <v>2E-3</v>
      </c>
    </row>
    <row r="30" spans="2:4" ht="14.25" customHeight="1" x14ac:dyDescent="0.3">
      <c r="B30" s="3">
        <v>1E-3</v>
      </c>
      <c r="C30" s="3">
        <v>1.0039999999999999E-3</v>
      </c>
      <c r="D30" s="3">
        <v>2E-3</v>
      </c>
    </row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10" sqref="B10"/>
    </sheetView>
  </sheetViews>
  <sheetFormatPr defaultColWidth="14.44140625" defaultRowHeight="15" customHeight="1" x14ac:dyDescent="0.3"/>
  <cols>
    <col min="1" max="1" width="17.33203125" customWidth="1"/>
    <col min="2" max="2" width="27.109375" customWidth="1"/>
    <col min="3" max="3" width="6.88671875" customWidth="1"/>
    <col min="4" max="26" width="8.6640625" customWidth="1"/>
  </cols>
  <sheetData>
    <row r="1" spans="1:4" ht="14.25" customHeight="1" x14ac:dyDescent="0.3">
      <c r="A1" s="4" t="s">
        <v>24</v>
      </c>
      <c r="B1" s="4" t="s">
        <v>25</v>
      </c>
      <c r="C1" s="4" t="s">
        <v>26</v>
      </c>
    </row>
    <row r="2" spans="1:4" ht="14.25" customHeight="1" x14ac:dyDescent="0.3">
      <c r="A2" s="5" t="s">
        <v>27</v>
      </c>
      <c r="B2" s="222" t="s">
        <v>338</v>
      </c>
      <c r="C2" s="5"/>
    </row>
    <row r="3" spans="1:4" ht="14.25" customHeight="1" x14ac:dyDescent="0.3">
      <c r="A3" s="5" t="s">
        <v>28</v>
      </c>
      <c r="B3" s="222" t="s">
        <v>339</v>
      </c>
      <c r="C3" s="5"/>
    </row>
    <row r="4" spans="1:4" ht="14.25" customHeight="1" x14ac:dyDescent="0.3">
      <c r="A4" s="5" t="s">
        <v>29</v>
      </c>
      <c r="B4" s="222" t="s">
        <v>340</v>
      </c>
      <c r="C4" s="5"/>
    </row>
    <row r="5" spans="1:4" ht="14.25" customHeight="1" x14ac:dyDescent="0.3">
      <c r="A5" s="5" t="s">
        <v>30</v>
      </c>
      <c r="B5" s="223" t="s">
        <v>341</v>
      </c>
      <c r="C5" s="5"/>
    </row>
    <row r="6" spans="1:4" ht="14.25" customHeight="1" x14ac:dyDescent="0.3">
      <c r="A6" s="5" t="s">
        <v>31</v>
      </c>
      <c r="B6" s="219" t="s">
        <v>32</v>
      </c>
      <c r="C6" s="5"/>
    </row>
    <row r="7" spans="1:4" ht="14.25" customHeight="1" x14ac:dyDescent="0.3">
      <c r="A7" s="5" t="s">
        <v>33</v>
      </c>
      <c r="B7" s="219" t="s">
        <v>13</v>
      </c>
      <c r="C7" s="5"/>
    </row>
    <row r="8" spans="1:4" ht="14.25" customHeight="1" x14ac:dyDescent="0.3">
      <c r="A8" s="5" t="s">
        <v>34</v>
      </c>
      <c r="B8" s="219" t="s">
        <v>342</v>
      </c>
      <c r="C8" s="5"/>
    </row>
    <row r="9" spans="1:4" ht="14.25" customHeight="1" x14ac:dyDescent="0.3">
      <c r="A9" s="5" t="s">
        <v>35</v>
      </c>
      <c r="B9" s="219">
        <v>25914</v>
      </c>
      <c r="C9" s="5"/>
    </row>
    <row r="10" spans="1:4" ht="14.25" customHeight="1" x14ac:dyDescent="0.3">
      <c r="A10" s="5" t="s">
        <v>36</v>
      </c>
      <c r="B10" s="219" t="s">
        <v>343</v>
      </c>
      <c r="C10" s="5"/>
    </row>
    <row r="11" spans="1:4" ht="14.25" customHeight="1" x14ac:dyDescent="0.3">
      <c r="A11" s="5" t="s">
        <v>38</v>
      </c>
      <c r="B11" s="219" t="s">
        <v>13</v>
      </c>
      <c r="C11" s="5"/>
    </row>
    <row r="12" spans="1:4" ht="14.25" customHeight="1" x14ac:dyDescent="0.3">
      <c r="A12" s="5" t="s">
        <v>39</v>
      </c>
      <c r="B12" s="224" t="s">
        <v>344</v>
      </c>
      <c r="C12" s="5"/>
      <c r="D12" s="7" t="s">
        <v>40</v>
      </c>
    </row>
    <row r="13" spans="1:4" ht="14.25" customHeight="1" x14ac:dyDescent="0.3">
      <c r="A13" s="5" t="s">
        <v>41</v>
      </c>
      <c r="B13" s="225" t="s">
        <v>345</v>
      </c>
      <c r="C13" s="5"/>
      <c r="D13" s="7" t="s">
        <v>40</v>
      </c>
    </row>
    <row r="14" spans="1:4" ht="14.25" customHeight="1" x14ac:dyDescent="0.3">
      <c r="A14" s="233" t="s">
        <v>42</v>
      </c>
      <c r="B14" s="234"/>
      <c r="C14" s="235"/>
    </row>
    <row r="15" spans="1:4" ht="14.25" customHeight="1" x14ac:dyDescent="0.3">
      <c r="A15" s="5" t="s">
        <v>43</v>
      </c>
      <c r="B15" s="8">
        <v>90602105</v>
      </c>
      <c r="C15" s="5"/>
    </row>
    <row r="16" spans="1:4" ht="14.25" customHeight="1" x14ac:dyDescent="0.3">
      <c r="A16" s="5" t="s">
        <v>44</v>
      </c>
      <c r="B16" s="8" t="s">
        <v>107</v>
      </c>
      <c r="C16" s="5"/>
    </row>
    <row r="17" spans="1:3" ht="14.25" customHeight="1" x14ac:dyDescent="0.3">
      <c r="A17" s="5" t="s">
        <v>46</v>
      </c>
      <c r="B17" s="8" t="s">
        <v>47</v>
      </c>
      <c r="C17" s="5"/>
    </row>
    <row r="18" spans="1:3" ht="14.25" customHeight="1" x14ac:dyDescent="0.3">
      <c r="A18" s="5" t="s">
        <v>48</v>
      </c>
      <c r="B18" s="8" t="s">
        <v>271</v>
      </c>
      <c r="C18" s="5"/>
    </row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4:C1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Database!$E$2:$E$4</xm:f>
          </x14:formula1>
          <xm:sqref>B15</xm:sqref>
        </x14:dataValidation>
        <x14:dataValidation type="list" allowBlank="1" showErrorMessage="1" xr:uid="{00000000-0002-0000-0200-000001000000}">
          <x14:formula1>
            <xm:f>Database!$B$2:$B$5</xm:f>
          </x14:formula1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5" sqref="C5"/>
    </sheetView>
  </sheetViews>
  <sheetFormatPr defaultColWidth="14.44140625" defaultRowHeight="15" customHeight="1" x14ac:dyDescent="0.3"/>
  <cols>
    <col min="1" max="5" width="8.6640625" customWidth="1"/>
    <col min="6" max="6" width="11.6640625" customWidth="1"/>
    <col min="7" max="7" width="8.6640625" customWidth="1"/>
    <col min="8" max="8" width="10.109375" customWidth="1"/>
    <col min="9" max="26" width="8.6640625" customWidth="1"/>
  </cols>
  <sheetData>
    <row r="1" spans="1:10" ht="14.25" customHeight="1" x14ac:dyDescent="0.3"/>
    <row r="2" spans="1:10" ht="14.25" customHeight="1" x14ac:dyDescent="0.3">
      <c r="A2" s="237" t="s">
        <v>58</v>
      </c>
      <c r="B2" s="234"/>
      <c r="C2" s="234"/>
      <c r="D2" s="235"/>
      <c r="F2" s="14" t="s">
        <v>59</v>
      </c>
      <c r="G2" s="12" t="s">
        <v>60</v>
      </c>
    </row>
    <row r="3" spans="1:10" ht="14.25" customHeight="1" x14ac:dyDescent="0.3">
      <c r="A3" s="15" t="s">
        <v>61</v>
      </c>
      <c r="B3" s="15" t="s">
        <v>51</v>
      </c>
      <c r="C3" s="15" t="s">
        <v>62</v>
      </c>
      <c r="D3" s="15" t="s">
        <v>63</v>
      </c>
      <c r="F3" s="16">
        <f>SQRT(((9*D18^2)+(9*D36^2)+(9*D54^2)+(9*D72^2)+(9*D90^2)+(9*D108^2))/54)</f>
        <v>2.1606754773809158E-2</v>
      </c>
    </row>
    <row r="4" spans="1:10" ht="14.25" customHeight="1" x14ac:dyDescent="0.3">
      <c r="A4" s="3">
        <v>15000.12</v>
      </c>
      <c r="B4" s="3">
        <v>15000.17</v>
      </c>
      <c r="C4" s="3">
        <v>15000.18</v>
      </c>
      <c r="D4" s="3">
        <v>15000.18</v>
      </c>
      <c r="F4" s="17">
        <f>SQRT((D18^2+D36^2+D54^2+D72^2+D90^2+D108^2)/6)</f>
        <v>2.1606754773809158E-2</v>
      </c>
      <c r="G4" s="12" t="s">
        <v>64</v>
      </c>
    </row>
    <row r="5" spans="1:10" ht="14.25" customHeight="1" x14ac:dyDescent="0.3">
      <c r="A5" s="18">
        <f>A4-B4</f>
        <v>-4.9999999999272404E-2</v>
      </c>
      <c r="B5" s="18"/>
      <c r="C5" s="18">
        <f>C4-D4</f>
        <v>0</v>
      </c>
      <c r="D5" s="18"/>
    </row>
    <row r="6" spans="1:10" ht="14.25" customHeight="1" x14ac:dyDescent="0.3">
      <c r="A6" s="15" t="s">
        <v>65</v>
      </c>
      <c r="B6" s="15" t="s">
        <v>66</v>
      </c>
      <c r="C6" s="15" t="s">
        <v>67</v>
      </c>
      <c r="D6" s="15" t="s">
        <v>68</v>
      </c>
      <c r="I6" s="13" t="s">
        <v>69</v>
      </c>
    </row>
    <row r="7" spans="1:10" ht="14.25" customHeight="1" x14ac:dyDescent="0.35">
      <c r="A7" s="3">
        <v>15000.18</v>
      </c>
      <c r="B7" s="3">
        <v>15000.18</v>
      </c>
      <c r="C7" s="3">
        <v>15000.12</v>
      </c>
      <c r="D7" s="3">
        <v>15000.14</v>
      </c>
      <c r="F7" s="236" t="s">
        <v>70</v>
      </c>
      <c r="G7" s="235"/>
      <c r="I7" s="19" t="s">
        <v>71</v>
      </c>
      <c r="J7" s="19" t="s">
        <v>72</v>
      </c>
    </row>
    <row r="8" spans="1:10" ht="14.25" customHeight="1" x14ac:dyDescent="0.3">
      <c r="A8" s="18">
        <f>A7-B7</f>
        <v>0</v>
      </c>
      <c r="B8" s="18"/>
      <c r="C8" s="18">
        <f>C7-D7</f>
        <v>-1.9999999998617568E-2</v>
      </c>
      <c r="D8" s="18"/>
      <c r="F8" s="3" t="s">
        <v>73</v>
      </c>
      <c r="G8" s="20">
        <f>$D$108^2/$F$3^2</f>
        <v>0.621182070629133</v>
      </c>
      <c r="I8" s="15">
        <v>6</v>
      </c>
      <c r="J8" s="15">
        <v>2.06</v>
      </c>
    </row>
    <row r="9" spans="1:10" ht="14.25" customHeight="1" x14ac:dyDescent="0.3">
      <c r="A9" s="15" t="s">
        <v>74</v>
      </c>
      <c r="B9" s="15" t="s">
        <v>75</v>
      </c>
      <c r="C9" s="15" t="s">
        <v>76</v>
      </c>
      <c r="D9" s="15" t="s">
        <v>77</v>
      </c>
      <c r="F9" s="21" t="s">
        <v>78</v>
      </c>
      <c r="G9" s="22" t="str">
        <f>IF(G8&lt;J8,"OK","NOT GOOD")</f>
        <v>OK</v>
      </c>
      <c r="I9" s="15">
        <v>8</v>
      </c>
      <c r="J9" s="15">
        <v>2.0099999999999998</v>
      </c>
    </row>
    <row r="10" spans="1:10" ht="14.25" customHeight="1" x14ac:dyDescent="0.3">
      <c r="A10" s="3">
        <v>15000.18</v>
      </c>
      <c r="B10" s="3">
        <v>15000.12</v>
      </c>
      <c r="C10" s="3">
        <v>15000.12</v>
      </c>
      <c r="D10" s="3">
        <v>15000.15</v>
      </c>
      <c r="I10" s="15">
        <v>10</v>
      </c>
      <c r="J10" s="15">
        <v>1.99</v>
      </c>
    </row>
    <row r="11" spans="1:10" ht="14.25" customHeight="1" x14ac:dyDescent="0.3">
      <c r="A11" s="18">
        <f>A10-B10</f>
        <v>5.9999999999490683E-2</v>
      </c>
      <c r="B11" s="18"/>
      <c r="C11" s="18">
        <f>C10-D10</f>
        <v>-2.9999999998835847E-2</v>
      </c>
      <c r="D11" s="18"/>
      <c r="H11" s="23"/>
      <c r="I11" s="15">
        <v>12</v>
      </c>
      <c r="J11" s="15">
        <v>1.97</v>
      </c>
    </row>
    <row r="12" spans="1:10" ht="14.25" customHeight="1" x14ac:dyDescent="0.3">
      <c r="A12" s="15" t="s">
        <v>79</v>
      </c>
      <c r="B12" s="15" t="s">
        <v>80</v>
      </c>
      <c r="C12" s="15" t="s">
        <v>81</v>
      </c>
      <c r="D12" s="15" t="s">
        <v>82</v>
      </c>
    </row>
    <row r="13" spans="1:10" ht="14.25" customHeight="1" x14ac:dyDescent="0.3">
      <c r="A13" s="3">
        <v>15000.18</v>
      </c>
      <c r="B13" s="3">
        <v>15000.16</v>
      </c>
      <c r="C13" s="3">
        <v>15000.17</v>
      </c>
      <c r="D13" s="3">
        <v>15000.13</v>
      </c>
    </row>
    <row r="14" spans="1:10" ht="14.25" customHeight="1" x14ac:dyDescent="0.3">
      <c r="A14" s="18">
        <f>A13-B13</f>
        <v>2.0000000000436557E-2</v>
      </c>
      <c r="B14" s="18"/>
      <c r="C14" s="18">
        <f>C13-D13</f>
        <v>4.0000000000873115E-2</v>
      </c>
      <c r="D14" s="18"/>
    </row>
    <row r="15" spans="1:10" ht="14.25" customHeight="1" x14ac:dyDescent="0.3">
      <c r="A15" s="15" t="s">
        <v>83</v>
      </c>
      <c r="B15" s="15" t="s">
        <v>84</v>
      </c>
      <c r="C15" s="15" t="s">
        <v>85</v>
      </c>
      <c r="D15" s="15" t="s">
        <v>86</v>
      </c>
    </row>
    <row r="16" spans="1:10" ht="14.25" customHeight="1" x14ac:dyDescent="0.3">
      <c r="A16" s="3">
        <v>15000.11</v>
      </c>
      <c r="B16" s="3">
        <v>15000.13</v>
      </c>
      <c r="C16" s="3">
        <v>15000.14</v>
      </c>
      <c r="D16" s="3">
        <v>15000.15</v>
      </c>
    </row>
    <row r="17" spans="1:26" ht="14.25" customHeight="1" x14ac:dyDescent="0.3">
      <c r="A17" s="18">
        <f>A16-B16</f>
        <v>-1.9999999998617568E-2</v>
      </c>
      <c r="B17" s="18"/>
      <c r="C17" s="18">
        <f>C16-D16</f>
        <v>-1.0000000000218279E-2</v>
      </c>
      <c r="D17" s="18"/>
    </row>
    <row r="18" spans="1:26" ht="14.25" customHeight="1" x14ac:dyDescent="0.3">
      <c r="A18" s="236" t="s">
        <v>56</v>
      </c>
      <c r="B18" s="234"/>
      <c r="C18" s="235"/>
      <c r="D18" s="24">
        <f>_xlfn.STDEV.S(A5,C5,A8,C8,A11,C11,A14,C14,A17,C17)</f>
        <v>3.3149493040849277E-2</v>
      </c>
    </row>
    <row r="19" spans="1:26" ht="14.25" customHeight="1" x14ac:dyDescent="0.3"/>
    <row r="20" spans="1:26" ht="14.25" customHeight="1" x14ac:dyDescent="0.3">
      <c r="A20" s="237" t="s">
        <v>87</v>
      </c>
      <c r="B20" s="234"/>
      <c r="C20" s="234"/>
      <c r="D20" s="23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 x14ac:dyDescent="0.3">
      <c r="A21" s="15" t="s">
        <v>61</v>
      </c>
      <c r="B21" s="15" t="s">
        <v>51</v>
      </c>
      <c r="C21" s="15" t="s">
        <v>62</v>
      </c>
      <c r="D21" s="15" t="s">
        <v>63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 x14ac:dyDescent="0.3">
      <c r="A22" s="15">
        <v>15000.11</v>
      </c>
      <c r="B22" s="15">
        <v>15000.11</v>
      </c>
      <c r="C22" s="15">
        <v>15000.08</v>
      </c>
      <c r="D22" s="15">
        <v>15000.12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 x14ac:dyDescent="0.3">
      <c r="A23" s="15">
        <f>A22-B22</f>
        <v>0</v>
      </c>
      <c r="B23" s="15"/>
      <c r="C23" s="15">
        <f>C22-D22</f>
        <v>-4.0000000000873115E-2</v>
      </c>
      <c r="D23" s="1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 x14ac:dyDescent="0.3">
      <c r="A24" s="15" t="s">
        <v>65</v>
      </c>
      <c r="B24" s="15" t="s">
        <v>66</v>
      </c>
      <c r="C24" s="15" t="s">
        <v>67</v>
      </c>
      <c r="D24" s="15" t="s">
        <v>68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 x14ac:dyDescent="0.3">
      <c r="A25" s="15">
        <v>15000.06</v>
      </c>
      <c r="B25" s="15">
        <v>15000.05</v>
      </c>
      <c r="C25" s="15">
        <v>15000.06</v>
      </c>
      <c r="D25" s="15">
        <v>15000.1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 x14ac:dyDescent="0.3">
      <c r="A26" s="15">
        <f>A25-B25</f>
        <v>1.0000000000218279E-2</v>
      </c>
      <c r="B26" s="15"/>
      <c r="C26" s="15">
        <f>C25-D25</f>
        <v>-4.0000000000873115E-2</v>
      </c>
      <c r="D26" s="1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 x14ac:dyDescent="0.3">
      <c r="A27" s="15" t="s">
        <v>74</v>
      </c>
      <c r="B27" s="15" t="s">
        <v>75</v>
      </c>
      <c r="C27" s="15" t="s">
        <v>76</v>
      </c>
      <c r="D27" s="15" t="s">
        <v>77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 x14ac:dyDescent="0.3">
      <c r="A28" s="15">
        <v>15000.11</v>
      </c>
      <c r="B28" s="15">
        <v>15000.1</v>
      </c>
      <c r="C28" s="15">
        <v>15000.1</v>
      </c>
      <c r="D28" s="15">
        <v>15000.07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 x14ac:dyDescent="0.3">
      <c r="A29" s="15">
        <f>A28-B28</f>
        <v>1.0000000000218279E-2</v>
      </c>
      <c r="B29" s="15"/>
      <c r="C29" s="15">
        <f>C28-D28</f>
        <v>3.0000000000654836E-2</v>
      </c>
      <c r="D29" s="1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 x14ac:dyDescent="0.3">
      <c r="A30" s="15" t="s">
        <v>79</v>
      </c>
      <c r="B30" s="15" t="s">
        <v>80</v>
      </c>
      <c r="C30" s="15" t="s">
        <v>81</v>
      </c>
      <c r="D30" s="15" t="s">
        <v>82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 x14ac:dyDescent="0.3">
      <c r="A31" s="15">
        <v>15000.12</v>
      </c>
      <c r="B31" s="15">
        <v>15000.08</v>
      </c>
      <c r="C31" s="15">
        <v>15000.09</v>
      </c>
      <c r="D31" s="15">
        <v>15000.05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 x14ac:dyDescent="0.3">
      <c r="A32" s="15">
        <f>A31-B31</f>
        <v>4.0000000000873115E-2</v>
      </c>
      <c r="B32" s="15"/>
      <c r="C32" s="15">
        <f>C31-D31</f>
        <v>4.0000000000873115E-2</v>
      </c>
      <c r="D32" s="1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 x14ac:dyDescent="0.3">
      <c r="A33" s="15" t="s">
        <v>83</v>
      </c>
      <c r="B33" s="15" t="s">
        <v>84</v>
      </c>
      <c r="C33" s="15" t="s">
        <v>85</v>
      </c>
      <c r="D33" s="15" t="s">
        <v>86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 x14ac:dyDescent="0.3">
      <c r="A34" s="15">
        <v>15000.1</v>
      </c>
      <c r="B34" s="15">
        <v>15000.11</v>
      </c>
      <c r="C34" s="15">
        <v>15000.09</v>
      </c>
      <c r="D34" s="15">
        <v>15000.08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 x14ac:dyDescent="0.3">
      <c r="A35" s="15">
        <f>A34-B34</f>
        <v>-1.0000000000218279E-2</v>
      </c>
      <c r="B35" s="15"/>
      <c r="C35" s="15">
        <f>C34-D34</f>
        <v>1.0000000000218279E-2</v>
      </c>
      <c r="D35" s="1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 x14ac:dyDescent="0.3">
      <c r="A36" s="236" t="s">
        <v>56</v>
      </c>
      <c r="B36" s="234"/>
      <c r="C36" s="235"/>
      <c r="D36" s="4">
        <f>_xlfn.STDEV.S(A23,C23,A26,C26,A29,C29,A32,C32,A35,C35)</f>
        <v>2.8771127503348128E-2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 x14ac:dyDescent="0.3">
      <c r="A38" s="237" t="s">
        <v>88</v>
      </c>
      <c r="B38" s="234"/>
      <c r="C38" s="234"/>
      <c r="D38" s="23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 x14ac:dyDescent="0.3">
      <c r="A39" s="15" t="s">
        <v>61</v>
      </c>
      <c r="B39" s="15" t="s">
        <v>51</v>
      </c>
      <c r="C39" s="15" t="s">
        <v>62</v>
      </c>
      <c r="D39" s="15" t="s">
        <v>63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 x14ac:dyDescent="0.3">
      <c r="A40" s="15">
        <v>15000.09</v>
      </c>
      <c r="B40" s="15">
        <v>15000.08</v>
      </c>
      <c r="C40" s="15">
        <v>15000.1</v>
      </c>
      <c r="D40" s="15">
        <v>15000.09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 x14ac:dyDescent="0.3">
      <c r="A41" s="15">
        <f>A40-B40</f>
        <v>1.0000000000218279E-2</v>
      </c>
      <c r="B41" s="15"/>
      <c r="C41" s="15">
        <f>C40-D40</f>
        <v>1.0000000000218279E-2</v>
      </c>
      <c r="D41" s="1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 x14ac:dyDescent="0.3">
      <c r="A42" s="15" t="s">
        <v>65</v>
      </c>
      <c r="B42" s="15" t="s">
        <v>66</v>
      </c>
      <c r="C42" s="15" t="s">
        <v>67</v>
      </c>
      <c r="D42" s="15" t="s">
        <v>68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 x14ac:dyDescent="0.3">
      <c r="A43" s="15">
        <v>15000.07</v>
      </c>
      <c r="B43" s="15">
        <v>15000.06</v>
      </c>
      <c r="C43" s="15">
        <v>15000.09</v>
      </c>
      <c r="D43" s="15">
        <v>15000.07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 x14ac:dyDescent="0.3">
      <c r="A44" s="15">
        <f>A43-B43</f>
        <v>1.0000000000218279E-2</v>
      </c>
      <c r="B44" s="15"/>
      <c r="C44" s="15">
        <f>C43-D43</f>
        <v>2.0000000000436557E-2</v>
      </c>
      <c r="D44" s="1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 x14ac:dyDescent="0.3">
      <c r="A45" s="15" t="s">
        <v>74</v>
      </c>
      <c r="B45" s="15" t="s">
        <v>75</v>
      </c>
      <c r="C45" s="15" t="s">
        <v>76</v>
      </c>
      <c r="D45" s="15" t="s">
        <v>77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 x14ac:dyDescent="0.3">
      <c r="A46" s="15">
        <v>15000.07</v>
      </c>
      <c r="B46" s="15">
        <v>15000.08</v>
      </c>
      <c r="C46" s="15">
        <v>15000.06</v>
      </c>
      <c r="D46" s="15">
        <v>15000.06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 x14ac:dyDescent="0.3">
      <c r="A47" s="15">
        <f>A46-B46</f>
        <v>-1.0000000000218279E-2</v>
      </c>
      <c r="B47" s="15"/>
      <c r="C47" s="15">
        <f>C46-D46</f>
        <v>0</v>
      </c>
      <c r="D47" s="1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 x14ac:dyDescent="0.3">
      <c r="A48" s="15" t="s">
        <v>79</v>
      </c>
      <c r="B48" s="15" t="s">
        <v>80</v>
      </c>
      <c r="C48" s="15" t="s">
        <v>81</v>
      </c>
      <c r="D48" s="15" t="s">
        <v>82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 x14ac:dyDescent="0.3">
      <c r="A49" s="15">
        <v>15000.06</v>
      </c>
      <c r="B49" s="15">
        <v>15000.06</v>
      </c>
      <c r="C49" s="15">
        <v>15000.08</v>
      </c>
      <c r="D49" s="15">
        <v>15000.06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 x14ac:dyDescent="0.3">
      <c r="A50" s="15">
        <f>A49-B49</f>
        <v>0</v>
      </c>
      <c r="B50" s="15"/>
      <c r="C50" s="15">
        <f>C49-D49</f>
        <v>2.0000000000436557E-2</v>
      </c>
      <c r="D50" s="1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 x14ac:dyDescent="0.3">
      <c r="A51" s="15" t="s">
        <v>83</v>
      </c>
      <c r="B51" s="15" t="s">
        <v>84</v>
      </c>
      <c r="C51" s="15" t="s">
        <v>85</v>
      </c>
      <c r="D51" s="15" t="s">
        <v>86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 x14ac:dyDescent="0.3">
      <c r="A52" s="15">
        <v>15000.07</v>
      </c>
      <c r="B52" s="15">
        <v>15000.06</v>
      </c>
      <c r="C52" s="15">
        <v>15000.06</v>
      </c>
      <c r="D52" s="15">
        <v>15000.06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 x14ac:dyDescent="0.3">
      <c r="A53" s="15">
        <f>A52-B52</f>
        <v>1.0000000000218279E-2</v>
      </c>
      <c r="B53" s="15"/>
      <c r="C53" s="15">
        <f>C52-D52</f>
        <v>0</v>
      </c>
      <c r="D53" s="1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 x14ac:dyDescent="0.3">
      <c r="A54" s="236" t="s">
        <v>56</v>
      </c>
      <c r="B54" s="234"/>
      <c r="C54" s="235"/>
      <c r="D54" s="4">
        <f>_xlfn.STDEV.S(A41,C41,A44,C44,A47,C47,A50,C50,A53,C53)</f>
        <v>9.4868329807122152E-3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 x14ac:dyDescent="0.3"/>
    <row r="56" spans="1:26" ht="14.25" customHeight="1" x14ac:dyDescent="0.3">
      <c r="A56" s="237" t="s">
        <v>89</v>
      </c>
      <c r="B56" s="234"/>
      <c r="C56" s="234"/>
      <c r="D56" s="235"/>
    </row>
    <row r="57" spans="1:26" ht="14.25" customHeight="1" x14ac:dyDescent="0.3">
      <c r="A57" s="15" t="s">
        <v>61</v>
      </c>
      <c r="B57" s="15" t="s">
        <v>51</v>
      </c>
      <c r="C57" s="15" t="s">
        <v>62</v>
      </c>
      <c r="D57" s="15" t="s">
        <v>63</v>
      </c>
    </row>
    <row r="58" spans="1:26" ht="14.25" customHeight="1" x14ac:dyDescent="0.3">
      <c r="A58" s="3">
        <v>15000.11</v>
      </c>
      <c r="B58" s="3">
        <v>15000.1</v>
      </c>
      <c r="C58" s="3">
        <v>15000.12</v>
      </c>
      <c r="D58" s="3">
        <v>15000.1</v>
      </c>
    </row>
    <row r="59" spans="1:26" ht="14.25" customHeight="1" x14ac:dyDescent="0.3">
      <c r="A59" s="3">
        <f>A58-B58</f>
        <v>1.0000000000218279E-2</v>
      </c>
      <c r="B59" s="3"/>
      <c r="C59" s="3">
        <f>C58-D58</f>
        <v>2.0000000000436557E-2</v>
      </c>
      <c r="D59" s="3"/>
    </row>
    <row r="60" spans="1:26" ht="14.25" customHeight="1" x14ac:dyDescent="0.3">
      <c r="A60" s="15" t="s">
        <v>65</v>
      </c>
      <c r="B60" s="15" t="s">
        <v>66</v>
      </c>
      <c r="C60" s="15" t="s">
        <v>67</v>
      </c>
      <c r="D60" s="15" t="s">
        <v>68</v>
      </c>
    </row>
    <row r="61" spans="1:26" ht="14.25" customHeight="1" x14ac:dyDescent="0.3">
      <c r="A61" s="3">
        <v>15000.12</v>
      </c>
      <c r="B61" s="3">
        <v>15000.12</v>
      </c>
      <c r="C61" s="3">
        <v>15000.09</v>
      </c>
      <c r="D61" s="3">
        <v>15000.1</v>
      </c>
    </row>
    <row r="62" spans="1:26" ht="14.25" customHeight="1" x14ac:dyDescent="0.3">
      <c r="A62" s="3">
        <f>A61-B61</f>
        <v>0</v>
      </c>
      <c r="B62" s="3"/>
      <c r="C62" s="3">
        <f>C61-D61</f>
        <v>-1.0000000000218279E-2</v>
      </c>
      <c r="D62" s="3"/>
    </row>
    <row r="63" spans="1:26" ht="14.25" customHeight="1" x14ac:dyDescent="0.3">
      <c r="A63" s="15" t="s">
        <v>74</v>
      </c>
      <c r="B63" s="15" t="s">
        <v>75</v>
      </c>
      <c r="C63" s="15" t="s">
        <v>76</v>
      </c>
      <c r="D63" s="15" t="s">
        <v>77</v>
      </c>
    </row>
    <row r="64" spans="1:26" ht="14.25" customHeight="1" x14ac:dyDescent="0.3">
      <c r="A64" s="3">
        <v>15000.12</v>
      </c>
      <c r="B64" s="3">
        <v>15000.11</v>
      </c>
      <c r="C64" s="3">
        <v>15000.14</v>
      </c>
      <c r="D64" s="3">
        <v>15000.11</v>
      </c>
    </row>
    <row r="65" spans="1:4" ht="14.25" customHeight="1" x14ac:dyDescent="0.3">
      <c r="A65" s="3">
        <f>A64-B64</f>
        <v>1.0000000000218279E-2</v>
      </c>
      <c r="B65" s="3"/>
      <c r="C65" s="3">
        <f>C64-D64</f>
        <v>2.9999999998835847E-2</v>
      </c>
      <c r="D65" s="3"/>
    </row>
    <row r="66" spans="1:4" ht="14.25" customHeight="1" x14ac:dyDescent="0.3">
      <c r="A66" s="15" t="s">
        <v>79</v>
      </c>
      <c r="B66" s="15" t="s">
        <v>80</v>
      </c>
      <c r="C66" s="15" t="s">
        <v>81</v>
      </c>
      <c r="D66" s="15" t="s">
        <v>82</v>
      </c>
    </row>
    <row r="67" spans="1:4" ht="14.25" customHeight="1" x14ac:dyDescent="0.3">
      <c r="A67" s="3">
        <v>15000.12</v>
      </c>
      <c r="B67" s="3">
        <v>15000.09</v>
      </c>
      <c r="C67" s="3">
        <v>15000.09</v>
      </c>
      <c r="D67" s="3">
        <v>15000.11</v>
      </c>
    </row>
    <row r="68" spans="1:4" ht="14.25" customHeight="1" x14ac:dyDescent="0.3">
      <c r="A68" s="3">
        <f>A67-B67</f>
        <v>3.0000000000654836E-2</v>
      </c>
      <c r="B68" s="3"/>
      <c r="C68" s="3">
        <f>C67-D67</f>
        <v>-2.0000000000436557E-2</v>
      </c>
      <c r="D68" s="3"/>
    </row>
    <row r="69" spans="1:4" ht="14.25" customHeight="1" x14ac:dyDescent="0.3">
      <c r="A69" s="15" t="s">
        <v>83</v>
      </c>
      <c r="B69" s="15" t="s">
        <v>84</v>
      </c>
      <c r="C69" s="15" t="s">
        <v>85</v>
      </c>
      <c r="D69" s="15" t="s">
        <v>86</v>
      </c>
    </row>
    <row r="70" spans="1:4" ht="14.25" customHeight="1" x14ac:dyDescent="0.3">
      <c r="A70" s="3">
        <v>15000.13</v>
      </c>
      <c r="B70" s="3">
        <v>15000.11</v>
      </c>
      <c r="C70" s="3">
        <v>15000.11</v>
      </c>
      <c r="D70" s="3">
        <v>15000.12</v>
      </c>
    </row>
    <row r="71" spans="1:4" ht="14.25" customHeight="1" x14ac:dyDescent="0.3">
      <c r="A71" s="3">
        <f>A70-B70</f>
        <v>1.9999999998617568E-2</v>
      </c>
      <c r="B71" s="3"/>
      <c r="C71" s="3">
        <f>C70-D70</f>
        <v>-1.0000000000218279E-2</v>
      </c>
      <c r="D71" s="3"/>
    </row>
    <row r="72" spans="1:4" ht="14.25" customHeight="1" x14ac:dyDescent="0.3">
      <c r="A72" s="236" t="s">
        <v>56</v>
      </c>
      <c r="B72" s="234"/>
      <c r="C72" s="235"/>
      <c r="D72" s="24">
        <f>_xlfn.STDEV.S(A59,C59,A62,C62,A65,C65,A68,C68,A71,C71)</f>
        <v>1.7511900715408108E-2</v>
      </c>
    </row>
    <row r="73" spans="1:4" ht="14.25" customHeight="1" x14ac:dyDescent="0.3"/>
    <row r="74" spans="1:4" ht="14.25" customHeight="1" x14ac:dyDescent="0.3">
      <c r="A74" s="237" t="s">
        <v>90</v>
      </c>
      <c r="B74" s="234"/>
      <c r="C74" s="234"/>
      <c r="D74" s="235"/>
    </row>
    <row r="75" spans="1:4" ht="14.25" customHeight="1" x14ac:dyDescent="0.3">
      <c r="A75" s="15" t="s">
        <v>61</v>
      </c>
      <c r="B75" s="15" t="s">
        <v>51</v>
      </c>
      <c r="C75" s="15" t="s">
        <v>62</v>
      </c>
      <c r="D75" s="15" t="s">
        <v>63</v>
      </c>
    </row>
    <row r="76" spans="1:4" ht="14.25" customHeight="1" x14ac:dyDescent="0.3">
      <c r="A76" s="3">
        <v>15000.11</v>
      </c>
      <c r="B76" s="3">
        <v>15000.11</v>
      </c>
      <c r="C76" s="3">
        <v>15000.11</v>
      </c>
      <c r="D76" s="3">
        <v>15000.1</v>
      </c>
    </row>
    <row r="77" spans="1:4" ht="14.25" customHeight="1" x14ac:dyDescent="0.3">
      <c r="A77" s="3">
        <f>A76-B76</f>
        <v>0</v>
      </c>
      <c r="B77" s="3"/>
      <c r="C77" s="3">
        <f>C76-D76</f>
        <v>1.0000000000218279E-2</v>
      </c>
      <c r="D77" s="3"/>
    </row>
    <row r="78" spans="1:4" ht="14.25" customHeight="1" x14ac:dyDescent="0.3">
      <c r="A78" s="15" t="s">
        <v>65</v>
      </c>
      <c r="B78" s="15" t="s">
        <v>66</v>
      </c>
      <c r="C78" s="15" t="s">
        <v>67</v>
      </c>
      <c r="D78" s="15" t="s">
        <v>68</v>
      </c>
    </row>
    <row r="79" spans="1:4" ht="14.25" customHeight="1" x14ac:dyDescent="0.3">
      <c r="A79" s="3">
        <v>15000.13</v>
      </c>
      <c r="B79" s="3">
        <v>15000.11</v>
      </c>
      <c r="C79" s="3">
        <v>15000.14</v>
      </c>
      <c r="D79" s="3">
        <v>15000.13</v>
      </c>
    </row>
    <row r="80" spans="1:4" ht="14.25" customHeight="1" x14ac:dyDescent="0.3">
      <c r="A80" s="3">
        <f>A79-B79</f>
        <v>1.9999999998617568E-2</v>
      </c>
      <c r="B80" s="3"/>
      <c r="C80" s="3">
        <f>C79-D79</f>
        <v>1.0000000000218279E-2</v>
      </c>
      <c r="D80" s="3"/>
    </row>
    <row r="81" spans="1:4" ht="14.25" customHeight="1" x14ac:dyDescent="0.3">
      <c r="A81" s="15" t="s">
        <v>74</v>
      </c>
      <c r="B81" s="15" t="s">
        <v>75</v>
      </c>
      <c r="C81" s="15" t="s">
        <v>76</v>
      </c>
      <c r="D81" s="15" t="s">
        <v>77</v>
      </c>
    </row>
    <row r="82" spans="1:4" ht="14.25" customHeight="1" x14ac:dyDescent="0.3">
      <c r="A82" s="3">
        <v>15000.14</v>
      </c>
      <c r="B82" s="3">
        <v>15000.11</v>
      </c>
      <c r="C82" s="3">
        <v>15000.12</v>
      </c>
      <c r="D82" s="3">
        <v>15000.09</v>
      </c>
    </row>
    <row r="83" spans="1:4" ht="14.25" customHeight="1" x14ac:dyDescent="0.3">
      <c r="A83" s="3">
        <f>A82-B82</f>
        <v>2.9999999998835847E-2</v>
      </c>
      <c r="B83" s="3"/>
      <c r="C83" s="3">
        <f>C82-D82</f>
        <v>3.0000000000654836E-2</v>
      </c>
      <c r="D83" s="3"/>
    </row>
    <row r="84" spans="1:4" ht="14.25" customHeight="1" x14ac:dyDescent="0.3">
      <c r="A84" s="15" t="s">
        <v>79</v>
      </c>
      <c r="B84" s="15" t="s">
        <v>80</v>
      </c>
      <c r="C84" s="15" t="s">
        <v>81</v>
      </c>
      <c r="D84" s="15" t="s">
        <v>82</v>
      </c>
    </row>
    <row r="85" spans="1:4" ht="14.25" customHeight="1" x14ac:dyDescent="0.3">
      <c r="A85" s="3">
        <v>15000.11</v>
      </c>
      <c r="B85" s="3">
        <v>15000.11</v>
      </c>
      <c r="C85" s="3">
        <v>15000.1</v>
      </c>
      <c r="D85" s="3">
        <v>15000.11</v>
      </c>
    </row>
    <row r="86" spans="1:4" ht="14.25" customHeight="1" x14ac:dyDescent="0.3">
      <c r="A86" s="3">
        <f>A85-B85</f>
        <v>0</v>
      </c>
      <c r="B86" s="3"/>
      <c r="C86" s="3">
        <f>C85-D85</f>
        <v>-1.0000000000218279E-2</v>
      </c>
      <c r="D86" s="3"/>
    </row>
    <row r="87" spans="1:4" ht="14.25" customHeight="1" x14ac:dyDescent="0.3">
      <c r="A87" s="15" t="s">
        <v>83</v>
      </c>
      <c r="B87" s="15" t="s">
        <v>84</v>
      </c>
      <c r="C87" s="15" t="s">
        <v>85</v>
      </c>
      <c r="D87" s="15" t="s">
        <v>86</v>
      </c>
    </row>
    <row r="88" spans="1:4" ht="14.25" customHeight="1" x14ac:dyDescent="0.3">
      <c r="A88" s="3">
        <v>15000.1</v>
      </c>
      <c r="B88" s="3">
        <v>15000.1</v>
      </c>
      <c r="C88" s="3">
        <v>15000.13</v>
      </c>
      <c r="D88" s="3">
        <v>15000.11</v>
      </c>
    </row>
    <row r="89" spans="1:4" ht="14.25" customHeight="1" x14ac:dyDescent="0.3">
      <c r="A89" s="3">
        <f>A88-B88</f>
        <v>0</v>
      </c>
      <c r="B89" s="3"/>
      <c r="C89" s="3">
        <f>C88-D88</f>
        <v>1.9999999998617568E-2</v>
      </c>
      <c r="D89" s="3"/>
    </row>
    <row r="90" spans="1:4" ht="14.25" customHeight="1" x14ac:dyDescent="0.3">
      <c r="A90" s="236" t="s">
        <v>56</v>
      </c>
      <c r="B90" s="234"/>
      <c r="C90" s="235"/>
      <c r="D90" s="24">
        <f>_xlfn.STDEV.S(A77,C77,A80,C80,A83,C83,A86,C86,A89,C89)</f>
        <v>1.3703203193816372E-2</v>
      </c>
    </row>
    <row r="91" spans="1:4" ht="14.25" customHeight="1" x14ac:dyDescent="0.3"/>
    <row r="92" spans="1:4" ht="14.25" customHeight="1" x14ac:dyDescent="0.3">
      <c r="A92" s="237" t="s">
        <v>91</v>
      </c>
      <c r="B92" s="234"/>
      <c r="C92" s="234"/>
      <c r="D92" s="235"/>
    </row>
    <row r="93" spans="1:4" ht="14.25" customHeight="1" x14ac:dyDescent="0.3">
      <c r="A93" s="15" t="s">
        <v>61</v>
      </c>
      <c r="B93" s="15" t="s">
        <v>51</v>
      </c>
      <c r="C93" s="15" t="s">
        <v>62</v>
      </c>
      <c r="D93" s="15" t="s">
        <v>63</v>
      </c>
    </row>
    <row r="94" spans="1:4" ht="14.25" customHeight="1" x14ac:dyDescent="0.3">
      <c r="A94" s="3">
        <v>15000.09</v>
      </c>
      <c r="B94" s="3">
        <v>15000.11</v>
      </c>
      <c r="C94" s="3">
        <v>15000.08</v>
      </c>
      <c r="D94" s="3">
        <v>15000.09</v>
      </c>
    </row>
    <row r="95" spans="1:4" ht="14.25" customHeight="1" x14ac:dyDescent="0.3">
      <c r="A95" s="3">
        <f>A94-B94</f>
        <v>-2.0000000000436557E-2</v>
      </c>
      <c r="B95" s="3"/>
      <c r="C95" s="3">
        <f>C94-D94</f>
        <v>-1.0000000000218279E-2</v>
      </c>
      <c r="D95" s="3"/>
    </row>
    <row r="96" spans="1:4" ht="14.25" customHeight="1" x14ac:dyDescent="0.3">
      <c r="A96" s="15" t="s">
        <v>65</v>
      </c>
      <c r="B96" s="15" t="s">
        <v>66</v>
      </c>
      <c r="C96" s="15" t="s">
        <v>67</v>
      </c>
      <c r="D96" s="15" t="s">
        <v>68</v>
      </c>
    </row>
    <row r="97" spans="1:4" ht="14.25" customHeight="1" x14ac:dyDescent="0.3">
      <c r="A97" s="3">
        <v>15000.08</v>
      </c>
      <c r="B97" s="3">
        <v>15000.09</v>
      </c>
      <c r="C97" s="3">
        <v>15000.1</v>
      </c>
      <c r="D97" s="3">
        <v>15000.1</v>
      </c>
    </row>
    <row r="98" spans="1:4" ht="14.25" customHeight="1" x14ac:dyDescent="0.3">
      <c r="A98" s="3">
        <f>A97-B97</f>
        <v>-1.0000000000218279E-2</v>
      </c>
      <c r="B98" s="3"/>
      <c r="C98" s="3">
        <f>C97-D97</f>
        <v>0</v>
      </c>
      <c r="D98" s="3"/>
    </row>
    <row r="99" spans="1:4" ht="14.25" customHeight="1" x14ac:dyDescent="0.3">
      <c r="A99" s="15" t="s">
        <v>74</v>
      </c>
      <c r="B99" s="15" t="s">
        <v>75</v>
      </c>
      <c r="C99" s="15" t="s">
        <v>76</v>
      </c>
      <c r="D99" s="15" t="s">
        <v>77</v>
      </c>
    </row>
    <row r="100" spans="1:4" ht="14.25" customHeight="1" x14ac:dyDescent="0.3">
      <c r="A100" s="3">
        <v>15000.08</v>
      </c>
      <c r="B100" s="3">
        <v>15000.08</v>
      </c>
      <c r="C100" s="3">
        <v>15000.09</v>
      </c>
      <c r="D100" s="3">
        <v>15000.08</v>
      </c>
    </row>
    <row r="101" spans="1:4" ht="14.25" customHeight="1" x14ac:dyDescent="0.3">
      <c r="A101" s="3">
        <f>A100-B100</f>
        <v>0</v>
      </c>
      <c r="B101" s="3"/>
      <c r="C101" s="3">
        <f>C100-D100</f>
        <v>1.0000000000218279E-2</v>
      </c>
      <c r="D101" s="3"/>
    </row>
    <row r="102" spans="1:4" ht="14.25" customHeight="1" x14ac:dyDescent="0.3">
      <c r="A102" s="15" t="s">
        <v>79</v>
      </c>
      <c r="B102" s="15" t="s">
        <v>80</v>
      </c>
      <c r="C102" s="15" t="s">
        <v>81</v>
      </c>
      <c r="D102" s="15" t="s">
        <v>82</v>
      </c>
    </row>
    <row r="103" spans="1:4" ht="14.25" customHeight="1" x14ac:dyDescent="0.3">
      <c r="A103" s="3">
        <v>15000.12</v>
      </c>
      <c r="B103" s="3">
        <v>15000.09</v>
      </c>
      <c r="C103" s="3">
        <v>15000.11</v>
      </c>
      <c r="D103" s="3">
        <v>15000.08</v>
      </c>
    </row>
    <row r="104" spans="1:4" ht="14.25" customHeight="1" x14ac:dyDescent="0.3">
      <c r="A104" s="3">
        <f>A103-B103</f>
        <v>3.0000000000654836E-2</v>
      </c>
      <c r="B104" s="3"/>
      <c r="C104" s="3">
        <f>C103-D103</f>
        <v>3.0000000000654836E-2</v>
      </c>
      <c r="D104" s="3"/>
    </row>
    <row r="105" spans="1:4" ht="14.25" customHeight="1" x14ac:dyDescent="0.3">
      <c r="A105" s="15" t="s">
        <v>83</v>
      </c>
      <c r="B105" s="15" t="s">
        <v>84</v>
      </c>
      <c r="C105" s="15" t="s">
        <v>85</v>
      </c>
      <c r="D105" s="15" t="s">
        <v>86</v>
      </c>
    </row>
    <row r="106" spans="1:4" ht="14.25" customHeight="1" x14ac:dyDescent="0.3">
      <c r="A106" s="3">
        <v>15000.1</v>
      </c>
      <c r="B106" s="3">
        <v>15000.09</v>
      </c>
      <c r="C106" s="3">
        <v>15000.08</v>
      </c>
      <c r="D106" s="3">
        <v>15000.09</v>
      </c>
    </row>
    <row r="107" spans="1:4" ht="14.25" customHeight="1" x14ac:dyDescent="0.3">
      <c r="A107" s="3">
        <f>A106-B106</f>
        <v>1.0000000000218279E-2</v>
      </c>
      <c r="B107" s="3"/>
      <c r="C107" s="3">
        <f>C106-D106</f>
        <v>-1.0000000000218279E-2</v>
      </c>
      <c r="D107" s="3"/>
    </row>
    <row r="108" spans="1:4" ht="14.25" customHeight="1" x14ac:dyDescent="0.3">
      <c r="A108" s="236" t="s">
        <v>56</v>
      </c>
      <c r="B108" s="234"/>
      <c r="C108" s="235"/>
      <c r="D108" s="24">
        <f>_xlfn.STDEV.S(A95,C95,A98,C98,A101,C101,A104,C104,A107,C107)</f>
        <v>1.7029386366298117E-2</v>
      </c>
    </row>
    <row r="109" spans="1:4" ht="14.25" customHeight="1" x14ac:dyDescent="0.3"/>
    <row r="110" spans="1:4" ht="14.25" customHeight="1" x14ac:dyDescent="0.3"/>
    <row r="111" spans="1:4" ht="14.25" customHeight="1" x14ac:dyDescent="0.3"/>
    <row r="112" spans="1:4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F7:G7"/>
    <mergeCell ref="A108:C108"/>
    <mergeCell ref="A2:D2"/>
    <mergeCell ref="A18:C18"/>
    <mergeCell ref="A20:D20"/>
    <mergeCell ref="A36:C36"/>
    <mergeCell ref="A38:D38"/>
    <mergeCell ref="A56:D56"/>
    <mergeCell ref="A54:C54"/>
    <mergeCell ref="A72:C72"/>
    <mergeCell ref="A74:D74"/>
    <mergeCell ref="A90:C90"/>
    <mergeCell ref="A92:D9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1" width="1.88671875" customWidth="1"/>
    <col min="2" max="2" width="12.6640625" customWidth="1"/>
    <col min="3" max="4" width="10.88671875" customWidth="1"/>
    <col min="5" max="26" width="9" customWidth="1"/>
  </cols>
  <sheetData>
    <row r="1" spans="1:26" ht="14.25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 x14ac:dyDescent="0.3">
      <c r="A2" s="26"/>
      <c r="B2" s="3"/>
      <c r="C2" s="27" t="s">
        <v>92</v>
      </c>
      <c r="D2" s="28" t="s">
        <v>93</v>
      </c>
      <c r="E2" s="26"/>
      <c r="F2" s="29" t="s">
        <v>94</v>
      </c>
      <c r="G2" s="9"/>
      <c r="H2" s="9"/>
      <c r="I2" s="9"/>
      <c r="J2" s="30"/>
      <c r="K2" s="30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customHeight="1" x14ac:dyDescent="0.3">
      <c r="A3" s="26"/>
      <c r="B3" s="28" t="s">
        <v>95</v>
      </c>
      <c r="C3" s="28">
        <f>'U95 Beban'!D34</f>
        <v>20.5</v>
      </c>
      <c r="D3" s="28">
        <f>'U95 Beban'!D37</f>
        <v>51.6</v>
      </c>
      <c r="E3" s="26"/>
      <c r="F3" s="31" t="s">
        <v>96</v>
      </c>
      <c r="G3" s="9"/>
      <c r="H3" s="9"/>
      <c r="I3" s="31" t="s">
        <v>97</v>
      </c>
      <c r="J3" s="9"/>
      <c r="K3" s="30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 x14ac:dyDescent="0.3">
      <c r="A4" s="26"/>
      <c r="B4" s="28" t="s">
        <v>98</v>
      </c>
      <c r="C4" s="28">
        <f>'U95 Beban'!D35</f>
        <v>20.399999999999999</v>
      </c>
      <c r="D4" s="28">
        <f>'U95 Beban'!D38</f>
        <v>51</v>
      </c>
      <c r="E4" s="26"/>
      <c r="F4" s="32" t="s">
        <v>99</v>
      </c>
      <c r="G4" s="32" t="s">
        <v>100</v>
      </c>
      <c r="H4" s="27" t="s">
        <v>55</v>
      </c>
      <c r="I4" s="32" t="s">
        <v>101</v>
      </c>
      <c r="J4" s="32" t="s">
        <v>100</v>
      </c>
      <c r="K4" s="28" t="s">
        <v>55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25" customHeight="1" x14ac:dyDescent="0.3">
      <c r="A5" s="26"/>
      <c r="B5" s="28" t="s">
        <v>102</v>
      </c>
      <c r="C5" s="33">
        <f t="shared" ref="C5:D5" si="0">AVERAGE(C3:C4)</f>
        <v>20.45</v>
      </c>
      <c r="D5" s="28">
        <f t="shared" si="0"/>
        <v>51.3</v>
      </c>
      <c r="E5" s="26"/>
      <c r="F5" s="27">
        <v>20</v>
      </c>
      <c r="G5" s="27">
        <v>0.1</v>
      </c>
      <c r="H5" s="27">
        <v>2</v>
      </c>
      <c r="I5" s="27">
        <v>40</v>
      </c>
      <c r="J5" s="27">
        <v>0.2</v>
      </c>
      <c r="K5" s="28">
        <v>2.5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25" customHeight="1" x14ac:dyDescent="0.3">
      <c r="A6" s="26"/>
      <c r="B6" s="27" t="s">
        <v>103</v>
      </c>
      <c r="C6" s="34">
        <f>C5+FORECAST(C5,G5:G9,F5:F9)</f>
        <v>20.492000000000001</v>
      </c>
      <c r="D6" s="33">
        <f>D5+FORECAST(D5,J5:J9,I5:I9)</f>
        <v>51.201799999999999</v>
      </c>
      <c r="E6" s="26"/>
      <c r="F6" s="27">
        <v>25</v>
      </c>
      <c r="G6" s="27">
        <v>-0.2</v>
      </c>
      <c r="H6" s="3">
        <v>2</v>
      </c>
      <c r="I6" s="27">
        <v>50</v>
      </c>
      <c r="J6" s="27">
        <v>-0.3</v>
      </c>
      <c r="K6" s="28">
        <v>2.8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25" customHeight="1" x14ac:dyDescent="0.3">
      <c r="A7" s="26"/>
      <c r="B7" s="28" t="s">
        <v>55</v>
      </c>
      <c r="C7" s="34">
        <v>2</v>
      </c>
      <c r="D7" s="34">
        <f>FORECAST(D6,K5:K9,I5:I9)</f>
        <v>2.6727892</v>
      </c>
      <c r="E7" s="26"/>
      <c r="F7" s="27">
        <v>30</v>
      </c>
      <c r="G7" s="27">
        <v>-0.3</v>
      </c>
      <c r="H7" s="3">
        <v>2</v>
      </c>
      <c r="I7" s="27">
        <v>60</v>
      </c>
      <c r="J7" s="27">
        <v>-0.3</v>
      </c>
      <c r="K7" s="28">
        <v>3.2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25" customHeight="1" x14ac:dyDescent="0.3">
      <c r="A8" s="26"/>
      <c r="B8" s="28" t="s">
        <v>104</v>
      </c>
      <c r="C8" s="34">
        <f t="shared" ref="C8:D8" si="1">(MAX(C3:C4)-C5+C5-MIN(C3:C4))/2</f>
        <v>5.0000000000000711E-2</v>
      </c>
      <c r="D8" s="34">
        <f t="shared" si="1"/>
        <v>0.30000000000000071</v>
      </c>
      <c r="E8" s="26"/>
      <c r="F8" s="27">
        <v>35</v>
      </c>
      <c r="G8" s="27">
        <v>-0.6</v>
      </c>
      <c r="H8" s="3">
        <v>2</v>
      </c>
      <c r="I8" s="27">
        <v>70</v>
      </c>
      <c r="J8" s="27">
        <v>-0.1</v>
      </c>
      <c r="K8" s="28">
        <v>2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4.25" customHeight="1" x14ac:dyDescent="0.3">
      <c r="A9" s="26"/>
      <c r="B9" s="28" t="s">
        <v>105</v>
      </c>
      <c r="C9" s="34">
        <f t="shared" ref="C9:D9" si="2">C7+C8</f>
        <v>2.0500000000000007</v>
      </c>
      <c r="D9" s="34">
        <f t="shared" si="2"/>
        <v>2.9727892000000007</v>
      </c>
      <c r="E9" s="26"/>
      <c r="F9" s="27">
        <v>40</v>
      </c>
      <c r="G9" s="27">
        <v>-0.7</v>
      </c>
      <c r="H9" s="3">
        <v>2</v>
      </c>
      <c r="I9" s="27">
        <v>80</v>
      </c>
      <c r="J9" s="27">
        <v>-0.6</v>
      </c>
      <c r="K9" s="28">
        <v>2.6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4.25" customHeight="1" x14ac:dyDescent="0.3">
      <c r="A10" s="26"/>
      <c r="B10" s="35" t="s">
        <v>106</v>
      </c>
      <c r="C10" s="28" t="str">
        <f t="shared" ref="C10:D10" si="3">FIXED(C6,1)&amp;" ± "&amp;FIXED(C8,1)</f>
        <v>20,5 ± 0,1</v>
      </c>
      <c r="D10" s="28" t="str">
        <f t="shared" si="3"/>
        <v>51,2 ± 0,3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4.25" customHeight="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25" customHeigh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25" customHeight="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25" customHeigh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25" customHeigh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25" customHeigh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25" customHeight="1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25" customHeight="1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25" customHeight="1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25" customHeight="1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25" customHeight="1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25" customHeight="1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25" customHeight="1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25" customHeight="1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25" customHeight="1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25" customHeight="1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25" customHeight="1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25" customHeight="1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25" customHeight="1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25" customHeight="1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25" customHeight="1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25" customHeight="1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25" customHeight="1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25" customHeight="1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25" customHeight="1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25" customHeight="1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25" customHeight="1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25" customHeight="1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25" customHeight="1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25" customHeight="1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25" customHeight="1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25" customHeight="1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25" customHeight="1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25" customHeight="1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25" customHeight="1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25" customHeight="1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25" customHeight="1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25" customHeight="1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25" customHeight="1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25" customHeight="1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25" customHeight="1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25" customHeight="1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25" customHeight="1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25" customHeight="1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25" customHeight="1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25" customHeight="1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25" customHeight="1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25" customHeight="1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25" customHeight="1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25" customHeight="1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25" customHeight="1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25" customHeight="1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25" customHeight="1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25" customHeight="1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25" customHeight="1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25" customHeight="1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25" customHeight="1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25" customHeight="1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25" customHeight="1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25" customHeight="1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25" customHeight="1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25" customHeight="1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25" customHeight="1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25" customHeight="1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25" customHeight="1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25" customHeight="1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25" customHeight="1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25" customHeight="1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25" customHeight="1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25" customHeight="1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25" customHeight="1" x14ac:dyDescent="0.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25" customHeight="1" x14ac:dyDescent="0.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25" customHeight="1" x14ac:dyDescent="0.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25" customHeight="1" x14ac:dyDescent="0.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25" customHeight="1" x14ac:dyDescent="0.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25" customHeight="1" x14ac:dyDescent="0.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25" customHeight="1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25" customHeight="1" x14ac:dyDescent="0.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25" customHeight="1" x14ac:dyDescent="0.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25" customHeight="1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25" customHeight="1" x14ac:dyDescent="0.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25" customHeight="1" x14ac:dyDescent="0.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25" customHeight="1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25" customHeight="1" x14ac:dyDescent="0.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25" customHeight="1" x14ac:dyDescent="0.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25" customHeight="1" x14ac:dyDescent="0.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25" customHeight="1" x14ac:dyDescent="0.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25" customHeight="1" x14ac:dyDescent="0.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25" customHeight="1" x14ac:dyDescent="0.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25" customHeight="1" x14ac:dyDescent="0.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25" customHeight="1" x14ac:dyDescent="0.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25" customHeight="1" x14ac:dyDescent="0.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25" customHeight="1" x14ac:dyDescent="0.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25" customHeight="1" x14ac:dyDescent="0.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25" customHeight="1" x14ac:dyDescent="0.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25" customHeight="1" x14ac:dyDescent="0.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25" customHeight="1" x14ac:dyDescent="0.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25" customHeight="1" x14ac:dyDescent="0.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25" customHeight="1" x14ac:dyDescent="0.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25" customHeight="1" x14ac:dyDescent="0.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25" customHeight="1" x14ac:dyDescent="0.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25" customHeight="1" x14ac:dyDescent="0.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25" customHeight="1" x14ac:dyDescent="0.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25" customHeight="1" x14ac:dyDescent="0.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25" customHeight="1" x14ac:dyDescent="0.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25" customHeight="1" x14ac:dyDescent="0.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25" customHeight="1" x14ac:dyDescent="0.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25" customHeight="1" x14ac:dyDescent="0.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25" customHeight="1" x14ac:dyDescent="0.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25" customHeight="1" x14ac:dyDescent="0.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25" customHeight="1" x14ac:dyDescent="0.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25" customHeight="1" x14ac:dyDescent="0.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25" customHeight="1" x14ac:dyDescent="0.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25" customHeight="1" x14ac:dyDescent="0.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25" customHeight="1" x14ac:dyDescent="0.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25" customHeight="1" x14ac:dyDescent="0.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25" customHeight="1" x14ac:dyDescent="0.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25" customHeight="1" x14ac:dyDescent="0.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25" customHeight="1" x14ac:dyDescent="0.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25" customHeight="1" x14ac:dyDescent="0.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25" customHeight="1" x14ac:dyDescent="0.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25" customHeight="1" x14ac:dyDescent="0.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25" customHeight="1" x14ac:dyDescent="0.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25" customHeight="1" x14ac:dyDescent="0.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25" customHeight="1" x14ac:dyDescent="0.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25" customHeight="1" x14ac:dyDescent="0.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25" customHeight="1" x14ac:dyDescent="0.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25" customHeight="1" x14ac:dyDescent="0.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25" customHeight="1" x14ac:dyDescent="0.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25" customHeight="1" x14ac:dyDescent="0.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25" customHeight="1" x14ac:dyDescent="0.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25" customHeight="1" x14ac:dyDescent="0.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25" customHeight="1" x14ac:dyDescent="0.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25" customHeight="1" x14ac:dyDescent="0.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25" customHeight="1" x14ac:dyDescent="0.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25" customHeight="1" x14ac:dyDescent="0.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25" customHeight="1" x14ac:dyDescent="0.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25" customHeight="1" x14ac:dyDescent="0.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25" customHeight="1" x14ac:dyDescent="0.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25" customHeight="1" x14ac:dyDescent="0.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25" customHeight="1" x14ac:dyDescent="0.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25" customHeight="1" x14ac:dyDescent="0.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25" customHeight="1" x14ac:dyDescent="0.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25" customHeight="1" x14ac:dyDescent="0.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25" customHeight="1" x14ac:dyDescent="0.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25" customHeight="1" x14ac:dyDescent="0.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25" customHeight="1" x14ac:dyDescent="0.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25" customHeight="1" x14ac:dyDescent="0.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25" customHeight="1" x14ac:dyDescent="0.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25" customHeight="1" x14ac:dyDescent="0.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25" customHeight="1" x14ac:dyDescent="0.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25" customHeight="1" x14ac:dyDescent="0.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25" customHeight="1" x14ac:dyDescent="0.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 x14ac:dyDescent="0.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 x14ac:dyDescent="0.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 x14ac:dyDescent="0.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 x14ac:dyDescent="0.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 x14ac:dyDescent="0.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 x14ac:dyDescent="0.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 x14ac:dyDescent="0.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 x14ac:dyDescent="0.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 x14ac:dyDescent="0.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 x14ac:dyDescent="0.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 x14ac:dyDescent="0.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 x14ac:dyDescent="0.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25" customHeight="1" x14ac:dyDescent="0.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25" customHeight="1" x14ac:dyDescent="0.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25" customHeight="1" x14ac:dyDescent="0.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25" customHeight="1" x14ac:dyDescent="0.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 x14ac:dyDescent="0.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 x14ac:dyDescent="0.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 x14ac:dyDescent="0.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 x14ac:dyDescent="0.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 x14ac:dyDescent="0.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 x14ac:dyDescent="0.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 x14ac:dyDescent="0.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 x14ac:dyDescent="0.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 x14ac:dyDescent="0.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 x14ac:dyDescent="0.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 x14ac:dyDescent="0.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 x14ac:dyDescent="0.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 x14ac:dyDescent="0.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 x14ac:dyDescent="0.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 x14ac:dyDescent="0.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 x14ac:dyDescent="0.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 x14ac:dyDescent="0.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 x14ac:dyDescent="0.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 x14ac:dyDescent="0.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 x14ac:dyDescent="0.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 x14ac:dyDescent="0.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 x14ac:dyDescent="0.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 x14ac:dyDescent="0.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 x14ac:dyDescent="0.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 x14ac:dyDescent="0.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 x14ac:dyDescent="0.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 x14ac:dyDescent="0.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 x14ac:dyDescent="0.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 x14ac:dyDescent="0.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 x14ac:dyDescent="0.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 x14ac:dyDescent="0.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 x14ac:dyDescent="0.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 x14ac:dyDescent="0.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 x14ac:dyDescent="0.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 x14ac:dyDescent="0.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25" customHeight="1" x14ac:dyDescent="0.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25" customHeight="1" x14ac:dyDescent="0.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25" customHeight="1" x14ac:dyDescent="0.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25" customHeight="1" x14ac:dyDescent="0.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25" customHeight="1" x14ac:dyDescent="0.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25" customHeight="1" x14ac:dyDescent="0.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25" customHeight="1" x14ac:dyDescent="0.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25" customHeight="1" x14ac:dyDescent="0.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25" customHeight="1" x14ac:dyDescent="0.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25" customHeight="1" x14ac:dyDescent="0.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25" customHeight="1" x14ac:dyDescent="0.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25" customHeight="1" x14ac:dyDescent="0.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25" customHeight="1" x14ac:dyDescent="0.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25" customHeight="1" x14ac:dyDescent="0.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25" customHeight="1" x14ac:dyDescent="0.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25" customHeight="1" x14ac:dyDescent="0.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25" customHeight="1" x14ac:dyDescent="0.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25" customHeight="1" x14ac:dyDescent="0.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25" customHeight="1" x14ac:dyDescent="0.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25" customHeight="1" x14ac:dyDescent="0.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25" customHeight="1" x14ac:dyDescent="0.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25" customHeight="1" x14ac:dyDescent="0.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25" customHeight="1" x14ac:dyDescent="0.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25" customHeight="1" x14ac:dyDescent="0.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25" customHeight="1" x14ac:dyDescent="0.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25" customHeight="1" x14ac:dyDescent="0.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25" customHeight="1" x14ac:dyDescent="0.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25" customHeight="1" x14ac:dyDescent="0.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25" customHeight="1" x14ac:dyDescent="0.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25" customHeight="1" x14ac:dyDescent="0.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25" customHeight="1" x14ac:dyDescent="0.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25" customHeight="1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25" customHeight="1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25" customHeight="1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25" customHeight="1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25" customHeight="1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25" customHeight="1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25" customHeight="1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25" customHeight="1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25" customHeight="1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25" customHeight="1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25" customHeight="1" x14ac:dyDescent="0.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25" customHeight="1" x14ac:dyDescent="0.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25" customHeight="1" x14ac:dyDescent="0.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25" customHeight="1" x14ac:dyDescent="0.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25" customHeight="1" x14ac:dyDescent="0.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25" customHeight="1" x14ac:dyDescent="0.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25" customHeight="1" x14ac:dyDescent="0.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25" customHeight="1" x14ac:dyDescent="0.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25" customHeight="1" x14ac:dyDescent="0.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25" customHeight="1" x14ac:dyDescent="0.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25" customHeight="1" x14ac:dyDescent="0.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25" customHeight="1" x14ac:dyDescent="0.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25" customHeight="1" x14ac:dyDescent="0.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25" customHeight="1" x14ac:dyDescent="0.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25" customHeight="1" x14ac:dyDescent="0.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25" customHeight="1" x14ac:dyDescent="0.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25" customHeight="1" x14ac:dyDescent="0.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25" customHeight="1" x14ac:dyDescent="0.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25" customHeight="1" x14ac:dyDescent="0.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25" customHeight="1" x14ac:dyDescent="0.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25" customHeight="1" x14ac:dyDescent="0.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25" customHeight="1" x14ac:dyDescent="0.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25" customHeight="1" x14ac:dyDescent="0.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25" customHeight="1" x14ac:dyDescent="0.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25" customHeight="1" x14ac:dyDescent="0.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25" customHeight="1" x14ac:dyDescent="0.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25" customHeight="1" x14ac:dyDescent="0.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25" customHeight="1" x14ac:dyDescent="0.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25" customHeight="1" x14ac:dyDescent="0.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25" customHeight="1" x14ac:dyDescent="0.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25" customHeight="1" x14ac:dyDescent="0.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25" customHeight="1" x14ac:dyDescent="0.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25" customHeight="1" x14ac:dyDescent="0.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25" customHeight="1" x14ac:dyDescent="0.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25" customHeight="1" x14ac:dyDescent="0.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25" customHeight="1" x14ac:dyDescent="0.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25" customHeight="1" x14ac:dyDescent="0.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25" customHeight="1" x14ac:dyDescent="0.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25" customHeight="1" x14ac:dyDescent="0.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25" customHeight="1" x14ac:dyDescent="0.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25" customHeight="1" x14ac:dyDescent="0.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25" customHeight="1" x14ac:dyDescent="0.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25" customHeight="1" x14ac:dyDescent="0.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25" customHeight="1" x14ac:dyDescent="0.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25" customHeight="1" x14ac:dyDescent="0.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25" customHeight="1" x14ac:dyDescent="0.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25" customHeight="1" x14ac:dyDescent="0.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25" customHeight="1" x14ac:dyDescent="0.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25" customHeight="1" x14ac:dyDescent="0.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25" customHeight="1" x14ac:dyDescent="0.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25" customHeight="1" x14ac:dyDescent="0.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25" customHeight="1" x14ac:dyDescent="0.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25" customHeight="1" x14ac:dyDescent="0.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25" customHeight="1" x14ac:dyDescent="0.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25" customHeight="1" x14ac:dyDescent="0.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25" customHeight="1" x14ac:dyDescent="0.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25" customHeight="1" x14ac:dyDescent="0.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25" customHeight="1" x14ac:dyDescent="0.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25" customHeight="1" x14ac:dyDescent="0.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25" customHeight="1" x14ac:dyDescent="0.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25" customHeight="1" x14ac:dyDescent="0.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25" customHeight="1" x14ac:dyDescent="0.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25" customHeight="1" x14ac:dyDescent="0.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25" customHeight="1" x14ac:dyDescent="0.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25" customHeight="1" x14ac:dyDescent="0.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25" customHeight="1" x14ac:dyDescent="0.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25" customHeight="1" x14ac:dyDescent="0.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25" customHeight="1" x14ac:dyDescent="0.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25" customHeight="1" x14ac:dyDescent="0.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25" customHeight="1" x14ac:dyDescent="0.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25" customHeight="1" x14ac:dyDescent="0.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25" customHeight="1" x14ac:dyDescent="0.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25" customHeight="1" x14ac:dyDescent="0.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25" customHeight="1" x14ac:dyDescent="0.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25" customHeight="1" x14ac:dyDescent="0.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25" customHeight="1" x14ac:dyDescent="0.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25" customHeight="1" x14ac:dyDescent="0.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25" customHeight="1" x14ac:dyDescent="0.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25" customHeight="1" x14ac:dyDescent="0.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25" customHeight="1" x14ac:dyDescent="0.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25" customHeight="1" x14ac:dyDescent="0.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25" customHeight="1" x14ac:dyDescent="0.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25" customHeight="1" x14ac:dyDescent="0.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25" customHeight="1" x14ac:dyDescent="0.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25" customHeight="1" x14ac:dyDescent="0.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25" customHeight="1" x14ac:dyDescent="0.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25" customHeight="1" x14ac:dyDescent="0.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25" customHeight="1" x14ac:dyDescent="0.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25" customHeight="1" x14ac:dyDescent="0.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25" customHeight="1" x14ac:dyDescent="0.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25" customHeight="1" x14ac:dyDescent="0.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25" customHeight="1" x14ac:dyDescent="0.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25" customHeight="1" x14ac:dyDescent="0.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25" customHeight="1" x14ac:dyDescent="0.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25" customHeight="1" x14ac:dyDescent="0.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25" customHeight="1" x14ac:dyDescent="0.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25" customHeight="1" x14ac:dyDescent="0.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25" customHeight="1" x14ac:dyDescent="0.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25" customHeight="1" x14ac:dyDescent="0.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25" customHeight="1" x14ac:dyDescent="0.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25" customHeight="1" x14ac:dyDescent="0.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25" customHeight="1" x14ac:dyDescent="0.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25" customHeight="1" x14ac:dyDescent="0.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25" customHeight="1" x14ac:dyDescent="0.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25" customHeight="1" x14ac:dyDescent="0.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25" customHeight="1" x14ac:dyDescent="0.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25" customHeight="1" x14ac:dyDescent="0.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25" customHeight="1" x14ac:dyDescent="0.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25" customHeight="1" x14ac:dyDescent="0.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25" customHeight="1" x14ac:dyDescent="0.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25" customHeight="1" x14ac:dyDescent="0.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25" customHeight="1" x14ac:dyDescent="0.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25" customHeight="1" x14ac:dyDescent="0.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25" customHeight="1" x14ac:dyDescent="0.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25" customHeight="1" x14ac:dyDescent="0.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25" customHeight="1" x14ac:dyDescent="0.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25" customHeight="1" x14ac:dyDescent="0.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25" customHeight="1" x14ac:dyDescent="0.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25" customHeight="1" x14ac:dyDescent="0.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25" customHeight="1" x14ac:dyDescent="0.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25" customHeight="1" x14ac:dyDescent="0.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25" customHeight="1" x14ac:dyDescent="0.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25" customHeight="1" x14ac:dyDescent="0.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25" customHeight="1" x14ac:dyDescent="0.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25" customHeight="1" x14ac:dyDescent="0.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25" customHeight="1" x14ac:dyDescent="0.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25" customHeight="1" x14ac:dyDescent="0.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25" customHeight="1" x14ac:dyDescent="0.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25" customHeight="1" x14ac:dyDescent="0.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25" customHeight="1" x14ac:dyDescent="0.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25" customHeight="1" x14ac:dyDescent="0.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25" customHeight="1" x14ac:dyDescent="0.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25" customHeight="1" x14ac:dyDescent="0.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25" customHeight="1" x14ac:dyDescent="0.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25" customHeight="1" x14ac:dyDescent="0.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25" customHeight="1" x14ac:dyDescent="0.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25" customHeight="1" x14ac:dyDescent="0.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25" customHeight="1" x14ac:dyDescent="0.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25" customHeight="1" x14ac:dyDescent="0.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25" customHeight="1" x14ac:dyDescent="0.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25" customHeight="1" x14ac:dyDescent="0.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25" customHeight="1" x14ac:dyDescent="0.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25" customHeight="1" x14ac:dyDescent="0.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25" customHeight="1" x14ac:dyDescent="0.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25" customHeight="1" x14ac:dyDescent="0.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25" customHeight="1" x14ac:dyDescent="0.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25" customHeight="1" x14ac:dyDescent="0.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25" customHeight="1" x14ac:dyDescent="0.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25" customHeight="1" x14ac:dyDescent="0.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25" customHeight="1" x14ac:dyDescent="0.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25" customHeight="1" x14ac:dyDescent="0.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25" customHeight="1" x14ac:dyDescent="0.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25" customHeight="1" x14ac:dyDescent="0.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25" customHeight="1" x14ac:dyDescent="0.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25" customHeight="1" x14ac:dyDescent="0.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25" customHeight="1" x14ac:dyDescent="0.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25" customHeight="1" x14ac:dyDescent="0.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25" customHeight="1" x14ac:dyDescent="0.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25" customHeight="1" x14ac:dyDescent="0.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25" customHeight="1" x14ac:dyDescent="0.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25" customHeight="1" x14ac:dyDescent="0.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25" customHeight="1" x14ac:dyDescent="0.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25" customHeight="1" x14ac:dyDescent="0.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25" customHeight="1" x14ac:dyDescent="0.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25" customHeight="1" x14ac:dyDescent="0.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25" customHeight="1" x14ac:dyDescent="0.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25" customHeight="1" x14ac:dyDescent="0.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25" customHeight="1" x14ac:dyDescent="0.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25" customHeight="1" x14ac:dyDescent="0.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25" customHeight="1" x14ac:dyDescent="0.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25" customHeight="1" x14ac:dyDescent="0.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25" customHeight="1" x14ac:dyDescent="0.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25" customHeight="1" x14ac:dyDescent="0.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25" customHeight="1" x14ac:dyDescent="0.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25" customHeight="1" x14ac:dyDescent="0.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25" customHeight="1" x14ac:dyDescent="0.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25" customHeight="1" x14ac:dyDescent="0.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25" customHeight="1" x14ac:dyDescent="0.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25" customHeight="1" x14ac:dyDescent="0.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25" customHeight="1" x14ac:dyDescent="0.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25" customHeight="1" x14ac:dyDescent="0.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25" customHeight="1" x14ac:dyDescent="0.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25" customHeight="1" x14ac:dyDescent="0.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25" customHeight="1" x14ac:dyDescent="0.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25" customHeight="1" x14ac:dyDescent="0.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25" customHeight="1" x14ac:dyDescent="0.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25" customHeight="1" x14ac:dyDescent="0.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25" customHeight="1" x14ac:dyDescent="0.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25" customHeight="1" x14ac:dyDescent="0.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25" customHeight="1" x14ac:dyDescent="0.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25" customHeight="1" x14ac:dyDescent="0.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25" customHeight="1" x14ac:dyDescent="0.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25" customHeight="1" x14ac:dyDescent="0.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25" customHeight="1" x14ac:dyDescent="0.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25" customHeight="1" x14ac:dyDescent="0.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25" customHeight="1" x14ac:dyDescent="0.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25" customHeight="1" x14ac:dyDescent="0.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25" customHeight="1" x14ac:dyDescent="0.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25" customHeight="1" x14ac:dyDescent="0.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25" customHeight="1" x14ac:dyDescent="0.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25" customHeight="1" x14ac:dyDescent="0.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25" customHeight="1" x14ac:dyDescent="0.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25" customHeight="1" x14ac:dyDescent="0.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25" customHeight="1" x14ac:dyDescent="0.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25" customHeight="1" x14ac:dyDescent="0.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25" customHeight="1" x14ac:dyDescent="0.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25" customHeight="1" x14ac:dyDescent="0.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25" customHeight="1" x14ac:dyDescent="0.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25" customHeight="1" x14ac:dyDescent="0.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25" customHeight="1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25" customHeight="1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25" customHeight="1" x14ac:dyDescent="0.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25" customHeight="1" x14ac:dyDescent="0.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25" customHeight="1" x14ac:dyDescent="0.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25" customHeight="1" x14ac:dyDescent="0.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25" customHeight="1" x14ac:dyDescent="0.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25" customHeight="1" x14ac:dyDescent="0.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25" customHeight="1" x14ac:dyDescent="0.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25" customHeight="1" x14ac:dyDescent="0.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25" customHeight="1" x14ac:dyDescent="0.3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25" customHeight="1" x14ac:dyDescent="0.3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25" customHeight="1" x14ac:dyDescent="0.3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25" customHeight="1" x14ac:dyDescent="0.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25" customHeight="1" x14ac:dyDescent="0.3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25" customHeight="1" x14ac:dyDescent="0.3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25" customHeight="1" x14ac:dyDescent="0.3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25" customHeight="1" x14ac:dyDescent="0.3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25" customHeight="1" x14ac:dyDescent="0.3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25" customHeight="1" x14ac:dyDescent="0.3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25" customHeight="1" x14ac:dyDescent="0.3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25" customHeight="1" x14ac:dyDescent="0.3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25" customHeight="1" x14ac:dyDescent="0.3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25" customHeight="1" x14ac:dyDescent="0.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25" customHeight="1" x14ac:dyDescent="0.3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25" customHeight="1" x14ac:dyDescent="0.3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25" customHeight="1" x14ac:dyDescent="0.3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25" customHeight="1" x14ac:dyDescent="0.3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25" customHeight="1" x14ac:dyDescent="0.3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25" customHeight="1" x14ac:dyDescent="0.3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25" customHeight="1" x14ac:dyDescent="0.3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25" customHeight="1" x14ac:dyDescent="0.3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25" customHeight="1" x14ac:dyDescent="0.3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25" customHeight="1" x14ac:dyDescent="0.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25" customHeight="1" x14ac:dyDescent="0.3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25" customHeight="1" x14ac:dyDescent="0.3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25" customHeight="1" x14ac:dyDescent="0.3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25" customHeight="1" x14ac:dyDescent="0.3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25" customHeight="1" x14ac:dyDescent="0.3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25" customHeight="1" x14ac:dyDescent="0.3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25" customHeight="1" x14ac:dyDescent="0.3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25" customHeight="1" x14ac:dyDescent="0.3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25" customHeight="1" x14ac:dyDescent="0.3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25" customHeight="1" x14ac:dyDescent="0.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25" customHeight="1" x14ac:dyDescent="0.3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25" customHeight="1" x14ac:dyDescent="0.3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25" customHeight="1" x14ac:dyDescent="0.3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25" customHeight="1" x14ac:dyDescent="0.3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25" customHeight="1" x14ac:dyDescent="0.3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25" customHeight="1" x14ac:dyDescent="0.3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25" customHeight="1" x14ac:dyDescent="0.3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25" customHeight="1" x14ac:dyDescent="0.3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25" customHeight="1" x14ac:dyDescent="0.3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25" customHeight="1" x14ac:dyDescent="0.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25" customHeight="1" x14ac:dyDescent="0.3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25" customHeight="1" x14ac:dyDescent="0.3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25" customHeight="1" x14ac:dyDescent="0.3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25" customHeight="1" x14ac:dyDescent="0.3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25" customHeight="1" x14ac:dyDescent="0.3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25" customHeight="1" x14ac:dyDescent="0.3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25" customHeight="1" x14ac:dyDescent="0.3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25" customHeight="1" x14ac:dyDescent="0.3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25" customHeight="1" x14ac:dyDescent="0.3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25" customHeight="1" x14ac:dyDescent="0.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25" customHeight="1" x14ac:dyDescent="0.3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25" customHeight="1" x14ac:dyDescent="0.3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25" customHeight="1" x14ac:dyDescent="0.3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25" customHeight="1" x14ac:dyDescent="0.3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25" customHeight="1" x14ac:dyDescent="0.3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25" customHeight="1" x14ac:dyDescent="0.3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25" customHeight="1" x14ac:dyDescent="0.3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25" customHeight="1" x14ac:dyDescent="0.3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25" customHeight="1" x14ac:dyDescent="0.3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25" customHeight="1" x14ac:dyDescent="0.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25" customHeight="1" x14ac:dyDescent="0.3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25" customHeight="1" x14ac:dyDescent="0.3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25" customHeight="1" x14ac:dyDescent="0.3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25" customHeight="1" x14ac:dyDescent="0.3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25" customHeight="1" x14ac:dyDescent="0.3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25" customHeight="1" x14ac:dyDescent="0.3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25" customHeight="1" x14ac:dyDescent="0.3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25" customHeight="1" x14ac:dyDescent="0.3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25" customHeight="1" x14ac:dyDescent="0.3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25" customHeight="1" x14ac:dyDescent="0.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25" customHeight="1" x14ac:dyDescent="0.3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25" customHeight="1" x14ac:dyDescent="0.3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25" customHeight="1" x14ac:dyDescent="0.3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25" customHeight="1" x14ac:dyDescent="0.3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25" customHeight="1" x14ac:dyDescent="0.3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25" customHeight="1" x14ac:dyDescent="0.3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25" customHeight="1" x14ac:dyDescent="0.3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25" customHeight="1" x14ac:dyDescent="0.3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25" customHeight="1" x14ac:dyDescent="0.3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25" customHeight="1" x14ac:dyDescent="0.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25" customHeight="1" x14ac:dyDescent="0.3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25" customHeight="1" x14ac:dyDescent="0.3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25" customHeight="1" x14ac:dyDescent="0.3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25" customHeight="1" x14ac:dyDescent="0.3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25" customHeight="1" x14ac:dyDescent="0.3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25" customHeight="1" x14ac:dyDescent="0.3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25" customHeight="1" x14ac:dyDescent="0.3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25" customHeight="1" x14ac:dyDescent="0.3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25" customHeight="1" x14ac:dyDescent="0.3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25" customHeight="1" x14ac:dyDescent="0.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25" customHeight="1" x14ac:dyDescent="0.3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25" customHeight="1" x14ac:dyDescent="0.3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25" customHeight="1" x14ac:dyDescent="0.3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25" customHeight="1" x14ac:dyDescent="0.3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25" customHeight="1" x14ac:dyDescent="0.3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25" customHeight="1" x14ac:dyDescent="0.3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25" customHeight="1" x14ac:dyDescent="0.3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25" customHeight="1" x14ac:dyDescent="0.3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25" customHeight="1" x14ac:dyDescent="0.3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25" customHeight="1" x14ac:dyDescent="0.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25" customHeight="1" x14ac:dyDescent="0.3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25" customHeight="1" x14ac:dyDescent="0.3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25" customHeight="1" x14ac:dyDescent="0.3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25" customHeight="1" x14ac:dyDescent="0.3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25" customHeight="1" x14ac:dyDescent="0.3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25" customHeight="1" x14ac:dyDescent="0.3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25" customHeight="1" x14ac:dyDescent="0.3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25" customHeight="1" x14ac:dyDescent="0.3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25" customHeight="1" x14ac:dyDescent="0.3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25" customHeight="1" x14ac:dyDescent="0.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25" customHeight="1" x14ac:dyDescent="0.3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25" customHeight="1" x14ac:dyDescent="0.3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25" customHeight="1" x14ac:dyDescent="0.3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25" customHeight="1" x14ac:dyDescent="0.3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25" customHeight="1" x14ac:dyDescent="0.3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25" customHeight="1" x14ac:dyDescent="0.3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25" customHeight="1" x14ac:dyDescent="0.3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25" customHeight="1" x14ac:dyDescent="0.3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25" customHeight="1" x14ac:dyDescent="0.3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25" customHeight="1" x14ac:dyDescent="0.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25" customHeight="1" x14ac:dyDescent="0.3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25" customHeight="1" x14ac:dyDescent="0.3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25" customHeight="1" x14ac:dyDescent="0.3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25" customHeight="1" x14ac:dyDescent="0.3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25" customHeight="1" x14ac:dyDescent="0.3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25" customHeight="1" x14ac:dyDescent="0.3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25" customHeight="1" x14ac:dyDescent="0.3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25" customHeight="1" x14ac:dyDescent="0.3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25" customHeight="1" x14ac:dyDescent="0.3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25" customHeight="1" x14ac:dyDescent="0.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25" customHeight="1" x14ac:dyDescent="0.3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25" customHeight="1" x14ac:dyDescent="0.3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25" customHeight="1" x14ac:dyDescent="0.3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25" customHeight="1" x14ac:dyDescent="0.3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25" customHeight="1" x14ac:dyDescent="0.3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25" customHeight="1" x14ac:dyDescent="0.3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25" customHeight="1" x14ac:dyDescent="0.3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25" customHeight="1" x14ac:dyDescent="0.3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25" customHeight="1" x14ac:dyDescent="0.3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25" customHeight="1" x14ac:dyDescent="0.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25" customHeight="1" x14ac:dyDescent="0.3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25" customHeight="1" x14ac:dyDescent="0.3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25" customHeight="1" x14ac:dyDescent="0.3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25" customHeight="1" x14ac:dyDescent="0.3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25" customHeight="1" x14ac:dyDescent="0.3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25" customHeight="1" x14ac:dyDescent="0.3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25" customHeight="1" x14ac:dyDescent="0.3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25" customHeight="1" x14ac:dyDescent="0.3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25" customHeight="1" x14ac:dyDescent="0.3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25" customHeight="1" x14ac:dyDescent="0.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25" customHeight="1" x14ac:dyDescent="0.3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25" customHeight="1" x14ac:dyDescent="0.3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25" customHeight="1" x14ac:dyDescent="0.3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25" customHeight="1" x14ac:dyDescent="0.3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25" customHeight="1" x14ac:dyDescent="0.3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25" customHeight="1" x14ac:dyDescent="0.3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25" customHeight="1" x14ac:dyDescent="0.3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25" customHeight="1" x14ac:dyDescent="0.3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25" customHeight="1" x14ac:dyDescent="0.3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25" customHeight="1" x14ac:dyDescent="0.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25" customHeight="1" x14ac:dyDescent="0.3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25" customHeight="1" x14ac:dyDescent="0.3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25" customHeight="1" x14ac:dyDescent="0.3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25" customHeight="1" x14ac:dyDescent="0.3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25" customHeight="1" x14ac:dyDescent="0.3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25" customHeight="1" x14ac:dyDescent="0.3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25" customHeight="1" x14ac:dyDescent="0.3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25" customHeight="1" x14ac:dyDescent="0.3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25" customHeight="1" x14ac:dyDescent="0.3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25" customHeight="1" x14ac:dyDescent="0.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25" customHeight="1" x14ac:dyDescent="0.3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25" customHeight="1" x14ac:dyDescent="0.3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25" customHeight="1" x14ac:dyDescent="0.3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25" customHeight="1" x14ac:dyDescent="0.3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25" customHeight="1" x14ac:dyDescent="0.3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25" customHeight="1" x14ac:dyDescent="0.3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25" customHeight="1" x14ac:dyDescent="0.3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25" customHeight="1" x14ac:dyDescent="0.3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25" customHeight="1" x14ac:dyDescent="0.3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25" customHeight="1" x14ac:dyDescent="0.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4.25" customHeight="1" x14ac:dyDescent="0.3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4.25" customHeight="1" x14ac:dyDescent="0.3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4.25" customHeight="1" x14ac:dyDescent="0.3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4.25" customHeight="1" x14ac:dyDescent="0.3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4.25" customHeight="1" x14ac:dyDescent="0.3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4.25" customHeight="1" x14ac:dyDescent="0.3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4.25" customHeight="1" x14ac:dyDescent="0.3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4.25" customHeight="1" x14ac:dyDescent="0.3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4.25" customHeight="1" x14ac:dyDescent="0.3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4.25" customHeight="1" x14ac:dyDescent="0.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4.25" customHeight="1" x14ac:dyDescent="0.3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4.25" customHeight="1" x14ac:dyDescent="0.3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4.25" customHeight="1" x14ac:dyDescent="0.3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4.25" customHeight="1" x14ac:dyDescent="0.3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4.25" customHeight="1" x14ac:dyDescent="0.3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4.25" customHeight="1" x14ac:dyDescent="0.3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4.25" customHeight="1" x14ac:dyDescent="0.3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4.25" customHeight="1" x14ac:dyDescent="0.3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4.25" customHeight="1" x14ac:dyDescent="0.3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4.25" customHeight="1" x14ac:dyDescent="0.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4.25" customHeight="1" x14ac:dyDescent="0.3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4.25" customHeight="1" x14ac:dyDescent="0.3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4.25" customHeight="1" x14ac:dyDescent="0.3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4.25" customHeight="1" x14ac:dyDescent="0.3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4.25" customHeight="1" x14ac:dyDescent="0.3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4.25" customHeight="1" x14ac:dyDescent="0.3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4.25" customHeight="1" x14ac:dyDescent="0.3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4.25" customHeight="1" x14ac:dyDescent="0.3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4.25" customHeight="1" x14ac:dyDescent="0.3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4.25" customHeight="1" x14ac:dyDescent="0.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4.25" customHeight="1" x14ac:dyDescent="0.3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4.25" customHeight="1" x14ac:dyDescent="0.3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4.25" customHeight="1" x14ac:dyDescent="0.3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4.25" customHeight="1" x14ac:dyDescent="0.3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4.25" customHeight="1" x14ac:dyDescent="0.3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4.25" customHeight="1" x14ac:dyDescent="0.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4.25" customHeight="1" x14ac:dyDescent="0.3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4.25" customHeight="1" x14ac:dyDescent="0.3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4.25" customHeight="1" x14ac:dyDescent="0.3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4.25" customHeight="1" x14ac:dyDescent="0.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4.25" customHeight="1" x14ac:dyDescent="0.3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4.25" customHeight="1" x14ac:dyDescent="0.3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4.25" customHeight="1" x14ac:dyDescent="0.3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4.25" customHeight="1" x14ac:dyDescent="0.3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4.25" customHeight="1" x14ac:dyDescent="0.3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4.25" customHeight="1" x14ac:dyDescent="0.3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4.25" customHeight="1" x14ac:dyDescent="0.3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4.25" customHeight="1" x14ac:dyDescent="0.3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4.25" customHeight="1" x14ac:dyDescent="0.3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4.25" customHeight="1" x14ac:dyDescent="0.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4.25" customHeight="1" x14ac:dyDescent="0.3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4.25" customHeight="1" x14ac:dyDescent="0.3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4.25" customHeight="1" x14ac:dyDescent="0.3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4.25" customHeight="1" x14ac:dyDescent="0.3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4.25" customHeight="1" x14ac:dyDescent="0.3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4.25" customHeight="1" x14ac:dyDescent="0.3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4.25" customHeight="1" x14ac:dyDescent="0.3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4.25" customHeight="1" x14ac:dyDescent="0.3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4.25" customHeight="1" x14ac:dyDescent="0.3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4.25" customHeight="1" x14ac:dyDescent="0.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4.25" customHeight="1" x14ac:dyDescent="0.3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4.25" customHeight="1" x14ac:dyDescent="0.3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4.25" customHeight="1" x14ac:dyDescent="0.3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4.25" customHeight="1" x14ac:dyDescent="0.3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4.25" customHeight="1" x14ac:dyDescent="0.3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4.25" customHeight="1" x14ac:dyDescent="0.3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4.25" customHeight="1" x14ac:dyDescent="0.3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4.25" customHeight="1" x14ac:dyDescent="0.3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4.25" customHeight="1" x14ac:dyDescent="0.3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4.25" customHeight="1" x14ac:dyDescent="0.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4.25" customHeight="1" x14ac:dyDescent="0.3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4.25" customHeight="1" x14ac:dyDescent="0.3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4.25" customHeight="1" x14ac:dyDescent="0.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4.25" customHeight="1" x14ac:dyDescent="0.3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4.25" customHeight="1" x14ac:dyDescent="0.3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4.25" customHeight="1" x14ac:dyDescent="0.3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4.25" customHeight="1" x14ac:dyDescent="0.3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4.25" customHeight="1" x14ac:dyDescent="0.3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4.25" customHeight="1" x14ac:dyDescent="0.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4.25" customHeight="1" x14ac:dyDescent="0.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4.25" customHeight="1" x14ac:dyDescent="0.3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4.25" customHeight="1" x14ac:dyDescent="0.3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4.25" customHeight="1" x14ac:dyDescent="0.3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4.25" customHeight="1" x14ac:dyDescent="0.3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4.25" customHeight="1" x14ac:dyDescent="0.3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4.25" customHeight="1" x14ac:dyDescent="0.3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4.25" customHeight="1" x14ac:dyDescent="0.3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4.25" customHeight="1" x14ac:dyDescent="0.3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4.25" customHeight="1" x14ac:dyDescent="0.3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4.25" customHeight="1" x14ac:dyDescent="0.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4.25" customHeight="1" x14ac:dyDescent="0.3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4.25" customHeight="1" x14ac:dyDescent="0.3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4.25" customHeight="1" x14ac:dyDescent="0.3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4.25" customHeight="1" x14ac:dyDescent="0.3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4.25" customHeight="1" x14ac:dyDescent="0.3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4.25" customHeight="1" x14ac:dyDescent="0.3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4.25" customHeight="1" x14ac:dyDescent="0.3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4.25" customHeight="1" x14ac:dyDescent="0.3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4.25" customHeight="1" x14ac:dyDescent="0.3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4.25" customHeight="1" x14ac:dyDescent="0.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4.25" customHeight="1" x14ac:dyDescent="0.3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4.25" customHeight="1" x14ac:dyDescent="0.3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4.25" customHeight="1" x14ac:dyDescent="0.3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4.25" customHeight="1" x14ac:dyDescent="0.3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4.25" customHeight="1" x14ac:dyDescent="0.3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4.25" customHeight="1" x14ac:dyDescent="0.3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4.25" customHeight="1" x14ac:dyDescent="0.3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4.25" customHeight="1" x14ac:dyDescent="0.3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4.25" customHeight="1" x14ac:dyDescent="0.3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4.25" customHeight="1" x14ac:dyDescent="0.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4.25" customHeight="1" x14ac:dyDescent="0.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4.25" customHeight="1" x14ac:dyDescent="0.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4.25" customHeight="1" x14ac:dyDescent="0.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4.25" customHeight="1" x14ac:dyDescent="0.3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4.25" customHeight="1" x14ac:dyDescent="0.3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4.25" customHeight="1" x14ac:dyDescent="0.3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4.25" customHeight="1" x14ac:dyDescent="0.3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J1006"/>
  <sheetViews>
    <sheetView tabSelected="1" topLeftCell="A26" workbookViewId="0">
      <selection activeCell="D52" sqref="D52"/>
    </sheetView>
  </sheetViews>
  <sheetFormatPr defaultColWidth="14.44140625" defaultRowHeight="15" customHeight="1" x14ac:dyDescent="0.3"/>
  <cols>
    <col min="1" max="1" width="3.6640625" bestFit="1" customWidth="1"/>
    <col min="2" max="2" width="12.33203125" bestFit="1" customWidth="1"/>
    <col min="3" max="3" width="23.33203125" customWidth="1"/>
    <col min="4" max="4" width="15.6640625" customWidth="1"/>
    <col min="5" max="5" width="13.6640625" customWidth="1"/>
    <col min="6" max="6" width="11.44140625" customWidth="1"/>
    <col min="7" max="7" width="13.88671875" customWidth="1"/>
    <col min="8" max="8" width="13.33203125" customWidth="1"/>
    <col min="9" max="9" width="15.44140625" bestFit="1" customWidth="1"/>
    <col min="10" max="10" width="11.33203125" customWidth="1"/>
    <col min="11" max="11" width="18.33203125" bestFit="1" customWidth="1"/>
    <col min="12" max="12" width="10" customWidth="1"/>
    <col min="13" max="13" width="9.109375" customWidth="1"/>
    <col min="14" max="14" width="9.33203125" customWidth="1"/>
    <col min="15" max="15" width="12.33203125" customWidth="1"/>
    <col min="16" max="16" width="12.109375" customWidth="1"/>
    <col min="17" max="18" width="9.109375" customWidth="1"/>
    <col min="19" max="19" width="9.33203125" customWidth="1"/>
    <col min="20" max="36" width="9.109375" customWidth="1"/>
  </cols>
  <sheetData>
    <row r="1" spans="2:36" ht="14.25" customHeight="1" x14ac:dyDescent="0.35">
      <c r="B1" s="36" t="s">
        <v>45</v>
      </c>
      <c r="C1" s="37"/>
      <c r="D1" s="37"/>
      <c r="E1" s="37"/>
      <c r="F1" s="38" t="s">
        <v>107</v>
      </c>
      <c r="G1" s="39"/>
      <c r="H1" s="39"/>
      <c r="I1" s="37"/>
      <c r="J1" s="38" t="s">
        <v>108</v>
      </c>
      <c r="K1" s="40"/>
      <c r="L1" s="40"/>
      <c r="M1" s="37"/>
      <c r="N1" s="36" t="s">
        <v>109</v>
      </c>
      <c r="O1" s="37"/>
      <c r="P1" s="37"/>
      <c r="Q1" s="37"/>
      <c r="R1" s="36" t="s">
        <v>110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</row>
    <row r="2" spans="2:36" ht="14.25" customHeight="1" x14ac:dyDescent="0.3">
      <c r="B2" s="41" t="s">
        <v>14</v>
      </c>
      <c r="C2" s="41" t="s">
        <v>111</v>
      </c>
      <c r="D2" s="41" t="s">
        <v>112</v>
      </c>
      <c r="F2" s="212" t="s">
        <v>14</v>
      </c>
      <c r="G2" s="212" t="s">
        <v>111</v>
      </c>
      <c r="H2" s="212" t="s">
        <v>112</v>
      </c>
      <c r="J2" s="42" t="s">
        <v>113</v>
      </c>
      <c r="K2" s="42" t="s">
        <v>111</v>
      </c>
      <c r="L2" s="42" t="s">
        <v>112</v>
      </c>
      <c r="N2" s="41" t="s">
        <v>14</v>
      </c>
      <c r="O2" s="41" t="s">
        <v>111</v>
      </c>
      <c r="P2" s="41" t="s">
        <v>112</v>
      </c>
      <c r="R2" s="43" t="s">
        <v>114</v>
      </c>
      <c r="S2" s="43" t="s">
        <v>115</v>
      </c>
      <c r="T2" s="43" t="s">
        <v>116</v>
      </c>
      <c r="U2" s="43" t="s">
        <v>0</v>
      </c>
      <c r="V2" s="43" t="s">
        <v>1</v>
      </c>
      <c r="W2" s="43" t="s">
        <v>2</v>
      </c>
      <c r="X2" s="43" t="s">
        <v>3</v>
      </c>
      <c r="Y2" s="43" t="s">
        <v>4</v>
      </c>
    </row>
    <row r="3" spans="2:36" ht="14.25" customHeight="1" x14ac:dyDescent="0.3">
      <c r="B3" s="3">
        <v>2000</v>
      </c>
      <c r="C3" s="44">
        <v>1999.9985200000001</v>
      </c>
      <c r="D3" s="44">
        <v>0.32</v>
      </c>
      <c r="F3" s="200">
        <v>1E-3</v>
      </c>
      <c r="G3" s="200">
        <v>9.2899999999999992E-4</v>
      </c>
      <c r="H3" s="200">
        <v>2.5999999999999999E-2</v>
      </c>
      <c r="J3" s="45" t="s">
        <v>108</v>
      </c>
      <c r="K3" s="45">
        <v>19999.414000000001</v>
      </c>
      <c r="L3" s="45">
        <v>45</v>
      </c>
      <c r="N3" s="3">
        <v>5000</v>
      </c>
      <c r="O3" s="44">
        <v>4999.9985800000004</v>
      </c>
      <c r="P3" s="44">
        <v>0.72</v>
      </c>
      <c r="R3" s="46" t="s">
        <v>117</v>
      </c>
      <c r="S3" s="46">
        <v>25</v>
      </c>
      <c r="T3" s="46">
        <v>75</v>
      </c>
      <c r="U3" s="46">
        <v>250</v>
      </c>
      <c r="V3" s="46">
        <v>750</v>
      </c>
      <c r="W3" s="46">
        <v>2500</v>
      </c>
      <c r="X3" s="46">
        <v>7500</v>
      </c>
      <c r="Y3" s="46">
        <v>25000</v>
      </c>
    </row>
    <row r="4" spans="2:36" ht="14.25" customHeight="1" x14ac:dyDescent="0.3">
      <c r="B4" s="3">
        <v>1000</v>
      </c>
      <c r="C4" s="44">
        <v>1000.00055</v>
      </c>
      <c r="D4" s="44">
        <v>0.14000000000000001</v>
      </c>
      <c r="F4" s="200">
        <v>2E-3</v>
      </c>
      <c r="G4" s="200">
        <v>1.9810000000000001E-3</v>
      </c>
      <c r="H4" s="200">
        <v>2.8000000000000001E-2</v>
      </c>
      <c r="J4" s="45" t="s">
        <v>118</v>
      </c>
      <c r="K4" s="45">
        <v>19999.234</v>
      </c>
      <c r="L4" s="45">
        <v>45</v>
      </c>
      <c r="N4" s="3">
        <v>1000</v>
      </c>
      <c r="O4" s="44">
        <v>1000.0005</v>
      </c>
      <c r="P4" s="44">
        <v>3.1E-4</v>
      </c>
      <c r="R4" s="46" t="s">
        <v>119</v>
      </c>
      <c r="S4" s="46">
        <v>10</v>
      </c>
      <c r="T4" s="46">
        <v>30</v>
      </c>
      <c r="U4" s="46">
        <v>100</v>
      </c>
      <c r="V4" s="46">
        <v>300</v>
      </c>
      <c r="W4" s="46">
        <v>1000</v>
      </c>
      <c r="X4" s="46">
        <v>3000</v>
      </c>
      <c r="Y4" s="46">
        <v>10000</v>
      </c>
    </row>
    <row r="5" spans="2:36" ht="14.25" customHeight="1" x14ac:dyDescent="0.3">
      <c r="B5" s="3">
        <v>500</v>
      </c>
      <c r="C5" s="47">
        <v>500.00000999999997</v>
      </c>
      <c r="D5" s="44">
        <v>0.08</v>
      </c>
      <c r="F5" s="200">
        <v>5.0000000000000001E-3</v>
      </c>
      <c r="G5" s="200">
        <v>5.0059999999999992E-3</v>
      </c>
      <c r="H5" s="200">
        <v>2.5999999999999999E-2</v>
      </c>
      <c r="J5" s="45" t="s">
        <v>120</v>
      </c>
      <c r="K5" s="45">
        <v>19999.627</v>
      </c>
      <c r="L5" s="45">
        <v>45</v>
      </c>
      <c r="N5" s="3">
        <v>500</v>
      </c>
      <c r="O5" s="47">
        <v>500.00060000000002</v>
      </c>
      <c r="P5" s="44">
        <v>1.6000000000000001E-4</v>
      </c>
      <c r="R5" s="46" t="s">
        <v>121</v>
      </c>
      <c r="S5" s="46">
        <v>5</v>
      </c>
      <c r="T5" s="46">
        <v>15</v>
      </c>
      <c r="U5" s="46">
        <v>50</v>
      </c>
      <c r="V5" s="46">
        <v>150</v>
      </c>
      <c r="W5" s="46">
        <v>500</v>
      </c>
      <c r="X5" s="46">
        <v>1500</v>
      </c>
      <c r="Y5" s="46">
        <v>5000</v>
      </c>
    </row>
    <row r="6" spans="2:36" ht="14.25" customHeight="1" x14ac:dyDescent="0.3">
      <c r="B6" s="3">
        <v>200</v>
      </c>
      <c r="C6" s="47">
        <v>200.00001</v>
      </c>
      <c r="D6" s="44">
        <v>0.04</v>
      </c>
      <c r="F6" s="200">
        <v>0.01</v>
      </c>
      <c r="G6" s="200">
        <v>9.9971000000000001E-3</v>
      </c>
      <c r="H6" s="200">
        <v>2.5999999999999999E-2</v>
      </c>
      <c r="J6" s="45" t="s">
        <v>123</v>
      </c>
      <c r="K6" s="45">
        <v>20000.346000000001</v>
      </c>
      <c r="L6" s="45">
        <v>45</v>
      </c>
      <c r="N6" s="3">
        <v>200</v>
      </c>
      <c r="O6" s="47">
        <v>200.00020000000001</v>
      </c>
      <c r="P6" s="44">
        <v>6.0000000000000002E-5</v>
      </c>
      <c r="R6" s="46" t="s">
        <v>124</v>
      </c>
      <c r="S6" s="46">
        <v>2.5</v>
      </c>
      <c r="T6" s="46">
        <v>7.5</v>
      </c>
      <c r="U6" s="46">
        <v>25</v>
      </c>
      <c r="V6" s="46">
        <v>75</v>
      </c>
      <c r="W6" s="46">
        <v>250</v>
      </c>
      <c r="X6" s="46">
        <v>750</v>
      </c>
      <c r="Y6" s="46">
        <v>2500</v>
      </c>
    </row>
    <row r="7" spans="2:36" ht="14.25" customHeight="1" x14ac:dyDescent="0.3">
      <c r="B7" s="3" t="s">
        <v>125</v>
      </c>
      <c r="C7" s="47">
        <v>200.00004999999999</v>
      </c>
      <c r="D7" s="44">
        <v>0.04</v>
      </c>
      <c r="F7" s="207">
        <v>0.02</v>
      </c>
      <c r="G7" s="200">
        <v>1.9991000000000002E-2</v>
      </c>
      <c r="H7" s="200">
        <v>2.8000000000000001E-2</v>
      </c>
      <c r="J7" s="45" t="s">
        <v>126</v>
      </c>
      <c r="K7" s="45">
        <v>20000.124</v>
      </c>
      <c r="L7" s="45">
        <v>45</v>
      </c>
      <c r="N7" s="3" t="s">
        <v>125</v>
      </c>
      <c r="O7" s="47">
        <v>200.00020000000001</v>
      </c>
      <c r="P7" s="44">
        <v>7.2000000000000002E-5</v>
      </c>
      <c r="R7" s="46" t="s">
        <v>37</v>
      </c>
      <c r="S7" s="46">
        <v>1</v>
      </c>
      <c r="T7" s="46">
        <v>3</v>
      </c>
      <c r="U7" s="46">
        <v>10</v>
      </c>
      <c r="V7" s="46">
        <v>30</v>
      </c>
      <c r="W7" s="46">
        <v>100</v>
      </c>
      <c r="X7" s="46">
        <v>300</v>
      </c>
      <c r="Y7" s="46">
        <v>1000</v>
      </c>
    </row>
    <row r="8" spans="2:36" ht="14.25" customHeight="1" x14ac:dyDescent="0.3">
      <c r="B8" s="3">
        <v>100</v>
      </c>
      <c r="C8" s="47">
        <v>100.00008</v>
      </c>
      <c r="D8" s="44">
        <v>0.03</v>
      </c>
      <c r="F8" s="207">
        <v>0.05</v>
      </c>
      <c r="G8" s="200">
        <v>4.9997E-2</v>
      </c>
      <c r="H8" s="200">
        <v>2.5999999999999999E-2</v>
      </c>
      <c r="J8" s="45" t="s">
        <v>127</v>
      </c>
      <c r="K8" s="45">
        <v>20000.153999999999</v>
      </c>
      <c r="L8" s="45">
        <v>45</v>
      </c>
      <c r="N8" s="3">
        <v>100</v>
      </c>
      <c r="O8" s="47">
        <v>100.00001</v>
      </c>
      <c r="P8" s="44">
        <v>3.6000000000000001E-5</v>
      </c>
      <c r="R8" s="46" t="s">
        <v>128</v>
      </c>
      <c r="S8" s="46">
        <v>0.5</v>
      </c>
      <c r="T8" s="46">
        <v>1.5</v>
      </c>
      <c r="U8" s="46">
        <v>5</v>
      </c>
      <c r="V8" s="46">
        <v>15</v>
      </c>
      <c r="W8" s="46">
        <v>50</v>
      </c>
      <c r="X8" s="46">
        <v>150</v>
      </c>
      <c r="Y8" s="46">
        <v>500</v>
      </c>
    </row>
    <row r="9" spans="2:36" ht="14.25" customHeight="1" x14ac:dyDescent="0.3">
      <c r="B9" s="3">
        <v>50</v>
      </c>
      <c r="C9" s="47">
        <v>50.000019999999999</v>
      </c>
      <c r="D9" s="44">
        <v>0.02</v>
      </c>
      <c r="F9" s="210">
        <v>0.1</v>
      </c>
      <c r="G9" s="200">
        <v>0.10001400000000001</v>
      </c>
      <c r="H9" s="200">
        <v>2.5999999999999999E-2</v>
      </c>
      <c r="J9" s="45" t="s">
        <v>129</v>
      </c>
      <c r="K9" s="45">
        <v>19999.125</v>
      </c>
      <c r="L9" s="45">
        <v>45</v>
      </c>
      <c r="N9" s="3">
        <v>50</v>
      </c>
      <c r="O9" s="47">
        <v>50.000019999999999</v>
      </c>
      <c r="P9" s="44">
        <v>2.0999999999999999E-5</v>
      </c>
      <c r="R9" s="46" t="s">
        <v>5</v>
      </c>
      <c r="S9" s="46">
        <v>0.25</v>
      </c>
      <c r="T9" s="46">
        <v>0.75</v>
      </c>
      <c r="U9" s="46">
        <v>2.5</v>
      </c>
      <c r="V9" s="46">
        <v>7.5</v>
      </c>
      <c r="W9" s="46">
        <v>25</v>
      </c>
      <c r="X9" s="46">
        <v>75</v>
      </c>
      <c r="Y9" s="46">
        <v>250</v>
      </c>
    </row>
    <row r="10" spans="2:36" ht="14.25" customHeight="1" x14ac:dyDescent="0.3">
      <c r="B10" s="3">
        <v>20</v>
      </c>
      <c r="C10" s="49">
        <v>19.999977999999999</v>
      </c>
      <c r="D10" s="44">
        <v>8.9999999999999993E-3</v>
      </c>
      <c r="F10" s="200">
        <v>0.2</v>
      </c>
      <c r="G10" s="200">
        <v>0.20001499999999997</v>
      </c>
      <c r="H10" s="200">
        <v>2.8000000000000001E-2</v>
      </c>
      <c r="J10" s="45" t="s">
        <v>130</v>
      </c>
      <c r="K10" s="45">
        <v>19999.806</v>
      </c>
      <c r="L10" s="45">
        <v>45</v>
      </c>
      <c r="N10" s="3">
        <v>20</v>
      </c>
      <c r="O10" s="49">
        <v>20.000029999999999</v>
      </c>
      <c r="P10" s="44">
        <v>1.5999999999999999E-5</v>
      </c>
      <c r="R10" s="46" t="s">
        <v>6</v>
      </c>
      <c r="S10" s="46">
        <v>0.01</v>
      </c>
      <c r="T10" s="46">
        <v>0.3</v>
      </c>
      <c r="U10" s="46">
        <v>1</v>
      </c>
      <c r="V10" s="46">
        <v>3</v>
      </c>
      <c r="W10" s="46">
        <v>10</v>
      </c>
      <c r="X10" s="46">
        <v>30</v>
      </c>
      <c r="Y10" s="46">
        <v>100</v>
      </c>
    </row>
    <row r="11" spans="2:36" ht="14.25" customHeight="1" x14ac:dyDescent="0.3">
      <c r="B11" s="3" t="s">
        <v>131</v>
      </c>
      <c r="C11" s="49">
        <v>19.999977000000001</v>
      </c>
      <c r="D11" s="44">
        <v>8.9999999999999993E-3</v>
      </c>
      <c r="F11" s="200">
        <v>0.5</v>
      </c>
      <c r="G11" s="200">
        <v>0.50001899999999999</v>
      </c>
      <c r="H11" s="200">
        <v>2.7E-2</v>
      </c>
      <c r="J11" s="45" t="s">
        <v>132</v>
      </c>
      <c r="K11" s="45">
        <v>20000.237000000001</v>
      </c>
      <c r="L11" s="45">
        <v>45</v>
      </c>
      <c r="N11" s="3" t="s">
        <v>131</v>
      </c>
      <c r="O11" s="49">
        <v>20.00001</v>
      </c>
      <c r="P11" s="44">
        <v>1.5999999999999999E-5</v>
      </c>
      <c r="R11" s="46" t="s">
        <v>7</v>
      </c>
      <c r="S11" s="46">
        <v>0.05</v>
      </c>
      <c r="T11" s="46">
        <v>0.15</v>
      </c>
      <c r="U11" s="46">
        <v>0.5</v>
      </c>
      <c r="V11" s="46">
        <v>1.5</v>
      </c>
      <c r="W11" s="46">
        <v>5</v>
      </c>
      <c r="X11" s="46">
        <v>15</v>
      </c>
      <c r="Y11" s="46">
        <v>50</v>
      </c>
    </row>
    <row r="12" spans="2:36" ht="14.25" customHeight="1" x14ac:dyDescent="0.3">
      <c r="B12" s="3">
        <v>10</v>
      </c>
      <c r="C12" s="47">
        <v>9.9999760000000002</v>
      </c>
      <c r="D12" s="44">
        <v>8.0000000000000002E-3</v>
      </c>
      <c r="F12" s="210">
        <v>1</v>
      </c>
      <c r="G12" s="213">
        <v>0.99999300000000013</v>
      </c>
      <c r="H12" s="214">
        <v>2.7E-2</v>
      </c>
      <c r="J12" s="45" t="s">
        <v>133</v>
      </c>
      <c r="K12" s="45">
        <v>19999.831999999999</v>
      </c>
      <c r="L12" s="45">
        <v>45</v>
      </c>
      <c r="N12" s="3">
        <v>10</v>
      </c>
      <c r="O12" s="47">
        <v>10.000023000000001</v>
      </c>
      <c r="P12" s="44">
        <v>1.4E-5</v>
      </c>
      <c r="R12" s="46" t="s">
        <v>8</v>
      </c>
      <c r="S12" s="46">
        <v>0.03</v>
      </c>
      <c r="T12" s="46">
        <v>0.1</v>
      </c>
      <c r="U12" s="46">
        <v>0.3</v>
      </c>
      <c r="V12" s="46">
        <v>1</v>
      </c>
      <c r="W12" s="46">
        <v>3</v>
      </c>
      <c r="X12" s="46">
        <v>10</v>
      </c>
      <c r="Y12" s="46">
        <v>30</v>
      </c>
    </row>
    <row r="13" spans="2:36" ht="14.25" customHeight="1" x14ac:dyDescent="0.3">
      <c r="B13" s="3">
        <v>5</v>
      </c>
      <c r="C13" s="50">
        <v>5.000006</v>
      </c>
      <c r="D13" s="44">
        <v>7.0000000000000001E-3</v>
      </c>
      <c r="F13" s="210">
        <v>2</v>
      </c>
      <c r="G13" s="215">
        <v>2.0000089000000001</v>
      </c>
      <c r="H13" s="214">
        <v>2.8000000000000001E-2</v>
      </c>
      <c r="J13" s="45" t="s">
        <v>134</v>
      </c>
      <c r="K13" s="45">
        <v>19999.934000000001</v>
      </c>
      <c r="L13" s="45">
        <v>45</v>
      </c>
      <c r="N13" s="3">
        <v>5</v>
      </c>
      <c r="O13" s="50">
        <v>5.0000030000000004</v>
      </c>
      <c r="P13" s="44">
        <v>8.8999999999999995E-6</v>
      </c>
      <c r="R13" s="46" t="s">
        <v>9</v>
      </c>
      <c r="S13" s="46">
        <v>2.5000000000000001E-2</v>
      </c>
      <c r="T13" s="46">
        <v>0.08</v>
      </c>
      <c r="U13" s="46">
        <v>0.25</v>
      </c>
      <c r="V13" s="46">
        <v>0.8</v>
      </c>
      <c r="W13" s="46">
        <v>2.5</v>
      </c>
      <c r="X13" s="46">
        <v>8</v>
      </c>
      <c r="Y13" s="46">
        <v>25</v>
      </c>
    </row>
    <row r="14" spans="2:36" ht="14.25" customHeight="1" x14ac:dyDescent="0.3">
      <c r="B14" s="3">
        <v>2</v>
      </c>
      <c r="C14" s="44">
        <v>2.000013</v>
      </c>
      <c r="D14" s="44">
        <v>5.0000000000000001E-3</v>
      </c>
      <c r="F14" s="210">
        <v>5</v>
      </c>
      <c r="G14" s="215">
        <v>4.9999200000000004</v>
      </c>
      <c r="H14" s="214">
        <v>2.9000000000000001E-2</v>
      </c>
      <c r="J14" s="45" t="s">
        <v>135</v>
      </c>
      <c r="K14" s="45">
        <v>19999.845000000001</v>
      </c>
      <c r="L14" s="45">
        <v>45</v>
      </c>
      <c r="N14" s="3">
        <v>2</v>
      </c>
      <c r="O14" s="44">
        <v>2.0000149999999999</v>
      </c>
      <c r="P14" s="44">
        <v>7.0999999999999998E-6</v>
      </c>
      <c r="R14" s="46" t="s">
        <v>136</v>
      </c>
      <c r="S14" s="46">
        <v>0.02</v>
      </c>
      <c r="T14" s="46">
        <v>0.06</v>
      </c>
      <c r="U14" s="46">
        <v>0.2</v>
      </c>
      <c r="V14" s="46">
        <v>0.6</v>
      </c>
      <c r="W14" s="46">
        <v>2</v>
      </c>
      <c r="X14" s="46">
        <v>6</v>
      </c>
      <c r="Y14" s="46">
        <v>20</v>
      </c>
    </row>
    <row r="15" spans="2:36" ht="14.25" customHeight="1" x14ac:dyDescent="0.3">
      <c r="B15" s="3" t="s">
        <v>137</v>
      </c>
      <c r="C15" s="44">
        <v>2.0000149999999999</v>
      </c>
      <c r="D15" s="44">
        <v>5.0000000000000001E-3</v>
      </c>
      <c r="F15" s="210">
        <v>10</v>
      </c>
      <c r="G15" s="215">
        <v>10.000017</v>
      </c>
      <c r="H15" s="214">
        <v>3.2000000000000001E-2</v>
      </c>
      <c r="J15" s="45" t="s">
        <v>138</v>
      </c>
      <c r="K15" s="45">
        <v>20000.802</v>
      </c>
      <c r="L15" s="45">
        <v>45</v>
      </c>
      <c r="N15" s="3" t="s">
        <v>137</v>
      </c>
      <c r="O15" s="44">
        <v>2.000003</v>
      </c>
      <c r="P15" s="44">
        <v>7.0999999999999998E-6</v>
      </c>
      <c r="R15" s="46" t="s">
        <v>10</v>
      </c>
      <c r="S15" s="46">
        <v>1.4999999999999999E-2</v>
      </c>
      <c r="T15" s="46">
        <v>0.05</v>
      </c>
      <c r="U15" s="46">
        <v>0.15</v>
      </c>
      <c r="V15" s="46">
        <v>0.5</v>
      </c>
      <c r="W15" s="46">
        <v>1.5</v>
      </c>
      <c r="X15" s="46">
        <v>5</v>
      </c>
      <c r="Y15" s="46">
        <v>15</v>
      </c>
    </row>
    <row r="16" spans="2:36" ht="14.25" customHeight="1" x14ac:dyDescent="0.3">
      <c r="B16" s="3">
        <v>1</v>
      </c>
      <c r="C16" s="44">
        <v>0.99999700000000002</v>
      </c>
      <c r="D16" s="44">
        <v>5.0000000000000001E-3</v>
      </c>
      <c r="F16" s="210">
        <v>20</v>
      </c>
      <c r="G16" s="216">
        <v>20.000008999999999</v>
      </c>
      <c r="H16" s="214">
        <v>3.5999999999999997E-2</v>
      </c>
      <c r="J16" s="45" t="s">
        <v>139</v>
      </c>
      <c r="K16" s="45">
        <v>19999.575000000001</v>
      </c>
      <c r="L16" s="45">
        <v>45</v>
      </c>
      <c r="N16" s="3">
        <v>1</v>
      </c>
      <c r="O16" s="44">
        <v>1.000013</v>
      </c>
      <c r="P16" s="44">
        <v>6.8000000000000001E-6</v>
      </c>
      <c r="R16" s="46" t="s">
        <v>11</v>
      </c>
      <c r="S16" s="46">
        <v>1.2E-2</v>
      </c>
      <c r="T16" s="46">
        <v>0.04</v>
      </c>
      <c r="U16" s="46">
        <v>0.12</v>
      </c>
      <c r="V16" s="46">
        <v>0.4</v>
      </c>
      <c r="W16" s="46">
        <v>1.2</v>
      </c>
      <c r="X16" s="46">
        <v>4</v>
      </c>
      <c r="Y16" s="46">
        <v>12</v>
      </c>
    </row>
    <row r="17" spans="2:25" ht="14.25" customHeight="1" x14ac:dyDescent="0.3">
      <c r="B17" s="3">
        <v>0.5</v>
      </c>
      <c r="C17" s="45">
        <v>0.50001799999999996</v>
      </c>
      <c r="D17" s="45">
        <v>4.0000000000000001E-3</v>
      </c>
      <c r="F17" s="210">
        <v>50</v>
      </c>
      <c r="G17" s="215">
        <v>49.999814000000001</v>
      </c>
      <c r="H17" s="214">
        <v>4.2000000000000003E-2</v>
      </c>
      <c r="J17" s="45" t="s">
        <v>140</v>
      </c>
      <c r="K17" s="45">
        <v>20000.329000000002</v>
      </c>
      <c r="L17" s="45">
        <v>45</v>
      </c>
      <c r="N17" s="3">
        <v>0.5</v>
      </c>
      <c r="O17" s="45">
        <f>500.011/1000</f>
        <v>0.50001099999999998</v>
      </c>
      <c r="P17" s="45">
        <v>5.1000000000000004E-3</v>
      </c>
      <c r="R17" s="46" t="s">
        <v>12</v>
      </c>
      <c r="S17" s="46">
        <v>0.01</v>
      </c>
      <c r="T17" s="46">
        <v>0.03</v>
      </c>
      <c r="U17" s="46">
        <v>0.1</v>
      </c>
      <c r="V17" s="46">
        <v>0.3</v>
      </c>
      <c r="W17" s="46">
        <v>1</v>
      </c>
      <c r="X17" s="46">
        <v>3</v>
      </c>
      <c r="Y17" s="46">
        <v>10</v>
      </c>
    </row>
    <row r="18" spans="2:25" ht="14.25" customHeight="1" x14ac:dyDescent="0.3">
      <c r="B18" s="3">
        <v>0.2</v>
      </c>
      <c r="C18" s="45">
        <v>0.200013</v>
      </c>
      <c r="D18" s="45">
        <v>3.0000000000000001E-3</v>
      </c>
      <c r="F18" s="210">
        <v>100</v>
      </c>
      <c r="G18" s="215">
        <v>99.999763000000002</v>
      </c>
      <c r="H18" s="214">
        <v>6.7000000000000004E-2</v>
      </c>
      <c r="J18" s="45" t="s">
        <v>141</v>
      </c>
      <c r="K18" s="45">
        <v>20000.932000000001</v>
      </c>
      <c r="L18" s="45">
        <v>45</v>
      </c>
      <c r="N18" s="3">
        <v>0.2</v>
      </c>
      <c r="O18" s="45">
        <f>200.001/1000</f>
        <v>0.20000100000000001</v>
      </c>
      <c r="P18" s="45">
        <v>3.0999999999999999E-3</v>
      </c>
      <c r="R18" s="46" t="s">
        <v>142</v>
      </c>
      <c r="S18" s="46">
        <v>8.0000000000000002E-3</v>
      </c>
      <c r="T18" s="46">
        <v>2.5000000000000001E-2</v>
      </c>
      <c r="U18" s="46">
        <v>0.08</v>
      </c>
      <c r="V18" s="46">
        <v>0.25</v>
      </c>
      <c r="W18" s="46">
        <v>0.8</v>
      </c>
      <c r="X18" s="46">
        <v>2.5</v>
      </c>
      <c r="Y18" s="46" t="s">
        <v>13</v>
      </c>
    </row>
    <row r="19" spans="2:25" ht="14.25" customHeight="1" x14ac:dyDescent="0.3">
      <c r="B19" s="45" t="s">
        <v>143</v>
      </c>
      <c r="C19" s="45">
        <v>0.200015</v>
      </c>
      <c r="D19" s="45">
        <v>3.0000000000000001E-3</v>
      </c>
      <c r="F19" s="210">
        <v>200</v>
      </c>
      <c r="G19" s="215">
        <v>199.999675</v>
      </c>
      <c r="H19" s="214">
        <v>0.11</v>
      </c>
      <c r="J19" s="45" t="s">
        <v>144</v>
      </c>
      <c r="K19" s="45">
        <v>20001.683000000001</v>
      </c>
      <c r="L19" s="45">
        <v>45</v>
      </c>
      <c r="N19" s="45" t="s">
        <v>143</v>
      </c>
      <c r="O19" s="45">
        <f>199.999/1000</f>
        <v>0.19999899999999998</v>
      </c>
      <c r="P19" s="45">
        <v>3.5999999999999999E-3</v>
      </c>
      <c r="R19" s="46" t="s">
        <v>145</v>
      </c>
      <c r="S19" s="46">
        <v>6.0000000000000001E-3</v>
      </c>
      <c r="T19" s="46">
        <v>0.02</v>
      </c>
      <c r="U19" s="46">
        <v>0.06</v>
      </c>
      <c r="V19" s="46">
        <v>0.2</v>
      </c>
      <c r="W19" s="46">
        <v>0.6</v>
      </c>
      <c r="X19" s="46">
        <v>2</v>
      </c>
      <c r="Y19" s="46" t="s">
        <v>13</v>
      </c>
    </row>
    <row r="20" spans="2:25" ht="14.25" customHeight="1" x14ac:dyDescent="0.3">
      <c r="B20" s="3">
        <v>0.1</v>
      </c>
      <c r="C20" s="45">
        <v>0.10000299999999999</v>
      </c>
      <c r="D20" s="45">
        <v>2E-3</v>
      </c>
      <c r="F20" s="210">
        <v>500</v>
      </c>
      <c r="G20" s="217">
        <v>499.99860999999999</v>
      </c>
      <c r="H20" s="214">
        <v>1</v>
      </c>
      <c r="J20" s="45" t="s">
        <v>146</v>
      </c>
      <c r="K20" s="45">
        <v>10001.616900000001</v>
      </c>
      <c r="L20" s="45">
        <v>26</v>
      </c>
      <c r="N20" s="3">
        <v>0.1</v>
      </c>
      <c r="O20" s="45">
        <f>100.009/1000</f>
        <v>0.100009</v>
      </c>
      <c r="P20" s="45">
        <v>3.0999999999999999E-3</v>
      </c>
      <c r="R20" s="46" t="s">
        <v>147</v>
      </c>
      <c r="S20" s="46">
        <v>5.0000000000000001E-3</v>
      </c>
      <c r="T20" s="46">
        <v>1.4999999999999999E-2</v>
      </c>
      <c r="U20" s="46">
        <v>0.05</v>
      </c>
      <c r="V20" s="46">
        <v>0.15</v>
      </c>
      <c r="W20" s="46">
        <v>0.5</v>
      </c>
      <c r="X20" s="46">
        <v>1.5</v>
      </c>
      <c r="Y20" s="46" t="s">
        <v>13</v>
      </c>
    </row>
    <row r="21" spans="2:25" ht="14.25" customHeight="1" x14ac:dyDescent="0.3">
      <c r="F21" s="210">
        <v>1000</v>
      </c>
      <c r="G21" s="217">
        <v>1000.00105</v>
      </c>
      <c r="H21" s="214">
        <v>1.1000000000000001</v>
      </c>
      <c r="J21" s="45" t="s">
        <v>148</v>
      </c>
      <c r="K21" s="45">
        <v>4998.9960000000001</v>
      </c>
      <c r="L21" s="45">
        <v>5.7</v>
      </c>
      <c r="N21" s="207">
        <v>0.05</v>
      </c>
      <c r="O21" s="200">
        <f>50.005/1000</f>
        <v>5.0005000000000001E-2</v>
      </c>
      <c r="P21" s="208">
        <v>2.3999999999999998E-3</v>
      </c>
      <c r="R21" s="46" t="s">
        <v>149</v>
      </c>
      <c r="S21" s="46">
        <v>4.0000000000000001E-3</v>
      </c>
      <c r="T21" s="46">
        <v>1.2E-2</v>
      </c>
      <c r="U21" s="46">
        <v>0.04</v>
      </c>
      <c r="V21" s="46">
        <v>0.12</v>
      </c>
      <c r="W21" s="46">
        <v>0.4</v>
      </c>
      <c r="X21" s="46" t="s">
        <v>13</v>
      </c>
      <c r="Y21" s="46" t="s">
        <v>13</v>
      </c>
    </row>
    <row r="22" spans="2:25" ht="14.25" customHeight="1" x14ac:dyDescent="0.3">
      <c r="F22" s="210">
        <v>2000</v>
      </c>
      <c r="G22" s="217">
        <v>1999.9994200000001</v>
      </c>
      <c r="H22" s="214">
        <v>1.4</v>
      </c>
      <c r="J22" s="45" t="s">
        <v>150</v>
      </c>
      <c r="K22" s="45">
        <v>9999.5660000000007</v>
      </c>
      <c r="L22" s="45">
        <v>26</v>
      </c>
      <c r="N22" s="207">
        <v>0.02</v>
      </c>
      <c r="O22" s="200">
        <f>20.003/1000</f>
        <v>2.0003E-2</v>
      </c>
      <c r="P22" s="208">
        <v>2.2000000000000001E-3</v>
      </c>
      <c r="R22" s="46" t="s">
        <v>151</v>
      </c>
      <c r="S22" s="46">
        <v>3.0000000000000001E-3</v>
      </c>
      <c r="T22" s="46">
        <v>0.01</v>
      </c>
      <c r="U22" s="46">
        <v>0.03</v>
      </c>
      <c r="V22" s="46">
        <v>0.1</v>
      </c>
      <c r="W22" s="46">
        <v>0.3</v>
      </c>
      <c r="X22" s="46" t="s">
        <v>13</v>
      </c>
      <c r="Y22" s="46" t="s">
        <v>13</v>
      </c>
    </row>
    <row r="23" spans="2:25" ht="14.25" customHeight="1" x14ac:dyDescent="0.3">
      <c r="F23" s="211">
        <v>5000</v>
      </c>
      <c r="G23" s="218">
        <v>5000.0162800000007</v>
      </c>
      <c r="H23" s="211">
        <v>2.6</v>
      </c>
      <c r="J23" s="45" t="s">
        <v>152</v>
      </c>
      <c r="K23" s="48">
        <v>19999.312000000002</v>
      </c>
      <c r="L23" s="45">
        <v>45</v>
      </c>
      <c r="N23" s="200" t="s">
        <v>273</v>
      </c>
      <c r="O23" s="200">
        <f>20.001/1000</f>
        <v>2.0001000000000001E-2</v>
      </c>
      <c r="P23" s="208">
        <v>2E-3</v>
      </c>
      <c r="R23" s="46" t="s">
        <v>153</v>
      </c>
      <c r="S23" s="46">
        <v>2E-3</v>
      </c>
      <c r="T23" s="46">
        <v>8.0000000000000002E-3</v>
      </c>
      <c r="U23" s="46">
        <v>2.5000000000000001E-2</v>
      </c>
      <c r="V23" s="46">
        <v>0.08</v>
      </c>
      <c r="W23" s="46">
        <v>0.25</v>
      </c>
      <c r="X23" s="46" t="s">
        <v>13</v>
      </c>
      <c r="Y23" s="46" t="s">
        <v>13</v>
      </c>
    </row>
    <row r="24" spans="2:25" ht="14.25" customHeight="1" x14ac:dyDescent="0.3">
      <c r="F24" s="211">
        <v>10000</v>
      </c>
      <c r="G24" s="211">
        <v>10000.040999999999</v>
      </c>
      <c r="H24" s="211">
        <v>4.5999999999999996</v>
      </c>
      <c r="J24" s="45" t="s">
        <v>154</v>
      </c>
      <c r="K24" s="48">
        <v>19999.189999999999</v>
      </c>
      <c r="L24" s="45">
        <v>45</v>
      </c>
      <c r="N24" s="200">
        <v>0.01</v>
      </c>
      <c r="O24" s="200">
        <f>10.002/1000</f>
        <v>1.0002E-2</v>
      </c>
      <c r="P24" s="208">
        <v>1.6000000000000001E-3</v>
      </c>
      <c r="R24" s="46" t="s">
        <v>155</v>
      </c>
      <c r="S24" s="46">
        <v>2E-3</v>
      </c>
      <c r="T24" s="46">
        <v>6.0000000000000001E-3</v>
      </c>
      <c r="U24" s="46">
        <v>0.02</v>
      </c>
      <c r="V24" s="46">
        <v>0.06</v>
      </c>
      <c r="W24" s="46">
        <v>0.2</v>
      </c>
      <c r="X24" s="46" t="s">
        <v>13</v>
      </c>
      <c r="Y24" s="46" t="s">
        <v>13</v>
      </c>
    </row>
    <row r="25" spans="2:25" ht="14.25" customHeight="1" x14ac:dyDescent="0.3">
      <c r="F25" s="211">
        <v>20000</v>
      </c>
      <c r="G25" s="211">
        <v>20000.022000000001</v>
      </c>
      <c r="H25" s="211">
        <v>13</v>
      </c>
      <c r="J25" s="45" t="s">
        <v>156</v>
      </c>
      <c r="K25" s="48">
        <v>19999.069</v>
      </c>
      <c r="L25" s="45">
        <v>45</v>
      </c>
      <c r="N25" s="200">
        <v>5.0000000000000001E-3</v>
      </c>
      <c r="O25" s="200">
        <f>5.002/1000</f>
        <v>5.0019999999999995E-3</v>
      </c>
      <c r="P25" s="208">
        <v>1.8E-3</v>
      </c>
      <c r="R25" s="46" t="s">
        <v>157</v>
      </c>
      <c r="S25" s="46">
        <v>2E-3</v>
      </c>
      <c r="T25" s="46">
        <v>6.0000000000000001E-3</v>
      </c>
      <c r="U25" s="46">
        <v>0.02</v>
      </c>
      <c r="V25" s="46">
        <v>0.06</v>
      </c>
      <c r="W25" s="46">
        <v>0.2</v>
      </c>
      <c r="X25" s="46" t="s">
        <v>13</v>
      </c>
      <c r="Y25" s="46" t="s">
        <v>13</v>
      </c>
    </row>
    <row r="26" spans="2:25" ht="14.25" customHeight="1" x14ac:dyDescent="0.3">
      <c r="F26" s="200" t="s">
        <v>274</v>
      </c>
      <c r="G26" s="200">
        <v>2.0530000000000001E-3</v>
      </c>
      <c r="H26" s="200">
        <v>2.8000000000000001E-2</v>
      </c>
      <c r="J26" s="45" t="s">
        <v>158</v>
      </c>
      <c r="K26" s="48">
        <v>19999.281999999999</v>
      </c>
      <c r="L26" s="45">
        <v>45</v>
      </c>
      <c r="N26" s="200">
        <v>2E-3</v>
      </c>
      <c r="O26" s="200">
        <f>2.002/1000</f>
        <v>2.0019999999999999E-3</v>
      </c>
      <c r="P26" s="208">
        <v>1.4E-3</v>
      </c>
      <c r="R26" s="46" t="s">
        <v>159</v>
      </c>
      <c r="S26" s="46">
        <v>2E-3</v>
      </c>
      <c r="T26" s="46">
        <v>6.0000000000000001E-3</v>
      </c>
      <c r="U26" s="46">
        <v>0.02</v>
      </c>
      <c r="V26" s="46">
        <v>0.06</v>
      </c>
      <c r="W26" s="46">
        <v>0.2</v>
      </c>
      <c r="X26" s="46" t="s">
        <v>13</v>
      </c>
      <c r="Y26" s="46" t="s">
        <v>13</v>
      </c>
    </row>
    <row r="27" spans="2:25" ht="14.25" customHeight="1" x14ac:dyDescent="0.3">
      <c r="F27" s="200" t="s">
        <v>273</v>
      </c>
      <c r="G27" s="200">
        <v>2.0013300000000001E-2</v>
      </c>
      <c r="H27" s="200">
        <v>2.8000000000000001E-2</v>
      </c>
      <c r="J27" s="45" t="s">
        <v>160</v>
      </c>
      <c r="K27" s="48">
        <v>19999.268</v>
      </c>
      <c r="L27" s="45">
        <v>45</v>
      </c>
      <c r="N27" s="200" t="s">
        <v>274</v>
      </c>
      <c r="O27" s="209">
        <f>2/1000</f>
        <v>2E-3</v>
      </c>
      <c r="P27" s="208">
        <v>1.4E-3</v>
      </c>
    </row>
    <row r="28" spans="2:25" ht="14.25" customHeight="1" x14ac:dyDescent="0.3">
      <c r="F28" s="200" t="s">
        <v>143</v>
      </c>
      <c r="G28" s="200">
        <v>0.20002300000000001</v>
      </c>
      <c r="H28" s="200">
        <v>2.5999999999999999E-2</v>
      </c>
      <c r="J28" s="45" t="s">
        <v>161</v>
      </c>
      <c r="K28" s="48">
        <v>19999.330000000002</v>
      </c>
      <c r="L28" s="45">
        <v>45</v>
      </c>
      <c r="N28" s="200">
        <v>1E-3</v>
      </c>
      <c r="O28" s="200">
        <f>1.001/1000</f>
        <v>1.0009999999999999E-3</v>
      </c>
      <c r="P28" s="208">
        <v>1.4E-3</v>
      </c>
    </row>
    <row r="29" spans="2:25" ht="14.25" customHeight="1" x14ac:dyDescent="0.3">
      <c r="F29" s="211" t="s">
        <v>122</v>
      </c>
      <c r="G29" s="218">
        <v>2000.0015200000003</v>
      </c>
      <c r="H29" s="211">
        <v>1.4</v>
      </c>
      <c r="J29" s="45" t="s">
        <v>162</v>
      </c>
      <c r="K29" s="48">
        <v>19999.21</v>
      </c>
      <c r="L29" s="45">
        <v>45</v>
      </c>
    </row>
    <row r="30" spans="2:25" ht="14.25" customHeight="1" x14ac:dyDescent="0.3">
      <c r="F30" s="210" t="s">
        <v>125</v>
      </c>
      <c r="G30" s="200">
        <v>199.99881500000001</v>
      </c>
      <c r="H30" s="200">
        <v>0.11</v>
      </c>
      <c r="J30" s="45" t="s">
        <v>164</v>
      </c>
      <c r="K30" s="48">
        <v>20000.486000000001</v>
      </c>
      <c r="L30" s="45">
        <v>45</v>
      </c>
    </row>
    <row r="31" spans="2:25" ht="14.25" customHeight="1" x14ac:dyDescent="0.3">
      <c r="F31" s="210" t="s">
        <v>131</v>
      </c>
      <c r="G31" s="216">
        <v>20.000048</v>
      </c>
      <c r="H31" s="214">
        <v>3.5999999999999997E-2</v>
      </c>
      <c r="J31" s="45" t="s">
        <v>168</v>
      </c>
      <c r="K31" s="48">
        <v>19999.254000000001</v>
      </c>
      <c r="L31" s="45">
        <v>45</v>
      </c>
    </row>
    <row r="32" spans="2:25" ht="14.25" customHeight="1" x14ac:dyDescent="0.3">
      <c r="F32" s="210" t="s">
        <v>137</v>
      </c>
      <c r="G32" s="200">
        <v>1.9999949999999997</v>
      </c>
      <c r="H32" s="200">
        <v>2.8000000000000001E-2</v>
      </c>
      <c r="J32" s="45"/>
      <c r="K32" s="48"/>
      <c r="L32" s="45"/>
    </row>
    <row r="33" spans="3:36" ht="14.25" customHeight="1" x14ac:dyDescent="0.3">
      <c r="C33" s="51" t="s">
        <v>163</v>
      </c>
    </row>
    <row r="34" spans="3:36" ht="14.25" customHeight="1" x14ac:dyDescent="0.3">
      <c r="C34" s="6" t="s">
        <v>165</v>
      </c>
      <c r="D34" s="219">
        <v>20.5</v>
      </c>
      <c r="E34" s="3" t="s">
        <v>166</v>
      </c>
      <c r="F34" s="9" t="s">
        <v>167</v>
      </c>
    </row>
    <row r="35" spans="3:36" ht="14.25" customHeight="1" x14ac:dyDescent="0.3">
      <c r="C35" s="6" t="s">
        <v>169</v>
      </c>
      <c r="D35" s="219">
        <v>20.399999999999999</v>
      </c>
      <c r="E35" s="3" t="s">
        <v>166</v>
      </c>
    </row>
    <row r="36" spans="3:36" ht="14.25" customHeight="1" x14ac:dyDescent="0.3">
      <c r="C36" s="3" t="s">
        <v>170</v>
      </c>
      <c r="D36" s="52">
        <f>AVERAGE(D34,D35)</f>
        <v>20.45</v>
      </c>
      <c r="E36" s="3" t="s">
        <v>166</v>
      </c>
    </row>
    <row r="37" spans="3:36" ht="14.25" customHeight="1" x14ac:dyDescent="0.3">
      <c r="C37" s="6" t="s">
        <v>171</v>
      </c>
      <c r="D37" s="219">
        <v>51.6</v>
      </c>
      <c r="E37" s="3" t="s">
        <v>93</v>
      </c>
      <c r="AH37" s="51"/>
    </row>
    <row r="38" spans="3:36" ht="14.25" customHeight="1" x14ac:dyDescent="0.3">
      <c r="C38" s="6" t="s">
        <v>172</v>
      </c>
      <c r="D38" s="219">
        <v>51</v>
      </c>
      <c r="E38" s="3" t="s">
        <v>93</v>
      </c>
      <c r="AH38" s="53"/>
      <c r="AI38" s="53"/>
      <c r="AJ38" s="53"/>
    </row>
    <row r="39" spans="3:36" ht="14.25" customHeight="1" x14ac:dyDescent="0.3">
      <c r="C39" s="3" t="s">
        <v>173</v>
      </c>
      <c r="D39" s="52">
        <f>AVERAGE(D37,D38)</f>
        <v>51.3</v>
      </c>
      <c r="E39" s="3" t="s">
        <v>93</v>
      </c>
      <c r="AH39" s="54"/>
      <c r="AI39" s="55"/>
      <c r="AJ39" s="54"/>
    </row>
    <row r="40" spans="3:36" ht="14.25" customHeight="1" x14ac:dyDescent="0.3">
      <c r="C40" s="6" t="s">
        <v>174</v>
      </c>
      <c r="D40" s="219">
        <v>923</v>
      </c>
      <c r="E40" s="3" t="s">
        <v>175</v>
      </c>
      <c r="F40" s="56">
        <f>D40*I40</f>
        <v>692.3090719999999</v>
      </c>
      <c r="G40" s="12" t="s">
        <v>176</v>
      </c>
      <c r="H40" s="12" t="s">
        <v>177</v>
      </c>
      <c r="I40" s="57">
        <v>0.75006399999999995</v>
      </c>
      <c r="J40" s="12" t="s">
        <v>176</v>
      </c>
      <c r="AH40" s="54"/>
      <c r="AI40" s="55"/>
      <c r="AJ40" s="54"/>
    </row>
    <row r="41" spans="3:36" ht="14.25" customHeight="1" x14ac:dyDescent="0.3">
      <c r="C41" s="6" t="s">
        <v>178</v>
      </c>
      <c r="D41" s="219">
        <v>923</v>
      </c>
      <c r="E41" s="3" t="s">
        <v>175</v>
      </c>
      <c r="F41" s="56">
        <f>D41*I41</f>
        <v>692.3090719999999</v>
      </c>
      <c r="G41" s="12" t="s">
        <v>176</v>
      </c>
      <c r="H41" s="12" t="s">
        <v>177</v>
      </c>
      <c r="I41" s="57">
        <v>0.75006399999999995</v>
      </c>
      <c r="J41" s="12" t="s">
        <v>176</v>
      </c>
      <c r="AH41" s="54"/>
      <c r="AI41" s="55"/>
      <c r="AJ41" s="54"/>
    </row>
    <row r="42" spans="3:36" ht="14.25" customHeight="1" x14ac:dyDescent="0.3">
      <c r="C42" s="3" t="s">
        <v>179</v>
      </c>
      <c r="D42" s="52">
        <f>AVERAGE(D40:D41)</f>
        <v>923</v>
      </c>
      <c r="E42" s="3" t="s">
        <v>175</v>
      </c>
      <c r="F42" s="56">
        <f>D42*I42</f>
        <v>692.3090719999999</v>
      </c>
      <c r="G42" s="12" t="s">
        <v>176</v>
      </c>
      <c r="H42" s="12" t="s">
        <v>177</v>
      </c>
      <c r="I42" s="57">
        <v>0.75006399999999995</v>
      </c>
      <c r="J42" s="12" t="s">
        <v>176</v>
      </c>
      <c r="AH42" s="54"/>
      <c r="AI42" s="54"/>
      <c r="AJ42" s="54"/>
    </row>
    <row r="43" spans="3:36" ht="14.25" customHeight="1" x14ac:dyDescent="0.3">
      <c r="C43" s="58" t="s">
        <v>180</v>
      </c>
      <c r="D43" s="3"/>
      <c r="E43" s="3"/>
      <c r="AH43" s="54"/>
      <c r="AI43" s="59"/>
      <c r="AJ43" s="54"/>
    </row>
    <row r="44" spans="3:36" ht="14.25" customHeight="1" x14ac:dyDescent="0.3">
      <c r="C44" s="60" t="s">
        <v>181</v>
      </c>
      <c r="D44" s="61">
        <v>2000</v>
      </c>
      <c r="E44" s="3" t="s">
        <v>52</v>
      </c>
      <c r="F44" s="9" t="s">
        <v>182</v>
      </c>
    </row>
    <row r="45" spans="3:36" ht="14.25" customHeight="1" x14ac:dyDescent="0.3">
      <c r="C45" s="60" t="s">
        <v>183</v>
      </c>
      <c r="D45" s="61">
        <v>5000</v>
      </c>
      <c r="E45" s="3" t="s">
        <v>52</v>
      </c>
      <c r="G45" s="9" t="s">
        <v>184</v>
      </c>
    </row>
    <row r="46" spans="3:36" ht="14.25" customHeight="1" x14ac:dyDescent="0.3">
      <c r="C46" s="60" t="s">
        <v>185</v>
      </c>
      <c r="D46" s="61">
        <v>500</v>
      </c>
      <c r="E46" s="3" t="s">
        <v>52</v>
      </c>
      <c r="F46" s="7"/>
    </row>
    <row r="47" spans="3:36" ht="14.25" customHeight="1" x14ac:dyDescent="0.3">
      <c r="C47" s="60" t="s">
        <v>186</v>
      </c>
      <c r="D47" s="61">
        <v>5</v>
      </c>
      <c r="E47" s="3" t="s">
        <v>52</v>
      </c>
      <c r="F47" s="7"/>
    </row>
    <row r="48" spans="3:36" ht="14.25" customHeight="1" x14ac:dyDescent="0.3">
      <c r="C48" s="60" t="s">
        <v>187</v>
      </c>
      <c r="D48" s="61">
        <v>0</v>
      </c>
      <c r="E48" s="3" t="s">
        <v>52</v>
      </c>
      <c r="AH48" s="59"/>
      <c r="AI48" s="54"/>
    </row>
    <row r="49" spans="1:35" ht="14.25" customHeight="1" x14ac:dyDescent="0.3">
      <c r="C49" s="198" t="s">
        <v>54</v>
      </c>
      <c r="D49" s="199">
        <f>INDEX(Database!H2:H25,MATCH(SUM(H94:H98)*20/1000,Database!H2:H25,-1))</f>
        <v>1</v>
      </c>
      <c r="E49" s="3" t="s">
        <v>52</v>
      </c>
      <c r="AH49" s="59"/>
      <c r="AI49" s="54"/>
    </row>
    <row r="50" spans="1:35" ht="14.25" customHeight="1" x14ac:dyDescent="0.3">
      <c r="C50" s="204" t="s">
        <v>333</v>
      </c>
      <c r="D50" s="199">
        <f>SUM(
IFERROR(
INDEX(
CHOOSE(
MATCH(D54,Database!B2:B5,0),
B2:D20,
F2:H20,
J2:L32,
N2:P20
),
MATCH(D49,
INDEX(
CHOOSE(
MATCH(D54,Database!B2:B6,0),
B2:D20,
F2:H20,
J2:L32,
N2:P20
),,1),
0
),
3
),
0
)
)</f>
        <v>2.7E-2</v>
      </c>
      <c r="E50" s="205" t="s">
        <v>53</v>
      </c>
      <c r="AH50" s="59"/>
      <c r="AI50" s="54"/>
    </row>
    <row r="51" spans="1:35" ht="14.25" customHeight="1" x14ac:dyDescent="0.3">
      <c r="C51" s="58" t="s">
        <v>188</v>
      </c>
      <c r="D51" s="3"/>
      <c r="E51" s="3"/>
    </row>
    <row r="52" spans="1:35" ht="14.25" customHeight="1" x14ac:dyDescent="0.3">
      <c r="C52" s="60" t="s">
        <v>189</v>
      </c>
      <c r="D52" s="61">
        <v>0.01</v>
      </c>
      <c r="E52" s="3" t="s">
        <v>52</v>
      </c>
    </row>
    <row r="53" spans="1:35" ht="14.25" customHeight="1" x14ac:dyDescent="0.3">
      <c r="C53" s="60" t="s">
        <v>43</v>
      </c>
      <c r="D53" s="61">
        <v>14904962</v>
      </c>
      <c r="E53" s="3"/>
    </row>
    <row r="54" spans="1:35" ht="14.25" customHeight="1" x14ac:dyDescent="0.3">
      <c r="C54" s="60" t="s">
        <v>44</v>
      </c>
      <c r="D54" s="61" t="s">
        <v>107</v>
      </c>
      <c r="E54" s="3"/>
      <c r="F54" s="12" t="s">
        <v>190</v>
      </c>
    </row>
    <row r="55" spans="1:35" ht="14.25" customHeight="1" x14ac:dyDescent="0.3">
      <c r="C55" s="3" t="s">
        <v>46</v>
      </c>
      <c r="D55" s="62" t="str">
        <f>VLOOKUP(D54,Database!K1:M5,2,FALSE)</f>
        <v>YCS</v>
      </c>
      <c r="E55" s="5"/>
      <c r="F55" s="9" t="s">
        <v>191</v>
      </c>
    </row>
    <row r="56" spans="1:35" ht="14.25" customHeight="1" x14ac:dyDescent="0.3">
      <c r="C56" s="3" t="s">
        <v>35</v>
      </c>
      <c r="D56" s="12" t="str">
        <f>VLOOKUP(D54,Database!K1:M5,3,FALSE)</f>
        <v>YCS-01-653-00</v>
      </c>
      <c r="E56" s="5"/>
      <c r="F56" s="9" t="s">
        <v>192</v>
      </c>
    </row>
    <row r="57" spans="1:35" ht="14.25" customHeight="1" x14ac:dyDescent="0.3">
      <c r="C57" s="3" t="s">
        <v>193</v>
      </c>
      <c r="D57" s="63" cm="1">
        <f t="array" ref="D57">SUM(
IFERROR(
INDEX(
CHOOSE(
MATCH(D54,Database!B2:B5,0),
B2:D20,
F2:H32,
J2:L32,
N2:P29
),
MATCH(D44:D48,
INDEX(
CHOOSE(
MATCH(D54,Database!B2:B6,0),
B2:D20,
F2:H32,
J2:L32,
N2:P28
),,1),
0
),
2
),
0
)
)</f>
        <v>7505.0142300000007</v>
      </c>
      <c r="E57" s="3" t="s">
        <v>52</v>
      </c>
      <c r="F57" s="9" t="s">
        <v>194</v>
      </c>
    </row>
    <row r="58" spans="1:35" ht="14.25" customHeight="1" x14ac:dyDescent="0.3">
      <c r="C58" s="3" t="s">
        <v>195</v>
      </c>
      <c r="D58" s="62" cm="1">
        <f t="array" ref="D58">SUM(
IFERROR(
INDEX(
CHOOSE(
MATCH(D54,Database!B2:B5,0),
B2:D20,
F2:H32,
J2:L32,
N2:P20
),
MATCH(D44:D48,
INDEX(
CHOOSE(
MATCH(D54,Database!B2:B6,0),
B2:D20,
F2:H32,
J2:L32,
N2:P20
),,1),
0
),
3
),
0
)
)</f>
        <v>5.0289999999999999</v>
      </c>
      <c r="E58" s="3" t="s">
        <v>53</v>
      </c>
      <c r="F58" s="9" t="s">
        <v>196</v>
      </c>
    </row>
    <row r="59" spans="1:35" ht="14.25" customHeight="1" x14ac:dyDescent="0.3"/>
    <row r="60" spans="1:35" ht="14.25" customHeight="1" x14ac:dyDescent="0.3">
      <c r="A60" s="10"/>
      <c r="B60" s="10" t="s">
        <v>329</v>
      </c>
      <c r="C60" s="64" t="s">
        <v>197</v>
      </c>
      <c r="D60" s="65" t="s">
        <v>198</v>
      </c>
      <c r="E60" s="65" t="s">
        <v>199</v>
      </c>
      <c r="F60" s="65" t="s">
        <v>200</v>
      </c>
      <c r="G60" s="65" t="s">
        <v>201</v>
      </c>
      <c r="H60" s="66" t="s">
        <v>202</v>
      </c>
      <c r="I60" s="191" t="s">
        <v>331</v>
      </c>
    </row>
    <row r="61" spans="1:35" ht="14.25" customHeight="1" x14ac:dyDescent="0.3">
      <c r="A61" s="67"/>
      <c r="B61" s="11" t="s">
        <v>330</v>
      </c>
      <c r="C61" s="68" t="s">
        <v>203</v>
      </c>
      <c r="D61" s="69" t="s">
        <v>203</v>
      </c>
      <c r="E61" s="69" t="s">
        <v>203</v>
      </c>
      <c r="F61" s="69" t="s">
        <v>203</v>
      </c>
      <c r="G61" s="69" t="s">
        <v>203</v>
      </c>
      <c r="H61" s="70" t="s">
        <v>52</v>
      </c>
      <c r="I61" s="190" t="s">
        <v>330</v>
      </c>
    </row>
    <row r="62" spans="1:35" ht="14.25" customHeight="1" x14ac:dyDescent="0.3">
      <c r="A62" s="10" t="s">
        <v>50</v>
      </c>
      <c r="B62" s="186">
        <v>4500.54</v>
      </c>
      <c r="C62" s="71">
        <v>4500.04</v>
      </c>
      <c r="D62" s="72"/>
      <c r="E62" s="72"/>
      <c r="F62" s="72"/>
      <c r="G62" s="72"/>
      <c r="H62" s="73"/>
      <c r="I62" s="192">
        <f>ABS(B62-C62)</f>
        <v>0.5</v>
      </c>
    </row>
    <row r="63" spans="1:35" ht="14.25" customHeight="1" x14ac:dyDescent="0.3">
      <c r="A63" s="74" t="s">
        <v>204</v>
      </c>
      <c r="B63" s="189"/>
      <c r="C63" s="75">
        <v>4580.76</v>
      </c>
      <c r="D63" s="9"/>
      <c r="E63" s="9"/>
      <c r="F63" s="9"/>
      <c r="G63" s="9"/>
      <c r="H63" s="76">
        <f>C63-C62</f>
        <v>80.720000000000255</v>
      </c>
      <c r="I63" s="193"/>
    </row>
    <row r="64" spans="1:35" ht="14.25" customHeight="1" x14ac:dyDescent="0.3">
      <c r="A64" s="74" t="s">
        <v>205</v>
      </c>
      <c r="B64" s="189"/>
      <c r="C64" s="75">
        <v>4580.75</v>
      </c>
      <c r="D64" s="9"/>
      <c r="E64" s="9"/>
      <c r="F64" s="9"/>
      <c r="G64" s="9"/>
      <c r="H64" s="76"/>
      <c r="I64" s="193"/>
    </row>
    <row r="65" spans="1:9" ht="14.25" customHeight="1" x14ac:dyDescent="0.3">
      <c r="A65" s="74" t="s">
        <v>51</v>
      </c>
      <c r="B65" s="187">
        <v>4500.51</v>
      </c>
      <c r="C65" s="75">
        <v>4500.01</v>
      </c>
      <c r="D65" s="9"/>
      <c r="E65" s="9"/>
      <c r="F65" s="9"/>
      <c r="G65" s="9"/>
      <c r="H65" s="76">
        <f>C64-C65</f>
        <v>80.739999999999782</v>
      </c>
      <c r="I65" s="194">
        <f>ABS(B65-C65)</f>
        <v>0.5</v>
      </c>
    </row>
    <row r="66" spans="1:9" ht="14.25" customHeight="1" x14ac:dyDescent="0.3">
      <c r="A66" s="74" t="s">
        <v>206</v>
      </c>
      <c r="B66" s="188">
        <v>4500.51</v>
      </c>
      <c r="C66" s="77"/>
      <c r="D66" s="77">
        <v>4500</v>
      </c>
      <c r="E66" s="9"/>
      <c r="F66" s="9"/>
      <c r="G66" s="9"/>
      <c r="H66" s="76"/>
      <c r="I66" s="193">
        <f>ABS(D66-B66)</f>
        <v>0.51000000000021828</v>
      </c>
    </row>
    <row r="67" spans="1:9" ht="14.25" customHeight="1" x14ac:dyDescent="0.3">
      <c r="A67" s="74" t="s">
        <v>207</v>
      </c>
      <c r="B67" s="189"/>
      <c r="C67" s="77"/>
      <c r="D67" s="75">
        <v>4580.75</v>
      </c>
      <c r="E67" s="9"/>
      <c r="F67" s="9"/>
      <c r="G67" s="9"/>
      <c r="H67" s="76">
        <f>D67-D66</f>
        <v>80.75</v>
      </c>
      <c r="I67" s="193"/>
    </row>
    <row r="68" spans="1:9" ht="14.25" customHeight="1" x14ac:dyDescent="0.3">
      <c r="A68" s="74" t="s">
        <v>208</v>
      </c>
      <c r="B68" s="189"/>
      <c r="C68" s="77"/>
      <c r="D68" s="75">
        <v>4580.75</v>
      </c>
      <c r="E68" s="9"/>
      <c r="F68" s="9"/>
      <c r="G68" s="9"/>
      <c r="H68" s="76"/>
      <c r="I68" s="193"/>
    </row>
    <row r="69" spans="1:9" ht="14.25" customHeight="1" x14ac:dyDescent="0.3">
      <c r="A69" s="74" t="s">
        <v>209</v>
      </c>
      <c r="B69" s="187">
        <v>4500.49</v>
      </c>
      <c r="C69" s="77"/>
      <c r="D69" s="75">
        <v>4499.99</v>
      </c>
      <c r="E69" s="9"/>
      <c r="F69" s="9"/>
      <c r="G69" s="9"/>
      <c r="H69" s="76">
        <f>D68-D69</f>
        <v>80.760000000000218</v>
      </c>
      <c r="I69" s="193">
        <f>ABS(B69-D69)</f>
        <v>0.5</v>
      </c>
    </row>
    <row r="70" spans="1:9" ht="14.25" customHeight="1" x14ac:dyDescent="0.3">
      <c r="A70" s="74" t="s">
        <v>210</v>
      </c>
      <c r="B70" s="188">
        <v>4500.49</v>
      </c>
      <c r="C70" s="77"/>
      <c r="D70" s="9"/>
      <c r="E70" s="75">
        <v>4499.9799999999996</v>
      </c>
      <c r="F70" s="9"/>
      <c r="G70" s="9"/>
      <c r="H70" s="76"/>
      <c r="I70" s="193">
        <f>ABS(B70-E70)</f>
        <v>0.51000000000021828</v>
      </c>
    </row>
    <row r="71" spans="1:9" ht="14.25" customHeight="1" x14ac:dyDescent="0.3">
      <c r="A71" s="74" t="s">
        <v>211</v>
      </c>
      <c r="B71" s="189"/>
      <c r="C71" s="77"/>
      <c r="D71" s="9"/>
      <c r="E71" s="75">
        <v>4580.74</v>
      </c>
      <c r="F71" s="9"/>
      <c r="G71" s="9"/>
      <c r="H71" s="76">
        <f>E71-E70</f>
        <v>80.760000000000218</v>
      </c>
      <c r="I71" s="193"/>
    </row>
    <row r="72" spans="1:9" ht="14.25" customHeight="1" x14ac:dyDescent="0.3">
      <c r="A72" s="74" t="s">
        <v>212</v>
      </c>
      <c r="B72" s="189"/>
      <c r="C72" s="77"/>
      <c r="D72" s="9"/>
      <c r="E72" s="75">
        <v>4580.72</v>
      </c>
      <c r="F72" s="9"/>
      <c r="G72" s="9"/>
      <c r="H72" s="76"/>
      <c r="I72" s="193"/>
    </row>
    <row r="73" spans="1:9" ht="14.25" customHeight="1" x14ac:dyDescent="0.3">
      <c r="A73" s="74" t="s">
        <v>213</v>
      </c>
      <c r="B73" s="187">
        <v>4500.49</v>
      </c>
      <c r="C73" s="77"/>
      <c r="D73" s="9"/>
      <c r="E73" s="75">
        <v>4499.9799999999996</v>
      </c>
      <c r="F73" s="9"/>
      <c r="G73" s="9"/>
      <c r="H73" s="76">
        <f>E72-E73</f>
        <v>80.740000000000691</v>
      </c>
      <c r="I73" s="193">
        <f>ABS(B73-E73)</f>
        <v>0.51000000000021828</v>
      </c>
    </row>
    <row r="74" spans="1:9" ht="14.25" customHeight="1" x14ac:dyDescent="0.3">
      <c r="A74" s="74" t="s">
        <v>214</v>
      </c>
      <c r="B74" s="188">
        <v>4500.5</v>
      </c>
      <c r="C74" s="77"/>
      <c r="D74" s="9"/>
      <c r="E74" s="9"/>
      <c r="F74" s="75">
        <v>4500</v>
      </c>
      <c r="G74" s="9"/>
      <c r="H74" s="76"/>
      <c r="I74" s="193">
        <f>ABS(B74-F74)</f>
        <v>0.5</v>
      </c>
    </row>
    <row r="75" spans="1:9" ht="14.25" customHeight="1" x14ac:dyDescent="0.3">
      <c r="A75" s="74" t="s">
        <v>215</v>
      </c>
      <c r="B75" s="189"/>
      <c r="C75" s="77"/>
      <c r="D75" s="9"/>
      <c r="E75" s="9"/>
      <c r="F75" s="75">
        <v>4580.74</v>
      </c>
      <c r="G75" s="9"/>
      <c r="H75" s="76">
        <f>F75-F74</f>
        <v>80.739999999999782</v>
      </c>
      <c r="I75" s="193"/>
    </row>
    <row r="76" spans="1:9" ht="14.25" customHeight="1" x14ac:dyDescent="0.3">
      <c r="A76" s="74" t="s">
        <v>216</v>
      </c>
      <c r="B76" s="189"/>
      <c r="C76" s="77"/>
      <c r="D76" s="9"/>
      <c r="E76" s="9"/>
      <c r="F76" s="75">
        <v>4580.7299999999996</v>
      </c>
      <c r="G76" s="9"/>
      <c r="H76" s="76"/>
      <c r="I76" s="193"/>
    </row>
    <row r="77" spans="1:9" ht="14.25" customHeight="1" x14ac:dyDescent="0.3">
      <c r="A77" s="74" t="s">
        <v>217</v>
      </c>
      <c r="B77" s="187">
        <v>4500.49</v>
      </c>
      <c r="C77" s="77"/>
      <c r="D77" s="9"/>
      <c r="E77" s="9"/>
      <c r="F77" s="75">
        <v>4499.99</v>
      </c>
      <c r="G77" s="9"/>
      <c r="H77" s="76">
        <f>F76-F77</f>
        <v>80.739999999999782</v>
      </c>
      <c r="I77" s="193">
        <f>ABS(B77-F77)</f>
        <v>0.5</v>
      </c>
    </row>
    <row r="78" spans="1:9" ht="14.25" customHeight="1" x14ac:dyDescent="0.3">
      <c r="A78" s="74" t="s">
        <v>218</v>
      </c>
      <c r="B78" s="74">
        <v>4500.4799999999996</v>
      </c>
      <c r="C78" s="77"/>
      <c r="D78" s="9"/>
      <c r="E78" s="9"/>
      <c r="F78" s="9"/>
      <c r="G78" s="75">
        <v>4499.9799999999996</v>
      </c>
      <c r="H78" s="76"/>
      <c r="I78" s="193">
        <f>ABS(B78-G78)</f>
        <v>0.5</v>
      </c>
    </row>
    <row r="79" spans="1:9" ht="14.25" customHeight="1" x14ac:dyDescent="0.3">
      <c r="A79" s="74" t="s">
        <v>219</v>
      </c>
      <c r="B79" s="189"/>
      <c r="C79" s="77"/>
      <c r="D79" s="9"/>
      <c r="E79" s="9"/>
      <c r="F79" s="9"/>
      <c r="G79" s="75">
        <v>4580.72</v>
      </c>
      <c r="H79" s="76">
        <f>G79-G78</f>
        <v>80.740000000000691</v>
      </c>
      <c r="I79" s="193"/>
    </row>
    <row r="80" spans="1:9" ht="14.25" customHeight="1" x14ac:dyDescent="0.3">
      <c r="A80" s="74" t="s">
        <v>220</v>
      </c>
      <c r="B80" s="189"/>
      <c r="C80" s="77"/>
      <c r="D80" s="9"/>
      <c r="E80" s="9"/>
      <c r="F80" s="9"/>
      <c r="G80" s="75">
        <v>4580.72</v>
      </c>
      <c r="H80" s="76"/>
      <c r="I80" s="193"/>
    </row>
    <row r="81" spans="1:20" ht="14.25" customHeight="1" x14ac:dyDescent="0.3">
      <c r="A81" s="67" t="s">
        <v>221</v>
      </c>
      <c r="B81" s="67">
        <v>4500.4799999999996</v>
      </c>
      <c r="C81" s="78"/>
      <c r="D81" s="79"/>
      <c r="E81" s="79"/>
      <c r="F81" s="79"/>
      <c r="G81" s="80">
        <v>4499.97</v>
      </c>
      <c r="H81" s="81">
        <f>G80-G81</f>
        <v>80.75</v>
      </c>
      <c r="I81" s="197">
        <f>ABS(B81-G81)</f>
        <v>0.50999999999930878</v>
      </c>
    </row>
    <row r="82" spans="1:20" ht="14.25" customHeight="1" x14ac:dyDescent="0.3">
      <c r="G82" s="3"/>
      <c r="H82" s="3"/>
      <c r="I82" s="193"/>
    </row>
    <row r="83" spans="1:20" ht="14.25" customHeight="1" x14ac:dyDescent="0.3">
      <c r="G83" s="3" t="s">
        <v>222</v>
      </c>
      <c r="H83" s="3">
        <f>AVERAGE(H62:H81)</f>
        <v>80.744000000000142</v>
      </c>
      <c r="I83" s="195">
        <f>AVERAGE(I62:I81)</f>
        <v>0.50399999999999634</v>
      </c>
      <c r="J83" t="s">
        <v>52</v>
      </c>
    </row>
    <row r="84" spans="1:20" ht="14.25" customHeight="1" x14ac:dyDescent="0.3">
      <c r="G84" s="3"/>
      <c r="H84" s="3"/>
      <c r="I84" s="193"/>
    </row>
    <row r="85" spans="1:20" ht="14.25" customHeight="1" x14ac:dyDescent="0.3">
      <c r="G85" s="3" t="s">
        <v>223</v>
      </c>
      <c r="H85" s="82">
        <f>STDEVP(H62:H81)</f>
        <v>1.1135528725641749E-2</v>
      </c>
      <c r="I85" s="196">
        <f>STDEVP(I62:I81)</f>
        <v>4.8989794855619009E-3</v>
      </c>
      <c r="J85" t="s">
        <v>52</v>
      </c>
      <c r="L85" s="83"/>
      <c r="S85" s="83"/>
      <c r="T85" s="83"/>
    </row>
    <row r="86" spans="1:20" ht="14.25" customHeight="1" x14ac:dyDescent="0.3">
      <c r="G86" s="3"/>
      <c r="H86" s="3"/>
      <c r="N86" s="83"/>
    </row>
    <row r="87" spans="1:20" ht="14.25" customHeight="1" x14ac:dyDescent="0.3">
      <c r="G87" s="3" t="s">
        <v>224</v>
      </c>
      <c r="H87" s="85">
        <f>D57+K88*H83</f>
        <v>7665.2205792063514</v>
      </c>
      <c r="I87" s="12" t="s">
        <v>52</v>
      </c>
      <c r="J87" s="84"/>
      <c r="K87" s="201" t="s">
        <v>57</v>
      </c>
    </row>
    <row r="88" spans="1:20" ht="14.25" customHeight="1" x14ac:dyDescent="0.3">
      <c r="H88" s="86">
        <f>H87</f>
        <v>7665.2205792063514</v>
      </c>
      <c r="K88" s="200">
        <f>D49/I83</f>
        <v>1.9841269841269986</v>
      </c>
    </row>
    <row r="89" spans="1:20" ht="14.25" customHeight="1" x14ac:dyDescent="0.3">
      <c r="I89" s="12"/>
    </row>
    <row r="90" spans="1:20" ht="14.25" customHeight="1" x14ac:dyDescent="0.3"/>
    <row r="91" spans="1:20" ht="14.25" customHeight="1" x14ac:dyDescent="0.3">
      <c r="H91" s="9" t="s">
        <v>184</v>
      </c>
    </row>
    <row r="92" spans="1:20" ht="14.25" customHeight="1" x14ac:dyDescent="0.3"/>
    <row r="93" spans="1:20" ht="14.25" customHeight="1" x14ac:dyDescent="0.3">
      <c r="C93" s="87" t="s">
        <v>225</v>
      </c>
      <c r="D93" s="87"/>
      <c r="E93" s="87"/>
      <c r="F93" s="87"/>
      <c r="G93" s="88"/>
      <c r="H93" s="89"/>
      <c r="I93" s="89"/>
      <c r="J93" s="89"/>
      <c r="K93" s="89"/>
      <c r="L93" s="89"/>
      <c r="M93" s="89"/>
    </row>
    <row r="94" spans="1:20" ht="14.25" customHeight="1" x14ac:dyDescent="0.3">
      <c r="C94" s="90" t="s">
        <v>226</v>
      </c>
      <c r="D94" s="90" t="s">
        <v>227</v>
      </c>
      <c r="E94" s="88"/>
      <c r="F94" s="91"/>
      <c r="G94" s="92" t="str">
        <f>CONCATENATE("MPE 1 ",D44," g")</f>
        <v>MPE 1 2000 g</v>
      </c>
      <c r="H94" s="89" cm="1">
        <f t="array" ref="H94">IFERROR(VLOOKUP(CONCATENATE(IF(ISNUMBER(D44),D44,_xlfn.TEXTJOIN("",TRUE,IFERROR(MID(D44,_xlfn.SEQUENCE(LEN(D44),1),1)*1,""))*1)," g"),R2:Y26,_xlfn.IFS(LEFT(D54,2)="E2",3,LEFT(D54,2)="F1",4,LEFT(D54,2)="M1",6),FALSE),0)</f>
        <v>10</v>
      </c>
      <c r="I94" s="89" t="s">
        <v>53</v>
      </c>
      <c r="M94" s="89"/>
    </row>
    <row r="95" spans="1:20" ht="14.25" customHeight="1" x14ac:dyDescent="0.3">
      <c r="C95" s="89" t="s">
        <v>228</v>
      </c>
      <c r="D95" s="89" t="s">
        <v>229</v>
      </c>
      <c r="E95" s="89"/>
      <c r="F95" s="93"/>
      <c r="G95" s="89" t="str">
        <f>CONCATENATE("MPE 2 ",D45," g")</f>
        <v>MPE 2 5000 g</v>
      </c>
      <c r="H95" s="89" cm="1">
        <f t="array" ref="H95">IFERROR(VLOOKUP(CONCATENATE(IF(ISNUMBER(D45),D45,_xlfn.TEXTJOIN("",TRUE,IFERROR(MID(D45,_xlfn.SEQUENCE(LEN(D45),1),1)*1,""))*1)," g"),R2:Y26,_xlfn.IFS(LEFT(D54,2)="E2",3,LEFT(D54,2)="F1",4,LEFT(D54,2)="M1",6),FALSE),0)</f>
        <v>25</v>
      </c>
      <c r="I95" s="89" t="s">
        <v>53</v>
      </c>
      <c r="M95" s="94"/>
    </row>
    <row r="96" spans="1:20" ht="14.25" customHeight="1" x14ac:dyDescent="0.3">
      <c r="C96" s="89" t="s">
        <v>230</v>
      </c>
      <c r="D96" s="89" t="str">
        <f>CONCATENATE("Anak Timbangan ",D54)</f>
        <v xml:space="preserve">Anak Timbangan F1 </v>
      </c>
      <c r="E96" s="89"/>
      <c r="F96" s="93"/>
      <c r="G96" s="89" t="str">
        <f>CONCATENATE("MPE 3 ",D46," g")</f>
        <v>MPE 3 500 g</v>
      </c>
      <c r="H96" s="89" cm="1">
        <f t="array" ref="H96">IFERROR(VLOOKUP(CONCATENATE(IF(ISNUMBER(D46),D46,_xlfn.TEXTJOIN("",TRUE,IFERROR(MID(D46,_xlfn.SEQUENCE(LEN(D46),1),1)*1,""))*1)," g"),R2:Y26,_xlfn.IFS(LEFT(D54,2)="E2",3,LEFT(D54,2)="F1",4,LEFT(D54,2)="M1",6),FALSE),0)</f>
        <v>2.5</v>
      </c>
      <c r="I96" s="89" t="s">
        <v>53</v>
      </c>
      <c r="J96" s="89" t="s">
        <v>332</v>
      </c>
      <c r="K96" s="89">
        <f>VLOOKUP(CONCATENATE(D49," g"),R2:Y26,4,FALSE)</f>
        <v>0.1</v>
      </c>
      <c r="L96" s="203" t="s">
        <v>53</v>
      </c>
      <c r="M96" s="94"/>
    </row>
    <row r="97" spans="3:21" ht="14.25" customHeight="1" x14ac:dyDescent="0.3">
      <c r="C97" s="89" t="s">
        <v>231</v>
      </c>
      <c r="D97" s="95">
        <f>ROUND(D57,0)</f>
        <v>7505</v>
      </c>
      <c r="E97" s="90" t="s">
        <v>52</v>
      </c>
      <c r="F97" s="96"/>
      <c r="G97" s="89" t="str">
        <f>CONCATENATE("MPE 4 ",D47," g")</f>
        <v>MPE 4 5 g</v>
      </c>
      <c r="H97" s="89" cm="1">
        <f t="array" ref="H97">IFERROR(VLOOKUP(CONCATENATE(IF(ISNUMBER(D47),D47,_xlfn.TEXTJOIN("",TRUE,IFERROR(MID(D47,_xlfn.SEQUENCE(LEN(D47),1),1)*1,""))*1)," g"),R2:Y26,_xlfn.IFS(LEFT(D54,2)="E2",3,LEFT(D54,2)="F1",4,LEFT(D54,2)="M1",6),FALSE),0)</f>
        <v>0.15</v>
      </c>
      <c r="I97" s="89" t="s">
        <v>53</v>
      </c>
      <c r="J97" s="89"/>
      <c r="K97" s="89"/>
      <c r="L97" s="89"/>
      <c r="M97" s="89"/>
      <c r="O97" s="9"/>
      <c r="P97" s="9"/>
      <c r="R97" s="9"/>
      <c r="S97" s="9"/>
      <c r="U97" s="9"/>
    </row>
    <row r="98" spans="3:21" ht="14.25" customHeight="1" x14ac:dyDescent="0.3">
      <c r="C98" s="89"/>
      <c r="D98" s="95"/>
      <c r="E98" s="90"/>
      <c r="F98" s="96"/>
      <c r="G98" s="89" t="str">
        <f>CONCATENATE("MPE 5 ",D48," g")</f>
        <v>MPE 5 0 g</v>
      </c>
      <c r="H98" s="89" cm="1">
        <f t="array" ref="H98">IFERROR(VLOOKUP(CONCATENATE(IF(ISNUMBER(D48),D48,_xlfn.TEXTJOIN("",TRUE,IFERROR(MID(D48,_xlfn.SEQUENCE(LEN(D48),1),1)*1,""))*1)," g"),R2:Y26,_xlfn.IFS(LEFT(D54,2)="E2",3,LEFT(D54,2)="F1",4,LEFT(D54,2)="M1",6),FALSE),0)</f>
        <v>0</v>
      </c>
      <c r="I98" s="89" t="s">
        <v>53</v>
      </c>
      <c r="J98" s="89"/>
      <c r="K98" s="89"/>
      <c r="L98" s="89"/>
      <c r="M98" s="89"/>
      <c r="O98" s="9"/>
      <c r="P98" s="9"/>
      <c r="R98" s="9"/>
      <c r="S98" s="9"/>
      <c r="U98" s="9"/>
    </row>
    <row r="99" spans="3:21" ht="14.25" customHeight="1" x14ac:dyDescent="0.3">
      <c r="C99" s="89" t="s">
        <v>232</v>
      </c>
      <c r="D99" s="89"/>
      <c r="E99" s="89"/>
      <c r="F99" s="93"/>
      <c r="G99" s="89"/>
      <c r="H99" s="89"/>
      <c r="I99" s="89"/>
      <c r="J99" s="89"/>
      <c r="K99" s="89"/>
      <c r="L99" s="89"/>
      <c r="M99" s="89"/>
    </row>
    <row r="100" spans="3:21" ht="24" customHeight="1" x14ac:dyDescent="0.4">
      <c r="C100" s="97"/>
      <c r="D100" s="89"/>
      <c r="E100" s="89"/>
      <c r="F100" s="93"/>
      <c r="G100" s="89"/>
      <c r="H100" s="89"/>
      <c r="I100" s="89"/>
      <c r="J100" s="89"/>
      <c r="K100" s="89"/>
      <c r="L100" s="89"/>
      <c r="M100" s="89"/>
    </row>
    <row r="101" spans="3:21" ht="14.25" customHeight="1" x14ac:dyDescent="0.3">
      <c r="C101" s="98" t="s">
        <v>233</v>
      </c>
      <c r="D101" s="98" t="s">
        <v>26</v>
      </c>
      <c r="E101" s="98" t="s">
        <v>234</v>
      </c>
      <c r="F101" s="98" t="s">
        <v>235</v>
      </c>
      <c r="G101" s="98" t="s">
        <v>236</v>
      </c>
      <c r="H101" s="98" t="s">
        <v>237</v>
      </c>
      <c r="I101" s="99" t="s">
        <v>238</v>
      </c>
      <c r="J101" s="98" t="s">
        <v>239</v>
      </c>
      <c r="K101" s="99" t="s">
        <v>240</v>
      </c>
      <c r="L101" s="99" t="s">
        <v>241</v>
      </c>
      <c r="M101" s="98" t="s">
        <v>242</v>
      </c>
    </row>
    <row r="102" spans="3:21" ht="14.25" customHeight="1" x14ac:dyDescent="0.3">
      <c r="C102" s="100">
        <v>1</v>
      </c>
      <c r="D102" s="100">
        <v>2</v>
      </c>
      <c r="E102" s="100">
        <v>3</v>
      </c>
      <c r="F102" s="100">
        <v>4</v>
      </c>
      <c r="G102" s="100">
        <v>5</v>
      </c>
      <c r="H102" s="100">
        <v>6</v>
      </c>
      <c r="I102" s="100">
        <v>7</v>
      </c>
      <c r="J102" s="100">
        <v>8</v>
      </c>
      <c r="K102" s="100">
        <v>9</v>
      </c>
      <c r="L102" s="100">
        <v>10</v>
      </c>
      <c r="M102" s="100">
        <v>11</v>
      </c>
    </row>
    <row r="103" spans="3:21" ht="14.25" customHeight="1" x14ac:dyDescent="0.3">
      <c r="C103" s="101" t="s">
        <v>243</v>
      </c>
      <c r="D103" s="102" t="s">
        <v>53</v>
      </c>
      <c r="E103" s="102" t="s">
        <v>244</v>
      </c>
      <c r="F103" s="102">
        <f>$D$58</f>
        <v>5.0289999999999999</v>
      </c>
      <c r="G103" s="102">
        <v>2</v>
      </c>
      <c r="H103" s="102">
        <v>60</v>
      </c>
      <c r="I103" s="102">
        <f t="shared" ref="I103:I114" si="0">F103/G103</f>
        <v>2.5145</v>
      </c>
      <c r="J103" s="102">
        <v>1</v>
      </c>
      <c r="K103" s="102">
        <f t="shared" ref="K103:K114" si="1">I103*J103</f>
        <v>2.5145</v>
      </c>
      <c r="L103" s="102">
        <f t="shared" ref="L103:L114" si="2">K103^2</f>
        <v>6.3227102500000001</v>
      </c>
      <c r="M103" s="102">
        <f t="shared" ref="M103:M114" si="3">K103^4/H103</f>
        <v>0.66627774842425114</v>
      </c>
    </row>
    <row r="104" spans="3:21" ht="14.25" customHeight="1" x14ac:dyDescent="0.3">
      <c r="C104" s="103" t="s">
        <v>245</v>
      </c>
      <c r="D104" s="104" t="s">
        <v>53</v>
      </c>
      <c r="E104" s="105" t="s">
        <v>244</v>
      </c>
      <c r="F104" s="105">
        <f>0.05</f>
        <v>0.05</v>
      </c>
      <c r="G104" s="105">
        <v>2</v>
      </c>
      <c r="H104" s="105">
        <v>60</v>
      </c>
      <c r="I104" s="104">
        <f t="shared" si="0"/>
        <v>2.5000000000000001E-2</v>
      </c>
      <c r="J104" s="104">
        <f>H83/D49</f>
        <v>80.744000000000142</v>
      </c>
      <c r="K104" s="104">
        <f t="shared" si="1"/>
        <v>2.0186000000000037</v>
      </c>
      <c r="L104" s="104">
        <f t="shared" si="2"/>
        <v>4.0747459600000147</v>
      </c>
      <c r="M104" s="104">
        <f t="shared" si="3"/>
        <v>0.27672591064227403</v>
      </c>
    </row>
    <row r="105" spans="3:21" ht="14.25" customHeight="1" x14ac:dyDescent="0.3">
      <c r="C105" s="106" t="str">
        <f>CONCATENATE("Instability in ",D44," g")</f>
        <v>Instability in 2000 g</v>
      </c>
      <c r="D105" s="104" t="s">
        <v>53</v>
      </c>
      <c r="E105" s="104" t="s">
        <v>244</v>
      </c>
      <c r="F105" s="104">
        <f>0.08*$H$94</f>
        <v>0.8</v>
      </c>
      <c r="G105" s="104">
        <v>1</v>
      </c>
      <c r="H105" s="104">
        <v>4</v>
      </c>
      <c r="I105" s="104">
        <f t="shared" si="0"/>
        <v>0.8</v>
      </c>
      <c r="J105" s="104">
        <v>1</v>
      </c>
      <c r="K105" s="104">
        <f t="shared" si="1"/>
        <v>0.8</v>
      </c>
      <c r="L105" s="104">
        <f t="shared" si="2"/>
        <v>0.64000000000000012</v>
      </c>
      <c r="M105" s="104">
        <f t="shared" si="3"/>
        <v>0.10240000000000005</v>
      </c>
    </row>
    <row r="106" spans="3:21" ht="14.25" customHeight="1" x14ac:dyDescent="0.3">
      <c r="C106" s="106" t="str">
        <f>CONCATENATE("Instability in ",D45," g")</f>
        <v>Instability in 5000 g</v>
      </c>
      <c r="D106" s="104" t="s">
        <v>53</v>
      </c>
      <c r="E106" s="107" t="s">
        <v>244</v>
      </c>
      <c r="F106" s="107">
        <f>0.08*$H$95</f>
        <v>2</v>
      </c>
      <c r="G106" s="107">
        <v>1</v>
      </c>
      <c r="H106" s="107">
        <v>4</v>
      </c>
      <c r="I106" s="104">
        <f t="shared" si="0"/>
        <v>2</v>
      </c>
      <c r="J106" s="107">
        <v>1</v>
      </c>
      <c r="K106" s="104">
        <f t="shared" si="1"/>
        <v>2</v>
      </c>
      <c r="L106" s="104">
        <f t="shared" si="2"/>
        <v>4</v>
      </c>
      <c r="M106" s="104">
        <f t="shared" si="3"/>
        <v>4</v>
      </c>
    </row>
    <row r="107" spans="3:21" ht="14.25" customHeight="1" x14ac:dyDescent="0.3">
      <c r="C107" s="106" t="str">
        <f>CONCATENATE("Instability in ",D46," g")</f>
        <v>Instability in 500 g</v>
      </c>
      <c r="D107" s="104" t="s">
        <v>53</v>
      </c>
      <c r="E107" s="107" t="s">
        <v>244</v>
      </c>
      <c r="F107" s="107">
        <f>0.08*$H$96</f>
        <v>0.2</v>
      </c>
      <c r="G107" s="107">
        <v>1</v>
      </c>
      <c r="H107" s="107">
        <v>4</v>
      </c>
      <c r="I107" s="104">
        <f t="shared" si="0"/>
        <v>0.2</v>
      </c>
      <c r="J107" s="107">
        <v>1</v>
      </c>
      <c r="K107" s="104">
        <f t="shared" si="1"/>
        <v>0.2</v>
      </c>
      <c r="L107" s="104">
        <f t="shared" si="2"/>
        <v>4.0000000000000008E-2</v>
      </c>
      <c r="M107" s="104">
        <f t="shared" si="3"/>
        <v>4.0000000000000018E-4</v>
      </c>
    </row>
    <row r="108" spans="3:21" ht="14.25" customHeight="1" x14ac:dyDescent="0.3">
      <c r="C108" s="106" t="str">
        <f>CONCATENATE("Instability in ",D47," g")</f>
        <v>Instability in 5 g</v>
      </c>
      <c r="D108" s="104" t="s">
        <v>53</v>
      </c>
      <c r="E108" s="107" t="s">
        <v>244</v>
      </c>
      <c r="F108" s="107">
        <f>0.08*$H$97</f>
        <v>1.2E-2</v>
      </c>
      <c r="G108" s="107">
        <v>1</v>
      </c>
      <c r="H108" s="107">
        <v>4</v>
      </c>
      <c r="I108" s="104">
        <f t="shared" si="0"/>
        <v>1.2E-2</v>
      </c>
      <c r="J108" s="107">
        <v>1</v>
      </c>
      <c r="K108" s="104">
        <f t="shared" si="1"/>
        <v>1.2E-2</v>
      </c>
      <c r="L108" s="104">
        <f t="shared" si="2"/>
        <v>1.44E-4</v>
      </c>
      <c r="M108" s="104">
        <f t="shared" si="3"/>
        <v>5.1840000000000003E-9</v>
      </c>
    </row>
    <row r="109" spans="3:21" ht="14.25" customHeight="1" x14ac:dyDescent="0.3">
      <c r="C109" s="106" t="str">
        <f>CONCATENATE("Instability in ",D48," g")</f>
        <v>Instability in 0 g</v>
      </c>
      <c r="D109" s="104" t="s">
        <v>53</v>
      </c>
      <c r="E109" s="107" t="s">
        <v>244</v>
      </c>
      <c r="F109" s="107">
        <f>0.08*$H$98</f>
        <v>0</v>
      </c>
      <c r="G109" s="107">
        <v>1</v>
      </c>
      <c r="H109" s="107">
        <v>4</v>
      </c>
      <c r="I109" s="104">
        <f t="shared" si="0"/>
        <v>0</v>
      </c>
      <c r="J109" s="107">
        <v>1</v>
      </c>
      <c r="K109" s="104">
        <f t="shared" si="1"/>
        <v>0</v>
      </c>
      <c r="L109" s="104">
        <f t="shared" si="2"/>
        <v>0</v>
      </c>
      <c r="M109" s="104">
        <f t="shared" si="3"/>
        <v>0</v>
      </c>
    </row>
    <row r="110" spans="3:21" ht="14.25" customHeight="1" x14ac:dyDescent="0.3">
      <c r="C110" s="108" t="s">
        <v>246</v>
      </c>
      <c r="D110" s="104" t="s">
        <v>53</v>
      </c>
      <c r="E110" s="107" t="s">
        <v>244</v>
      </c>
      <c r="F110" s="107">
        <f>K96*0.08</f>
        <v>8.0000000000000002E-3</v>
      </c>
      <c r="G110" s="107">
        <v>1</v>
      </c>
      <c r="H110" s="107">
        <v>4</v>
      </c>
      <c r="I110" s="104">
        <f t="shared" si="0"/>
        <v>8.0000000000000002E-3</v>
      </c>
      <c r="J110" s="107">
        <f>H83/D49</f>
        <v>80.744000000000142</v>
      </c>
      <c r="K110" s="104">
        <f t="shared" si="1"/>
        <v>0.64595200000000119</v>
      </c>
      <c r="L110" s="104">
        <f t="shared" si="2"/>
        <v>0.41725398630400157</v>
      </c>
      <c r="M110" s="104">
        <f t="shared" si="3"/>
        <v>4.352522227164498E-2</v>
      </c>
    </row>
    <row r="111" spans="3:21" ht="14.25" customHeight="1" x14ac:dyDescent="0.3">
      <c r="C111" s="109" t="s">
        <v>247</v>
      </c>
      <c r="D111" s="104" t="s">
        <v>53</v>
      </c>
      <c r="E111" s="110" t="s">
        <v>244</v>
      </c>
      <c r="F111" s="111">
        <f>'Pooled STDV Repeatability  MC'!F3/SQRT(60)</f>
        <v>2.789420046818349E-3</v>
      </c>
      <c r="G111" s="110">
        <v>1</v>
      </c>
      <c r="H111" s="110">
        <v>54</v>
      </c>
      <c r="I111" s="110">
        <f t="shared" si="0"/>
        <v>2.789420046818349E-3</v>
      </c>
      <c r="J111" s="110">
        <v>1</v>
      </c>
      <c r="K111" s="110">
        <f t="shared" si="1"/>
        <v>2.789420046818349E-3</v>
      </c>
      <c r="L111" s="110">
        <f t="shared" si="2"/>
        <v>7.7808641975920802E-6</v>
      </c>
      <c r="M111" s="110">
        <f t="shared" si="3"/>
        <v>1.1211453270624119E-12</v>
      </c>
    </row>
    <row r="112" spans="3:21" ht="14.25" customHeight="1" x14ac:dyDescent="0.3">
      <c r="C112" s="109" t="s">
        <v>248</v>
      </c>
      <c r="D112" s="104" t="s">
        <v>53</v>
      </c>
      <c r="E112" s="110" t="s">
        <v>244</v>
      </c>
      <c r="F112" s="111">
        <f>I85/SQRT(10)</f>
        <v>1.5491933384815578E-3</v>
      </c>
      <c r="G112" s="110">
        <v>1</v>
      </c>
      <c r="H112" s="110">
        <v>9</v>
      </c>
      <c r="I112" s="110">
        <f t="shared" si="0"/>
        <v>1.5491933384815578E-3</v>
      </c>
      <c r="J112" s="110">
        <f>H83/D49</f>
        <v>80.744000000000142</v>
      </c>
      <c r="K112" s="110">
        <f t="shared" si="1"/>
        <v>0.12508806692235513</v>
      </c>
      <c r="L112" s="110">
        <f t="shared" si="2"/>
        <v>1.5647024486371598E-2</v>
      </c>
      <c r="M112" s="110">
        <f t="shared" si="3"/>
        <v>2.7203263919679155E-5</v>
      </c>
    </row>
    <row r="113" spans="3:13" ht="14.25" customHeight="1" x14ac:dyDescent="0.3">
      <c r="C113" s="108" t="s">
        <v>249</v>
      </c>
      <c r="D113" s="107" t="s">
        <v>53</v>
      </c>
      <c r="E113" s="107" t="s">
        <v>250</v>
      </c>
      <c r="F113" s="107">
        <f>4.5*10^-9*4400*0.114*$D$97</f>
        <v>1.6940286000000006E-2</v>
      </c>
      <c r="G113" s="107">
        <v>1</v>
      </c>
      <c r="H113" s="107">
        <v>1000</v>
      </c>
      <c r="I113" s="107">
        <f t="shared" si="0"/>
        <v>1.6940286000000006E-2</v>
      </c>
      <c r="J113" s="107">
        <v>1</v>
      </c>
      <c r="K113" s="107">
        <f t="shared" si="1"/>
        <v>1.6940286000000006E-2</v>
      </c>
      <c r="L113" s="107">
        <f t="shared" si="2"/>
        <v>2.869732897617962E-4</v>
      </c>
      <c r="M113" s="107">
        <f t="shared" si="3"/>
        <v>8.2353669036707843E-11</v>
      </c>
    </row>
    <row r="114" spans="3:13" ht="14.25" customHeight="1" x14ac:dyDescent="0.3">
      <c r="C114" s="106" t="s">
        <v>251</v>
      </c>
      <c r="D114" s="104" t="s">
        <v>53</v>
      </c>
      <c r="E114" s="104" t="s">
        <v>250</v>
      </c>
      <c r="F114" s="202">
        <f>IF(AND($L$123&lt;10,$L$123&gt;=1),0.1/2,IF(AND($L$123&lt;1,$L$123&gt;=0.1),0.01/2,IF(AND($L$123&lt;0.1,$L$123&gt;=0.01),0.001/2,IF(AND($L$123&lt;0.01,$L$123&gt;=0.0001),0.0001/2,0))))</f>
        <v>0.05</v>
      </c>
      <c r="G114" s="104">
        <f>SQRT(3)</f>
        <v>1.7320508075688772</v>
      </c>
      <c r="H114" s="104">
        <v>1000</v>
      </c>
      <c r="I114" s="104">
        <f t="shared" si="0"/>
        <v>2.8867513459481291E-2</v>
      </c>
      <c r="J114" s="104">
        <v>1</v>
      </c>
      <c r="K114" s="104">
        <f t="shared" si="1"/>
        <v>2.8867513459481291E-2</v>
      </c>
      <c r="L114" s="104">
        <f t="shared" si="2"/>
        <v>8.333333333333335E-4</v>
      </c>
      <c r="M114" s="104">
        <f t="shared" si="3"/>
        <v>6.944444444444447E-10</v>
      </c>
    </row>
    <row r="115" spans="3:13" ht="14.25" customHeight="1" x14ac:dyDescent="0.3">
      <c r="C115" s="112" t="s">
        <v>252</v>
      </c>
      <c r="D115" s="113"/>
      <c r="E115" s="113"/>
      <c r="F115" s="114"/>
      <c r="G115" s="113"/>
      <c r="H115" s="113"/>
      <c r="I115" s="113"/>
      <c r="J115" s="115"/>
      <c r="K115" s="116"/>
      <c r="L115" s="117">
        <f t="shared" ref="L115:M115" si="4">SUM(L103:L113)</f>
        <v>15.510795974944349</v>
      </c>
      <c r="M115" s="118">
        <f t="shared" si="4"/>
        <v>5.0893560898695647</v>
      </c>
    </row>
    <row r="116" spans="3:13" ht="14.25" customHeight="1" x14ac:dyDescent="0.3">
      <c r="C116" s="119" t="s">
        <v>252</v>
      </c>
      <c r="D116" s="120"/>
      <c r="E116" s="120"/>
      <c r="F116" s="121"/>
      <c r="G116" s="120"/>
      <c r="H116" s="120"/>
      <c r="I116" s="120"/>
      <c r="J116" s="122"/>
      <c r="K116" s="123"/>
      <c r="L116" s="124">
        <f t="shared" ref="L116:M116" si="5">SUM(L103:L114)</f>
        <v>15.511629308277682</v>
      </c>
      <c r="M116" s="102">
        <f t="shared" si="5"/>
        <v>5.0893560905640092</v>
      </c>
    </row>
    <row r="117" spans="3:13" ht="14.25" customHeight="1" x14ac:dyDescent="0.3">
      <c r="C117" s="125" t="s">
        <v>253</v>
      </c>
      <c r="D117" s="126"/>
      <c r="E117" s="126"/>
      <c r="F117" s="127"/>
      <c r="G117" s="126"/>
      <c r="H117" s="126"/>
      <c r="I117" s="126"/>
      <c r="J117" s="128"/>
      <c r="K117" s="129"/>
      <c r="L117" s="130">
        <f t="shared" ref="L117:L118" si="6">SQRT(L115)</f>
        <v>3.9383747885319838</v>
      </c>
      <c r="M117" s="105"/>
    </row>
    <row r="118" spans="3:13" ht="14.25" customHeight="1" x14ac:dyDescent="0.3">
      <c r="C118" s="131" t="s">
        <v>253</v>
      </c>
      <c r="D118" s="132"/>
      <c r="E118" s="132"/>
      <c r="F118" s="133"/>
      <c r="G118" s="132"/>
      <c r="H118" s="132"/>
      <c r="I118" s="132"/>
      <c r="J118" s="134"/>
      <c r="K118" s="135"/>
      <c r="L118" s="136">
        <f t="shared" si="6"/>
        <v>3.9384805837121606</v>
      </c>
      <c r="M118" s="104"/>
    </row>
    <row r="119" spans="3:13" ht="14.25" customHeight="1" x14ac:dyDescent="0.3">
      <c r="C119" s="131" t="s">
        <v>254</v>
      </c>
      <c r="D119" s="132"/>
      <c r="E119" s="132"/>
      <c r="F119" s="133"/>
      <c r="G119" s="132"/>
      <c r="H119" s="132"/>
      <c r="I119" s="132"/>
      <c r="J119" s="134"/>
      <c r="K119" s="135"/>
      <c r="L119" s="136">
        <f t="shared" ref="L119:L120" si="7">(L117^4)/M115</f>
        <v>47.272147503146265</v>
      </c>
      <c r="M119" s="104"/>
    </row>
    <row r="120" spans="3:13" ht="14.25" customHeight="1" x14ac:dyDescent="0.3">
      <c r="C120" s="131" t="s">
        <v>254</v>
      </c>
      <c r="D120" s="132"/>
      <c r="E120" s="132"/>
      <c r="F120" s="133"/>
      <c r="G120" s="132"/>
      <c r="H120" s="132"/>
      <c r="I120" s="132"/>
      <c r="J120" s="134"/>
      <c r="K120" s="135"/>
      <c r="L120" s="136">
        <f t="shared" si="7"/>
        <v>47.277227121821291</v>
      </c>
      <c r="M120" s="104"/>
    </row>
    <row r="121" spans="3:13" ht="14.25" customHeight="1" x14ac:dyDescent="0.3">
      <c r="C121" s="131" t="s">
        <v>255</v>
      </c>
      <c r="D121" s="132"/>
      <c r="E121" s="132"/>
      <c r="F121" s="133"/>
      <c r="G121" s="132"/>
      <c r="H121" s="132"/>
      <c r="I121" s="132"/>
      <c r="J121" s="134"/>
      <c r="K121" s="135"/>
      <c r="L121" s="137">
        <f t="shared" ref="L121:L122" si="8">TINV(0.05,L119)</f>
        <v>2.0117405137297668</v>
      </c>
      <c r="M121" s="104"/>
    </row>
    <row r="122" spans="3:13" ht="14.25" customHeight="1" x14ac:dyDescent="0.3">
      <c r="C122" s="131" t="s">
        <v>255</v>
      </c>
      <c r="D122" s="132"/>
      <c r="E122" s="132"/>
      <c r="F122" s="133"/>
      <c r="G122" s="132"/>
      <c r="H122" s="132"/>
      <c r="I122" s="132"/>
      <c r="J122" s="134"/>
      <c r="K122" s="135"/>
      <c r="L122" s="137">
        <f t="shared" si="8"/>
        <v>2.0117405137297668</v>
      </c>
      <c r="M122" s="104"/>
    </row>
    <row r="123" spans="3:13" ht="14.25" customHeight="1" x14ac:dyDescent="0.3">
      <c r="C123" s="131" t="s">
        <v>256</v>
      </c>
      <c r="D123" s="132"/>
      <c r="E123" s="132"/>
      <c r="F123" s="133"/>
      <c r="G123" s="132"/>
      <c r="H123" s="132"/>
      <c r="I123" s="132"/>
      <c r="J123" s="134"/>
      <c r="K123" s="135"/>
      <c r="L123" s="138">
        <f t="shared" ref="L123" si="9">L121*L117</f>
        <v>7.922988120341695</v>
      </c>
      <c r="M123" s="104"/>
    </row>
    <row r="124" spans="3:13" ht="15" customHeight="1" x14ac:dyDescent="0.3">
      <c r="C124" s="139" t="s">
        <v>257</v>
      </c>
      <c r="D124" s="140"/>
      <c r="E124" s="140"/>
      <c r="F124" s="141"/>
      <c r="G124" s="140"/>
      <c r="H124" s="140"/>
      <c r="I124" s="140"/>
      <c r="J124" s="142"/>
      <c r="K124" s="143"/>
      <c r="L124" s="144">
        <f>L122*L118</f>
        <v>7.9232009527918139</v>
      </c>
      <c r="M124" s="145"/>
    </row>
    <row r="125" spans="3:13" ht="14.25" customHeight="1" x14ac:dyDescent="0.3">
      <c r="C125" s="112" t="s">
        <v>258</v>
      </c>
      <c r="D125" s="146"/>
      <c r="E125" s="146"/>
      <c r="F125" s="146"/>
      <c r="G125" s="146"/>
      <c r="H125" s="146"/>
      <c r="I125" s="146"/>
      <c r="J125" s="146"/>
      <c r="K125" s="146"/>
      <c r="L125" s="147"/>
      <c r="M125" s="148"/>
    </row>
    <row r="126" spans="3:13" ht="14.25" customHeight="1" x14ac:dyDescent="0.3"/>
    <row r="127" spans="3:13" ht="14.25" customHeight="1" x14ac:dyDescent="0.4">
      <c r="C127" s="97"/>
      <c r="D127" s="89"/>
      <c r="E127" s="89"/>
      <c r="L127" s="84"/>
    </row>
    <row r="128" spans="3:13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dataValidations count="1">
    <dataValidation allowBlank="1" showInputMessage="1" prompt="Need Input " sqref="D49:D50" xr:uid="{6C2A63BB-EA4D-4223-AA29-0ABFD64EB64D}"/>
  </dataValidations>
  <pageMargins left="0.7" right="0.7" top="0.75" bottom="0.75" header="0" footer="0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600-000000000000}">
          <x14:formula1>
            <xm:f>Database!$E$2:$E$4</xm:f>
          </x14:formula1>
          <xm:sqref>D53</xm:sqref>
        </x14:dataValidation>
        <x14:dataValidation type="list" allowBlank="1" showErrorMessage="1" xr:uid="{00000000-0002-0000-0600-000001000000}">
          <x14:formula1>
            <xm:f>Database!$F$2:$F$5</xm:f>
          </x14:formula1>
          <xm:sqref>D52</xm:sqref>
        </x14:dataValidation>
        <x14:dataValidation type="list" allowBlank="1" showErrorMessage="1" xr:uid="{00000000-0002-0000-0600-000002000000}">
          <x14:formula1>
            <xm:f>Database!$B$2:$B$5</xm:f>
          </x14:formula1>
          <xm:sqref>D54</xm:sqref>
        </x14:dataValidation>
        <x14:dataValidation type="list" allowBlank="1" showInputMessage="1" prompt="Need Input " xr:uid="{00000000-0002-0000-0600-000003000000}">
          <x14:formula1>
            <xm:f>Database!$A$2:$A$32</xm:f>
          </x14:formula1>
          <xm:sqref>D44:D48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A5" workbookViewId="0">
      <selection activeCell="H16" sqref="H16"/>
    </sheetView>
  </sheetViews>
  <sheetFormatPr defaultColWidth="14.44140625" defaultRowHeight="15" customHeight="1" x14ac:dyDescent="0.3"/>
  <cols>
    <col min="1" max="1" width="8.6640625" customWidth="1"/>
    <col min="2" max="2" width="23.109375" customWidth="1"/>
    <col min="3" max="6" width="16.6640625" customWidth="1"/>
    <col min="7" max="9" width="8.6640625" customWidth="1"/>
    <col min="10" max="10" width="17.5546875" customWidth="1"/>
    <col min="11" max="11" width="19" customWidth="1"/>
    <col min="12" max="12" width="13.33203125" customWidth="1"/>
    <col min="13" max="13" width="19" customWidth="1"/>
    <col min="14" max="28" width="8.6640625" customWidth="1"/>
  </cols>
  <sheetData>
    <row r="1" spans="1:13" ht="14.25" customHeight="1" x14ac:dyDescent="0.3">
      <c r="A1" s="3" t="s">
        <v>259</v>
      </c>
      <c r="B1" s="3" t="s">
        <v>260</v>
      </c>
      <c r="C1" s="3"/>
      <c r="D1" s="3" t="s">
        <v>261</v>
      </c>
      <c r="E1" s="3" t="s">
        <v>262</v>
      </c>
      <c r="F1" s="3" t="s">
        <v>263</v>
      </c>
      <c r="G1" s="9"/>
      <c r="H1" s="9" t="s">
        <v>264</v>
      </c>
      <c r="I1" s="9" t="s">
        <v>265</v>
      </c>
      <c r="J1" s="9" t="s">
        <v>266</v>
      </c>
      <c r="K1" s="3" t="s">
        <v>260</v>
      </c>
      <c r="L1" s="9" t="s">
        <v>267</v>
      </c>
      <c r="M1" s="9" t="s">
        <v>268</v>
      </c>
    </row>
    <row r="2" spans="1:13" ht="14.25" customHeight="1" x14ac:dyDescent="0.3">
      <c r="A2" s="45">
        <v>20000</v>
      </c>
      <c r="B2" s="45" t="s">
        <v>45</v>
      </c>
      <c r="C2" s="3"/>
      <c r="D2" s="3"/>
      <c r="E2" s="3">
        <v>90803270</v>
      </c>
      <c r="F2" s="3">
        <v>1.0000000000000001E-5</v>
      </c>
      <c r="H2" s="46">
        <v>20000</v>
      </c>
      <c r="I2" s="3">
        <v>45</v>
      </c>
      <c r="K2" s="45" t="s">
        <v>45</v>
      </c>
      <c r="L2" s="9" t="s">
        <v>269</v>
      </c>
      <c r="M2" s="12" t="s">
        <v>49</v>
      </c>
    </row>
    <row r="3" spans="1:13" ht="14.25" customHeight="1" x14ac:dyDescent="0.3">
      <c r="A3" s="45">
        <v>10000</v>
      </c>
      <c r="B3" s="3" t="s">
        <v>107</v>
      </c>
      <c r="C3" s="3"/>
      <c r="D3" s="3"/>
      <c r="E3" s="3">
        <v>90602105</v>
      </c>
      <c r="F3" s="3">
        <v>1E-3</v>
      </c>
      <c r="H3" s="46">
        <v>10000</v>
      </c>
      <c r="I3" s="3">
        <v>26</v>
      </c>
      <c r="K3" s="3" t="s">
        <v>107</v>
      </c>
      <c r="L3" s="12" t="s">
        <v>270</v>
      </c>
      <c r="M3" s="12" t="s">
        <v>271</v>
      </c>
    </row>
    <row r="4" spans="1:13" ht="14.25" customHeight="1" x14ac:dyDescent="0.3">
      <c r="A4" s="45">
        <v>5000</v>
      </c>
      <c r="B4" s="3" t="s">
        <v>108</v>
      </c>
      <c r="C4" s="5"/>
      <c r="D4" s="5"/>
      <c r="E4" s="5">
        <v>14904962</v>
      </c>
      <c r="F4" s="3">
        <v>0.01</v>
      </c>
      <c r="H4" s="46">
        <v>5000</v>
      </c>
      <c r="I4" s="3">
        <v>2.6</v>
      </c>
      <c r="K4" s="3" t="s">
        <v>108</v>
      </c>
      <c r="L4" s="12" t="s">
        <v>13</v>
      </c>
      <c r="M4" s="12" t="s">
        <v>13</v>
      </c>
    </row>
    <row r="5" spans="1:13" ht="14.25" customHeight="1" x14ac:dyDescent="0.3">
      <c r="A5" s="45" t="s">
        <v>122</v>
      </c>
      <c r="B5" s="3" t="s">
        <v>109</v>
      </c>
      <c r="C5" s="3"/>
      <c r="D5" s="3"/>
      <c r="E5" s="3">
        <v>90803270</v>
      </c>
      <c r="F5" s="3">
        <v>5.0000000000000002E-5</v>
      </c>
      <c r="H5" s="46">
        <v>2000</v>
      </c>
      <c r="I5" s="3">
        <v>1.4</v>
      </c>
      <c r="K5" s="3" t="s">
        <v>109</v>
      </c>
      <c r="L5" s="9" t="s">
        <v>272</v>
      </c>
      <c r="M5" s="12">
        <v>158856</v>
      </c>
    </row>
    <row r="6" spans="1:13" ht="14.25" customHeight="1" x14ac:dyDescent="0.3">
      <c r="A6" s="3">
        <v>2000</v>
      </c>
      <c r="B6" s="3"/>
      <c r="H6" s="46">
        <v>1000</v>
      </c>
      <c r="I6" s="3">
        <v>1.1000000000000001</v>
      </c>
    </row>
    <row r="7" spans="1:13" ht="14.25" customHeight="1" x14ac:dyDescent="0.3">
      <c r="A7" s="3">
        <v>1000</v>
      </c>
      <c r="H7" s="46">
        <v>500</v>
      </c>
      <c r="I7" s="3">
        <v>1</v>
      </c>
    </row>
    <row r="8" spans="1:13" ht="14.25" customHeight="1" x14ac:dyDescent="0.3">
      <c r="A8" s="3">
        <v>500</v>
      </c>
      <c r="H8" s="46">
        <v>200</v>
      </c>
      <c r="I8" s="3">
        <v>0.11</v>
      </c>
    </row>
    <row r="9" spans="1:13" ht="14.25" customHeight="1" x14ac:dyDescent="0.3">
      <c r="A9" s="3">
        <v>200</v>
      </c>
      <c r="H9" s="46">
        <v>100</v>
      </c>
      <c r="I9" s="3">
        <v>6.7000000000000004E-2</v>
      </c>
    </row>
    <row r="10" spans="1:13" ht="14.25" customHeight="1" x14ac:dyDescent="0.3">
      <c r="A10" s="3" t="s">
        <v>125</v>
      </c>
      <c r="H10" s="46">
        <v>50</v>
      </c>
      <c r="I10" s="3">
        <v>4.2000000000000003E-2</v>
      </c>
    </row>
    <row r="11" spans="1:13" ht="14.25" customHeight="1" x14ac:dyDescent="0.3">
      <c r="A11" s="3">
        <v>100</v>
      </c>
      <c r="H11" s="46">
        <v>20</v>
      </c>
      <c r="I11" s="3">
        <v>3.5999999999999997E-2</v>
      </c>
    </row>
    <row r="12" spans="1:13" ht="14.25" customHeight="1" x14ac:dyDescent="0.3">
      <c r="A12" s="3">
        <v>50</v>
      </c>
      <c r="H12" s="46">
        <v>10</v>
      </c>
      <c r="I12" s="3">
        <v>3.2000000000000001E-2</v>
      </c>
    </row>
    <row r="13" spans="1:13" ht="14.25" customHeight="1" x14ac:dyDescent="0.3">
      <c r="A13" s="3">
        <v>20</v>
      </c>
      <c r="H13" s="46">
        <v>5</v>
      </c>
      <c r="I13" s="3">
        <v>2.9000000000000001E-2</v>
      </c>
    </row>
    <row r="14" spans="1:13" ht="14.25" customHeight="1" x14ac:dyDescent="0.3">
      <c r="A14" s="3" t="s">
        <v>131</v>
      </c>
      <c r="H14" s="46">
        <v>2</v>
      </c>
      <c r="I14" s="3">
        <v>2.8000000000000001E-2</v>
      </c>
    </row>
    <row r="15" spans="1:13" ht="14.25" customHeight="1" x14ac:dyDescent="0.3">
      <c r="A15" s="3">
        <v>10</v>
      </c>
      <c r="H15" s="46">
        <v>1</v>
      </c>
      <c r="I15" s="3">
        <v>2.7E-2</v>
      </c>
    </row>
    <row r="16" spans="1:13" ht="14.25" customHeight="1" x14ac:dyDescent="0.3">
      <c r="A16" s="3">
        <v>5</v>
      </c>
      <c r="H16" s="46">
        <v>0.5</v>
      </c>
      <c r="I16" s="3">
        <v>2.7E-2</v>
      </c>
    </row>
    <row r="17" spans="1:9" ht="14.25" customHeight="1" x14ac:dyDescent="0.3">
      <c r="A17" s="3">
        <v>2</v>
      </c>
      <c r="H17" s="46">
        <v>0.2</v>
      </c>
      <c r="I17" s="3">
        <v>2.5999999999999999E-2</v>
      </c>
    </row>
    <row r="18" spans="1:9" ht="14.25" customHeight="1" x14ac:dyDescent="0.3">
      <c r="A18" s="3" t="s">
        <v>137</v>
      </c>
      <c r="H18" s="46">
        <v>0.1</v>
      </c>
      <c r="I18" s="3">
        <v>2.5999999999999999E-2</v>
      </c>
    </row>
    <row r="19" spans="1:9" ht="14.25" customHeight="1" x14ac:dyDescent="0.3">
      <c r="A19" s="3">
        <v>1</v>
      </c>
      <c r="H19" s="46">
        <v>0.05</v>
      </c>
      <c r="I19" s="3">
        <v>2.5999999999999999E-2</v>
      </c>
    </row>
    <row r="20" spans="1:9" ht="14.25" customHeight="1" x14ac:dyDescent="0.3">
      <c r="A20" s="3">
        <v>0.5</v>
      </c>
      <c r="H20" s="46">
        <v>0.02</v>
      </c>
      <c r="I20" s="3">
        <v>2.5999999999999999E-2</v>
      </c>
    </row>
    <row r="21" spans="1:9" ht="14.25" customHeight="1" x14ac:dyDescent="0.3">
      <c r="A21" s="3">
        <v>0.2</v>
      </c>
      <c r="H21" s="46">
        <v>0.01</v>
      </c>
      <c r="I21" s="3">
        <v>2.5999999999999999E-2</v>
      </c>
    </row>
    <row r="22" spans="1:9" ht="14.25" customHeight="1" x14ac:dyDescent="0.3">
      <c r="A22" s="45" t="s">
        <v>143</v>
      </c>
      <c r="H22" s="46">
        <v>5.0000000000000001E-3</v>
      </c>
      <c r="I22" s="3">
        <v>2.5999999999999999E-2</v>
      </c>
    </row>
    <row r="23" spans="1:9" ht="14.25" customHeight="1" x14ac:dyDescent="0.3">
      <c r="A23" s="3">
        <v>0.1</v>
      </c>
      <c r="H23" s="46">
        <v>2E-3</v>
      </c>
      <c r="I23" s="3">
        <v>2.5999999999999999E-2</v>
      </c>
    </row>
    <row r="24" spans="1:9" ht="14.25" customHeight="1" x14ac:dyDescent="0.3">
      <c r="A24" s="149">
        <v>0.05</v>
      </c>
      <c r="H24" s="46">
        <v>1E-3</v>
      </c>
      <c r="I24" s="3">
        <v>2.5999999999999999E-2</v>
      </c>
    </row>
    <row r="25" spans="1:9" ht="14.25" customHeight="1" x14ac:dyDescent="0.3">
      <c r="A25" s="149">
        <v>0.02</v>
      </c>
      <c r="H25" s="46"/>
      <c r="I25" s="3"/>
    </row>
    <row r="26" spans="1:9" ht="14.25" customHeight="1" x14ac:dyDescent="0.3">
      <c r="A26" s="149" t="s">
        <v>273</v>
      </c>
    </row>
    <row r="27" spans="1:9" ht="14.25" customHeight="1" x14ac:dyDescent="0.3">
      <c r="A27" s="149">
        <v>0.01</v>
      </c>
    </row>
    <row r="28" spans="1:9" ht="14.25" customHeight="1" x14ac:dyDescent="0.3">
      <c r="A28" s="149">
        <v>5.0000000000000001E-3</v>
      </c>
    </row>
    <row r="29" spans="1:9" ht="14.25" customHeight="1" x14ac:dyDescent="0.3">
      <c r="A29" s="149">
        <v>2E-3</v>
      </c>
    </row>
    <row r="30" spans="1:9" ht="14.25" customHeight="1" x14ac:dyDescent="0.3">
      <c r="A30" s="149" t="s">
        <v>274</v>
      </c>
    </row>
    <row r="31" spans="1:9" ht="14.25" customHeight="1" x14ac:dyDescent="0.3">
      <c r="A31" s="149">
        <v>1E-3</v>
      </c>
    </row>
    <row r="32" spans="1:9" ht="14.25" customHeight="1" x14ac:dyDescent="0.3">
      <c r="A32" s="149">
        <v>0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Z1002"/>
  <sheetViews>
    <sheetView view="pageBreakPreview" topLeftCell="A17" zoomScale="96" zoomScaleNormal="100" zoomScaleSheetLayoutView="96" workbookViewId="0">
      <selection activeCell="E61" sqref="E61"/>
    </sheetView>
  </sheetViews>
  <sheetFormatPr defaultColWidth="14.44140625" defaultRowHeight="15" customHeight="1" x14ac:dyDescent="0.3"/>
  <cols>
    <col min="1" max="1" width="10.33203125" customWidth="1"/>
    <col min="2" max="2" width="8.44140625" customWidth="1"/>
    <col min="3" max="3" width="11" customWidth="1"/>
    <col min="4" max="4" width="9" customWidth="1"/>
    <col min="5" max="5" width="13" customWidth="1"/>
    <col min="6" max="6" width="9" customWidth="1"/>
    <col min="7" max="7" width="9.5546875" customWidth="1"/>
    <col min="8" max="9" width="9" customWidth="1"/>
    <col min="10" max="10" width="8.33203125" customWidth="1"/>
    <col min="11" max="26" width="9" customWidth="1"/>
  </cols>
  <sheetData>
    <row r="1" spans="1:26" ht="14.25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25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25" customHeight="1" x14ac:dyDescent="0.3">
      <c r="A7" s="238" t="s">
        <v>275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25" customHeight="1" x14ac:dyDescent="0.3">
      <c r="A8" s="240" t="s">
        <v>276</v>
      </c>
      <c r="B8" s="239"/>
      <c r="C8" s="239"/>
      <c r="D8" s="239"/>
      <c r="E8" s="239"/>
      <c r="F8" s="239"/>
      <c r="G8" s="239"/>
      <c r="H8" s="239"/>
      <c r="I8" s="239"/>
      <c r="J8" s="239"/>
      <c r="K8" s="239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4.25" customHeight="1" x14ac:dyDescent="0.3">
      <c r="A9" s="241" t="s">
        <v>350</v>
      </c>
      <c r="B9" s="239"/>
      <c r="C9" s="239"/>
      <c r="D9" s="239"/>
      <c r="E9" s="239"/>
      <c r="F9" s="239"/>
      <c r="G9" s="239"/>
      <c r="H9" s="239"/>
      <c r="I9" s="239"/>
      <c r="J9" s="239"/>
      <c r="K9" s="239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4.25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4.25" customHeight="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25" customHeigh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6"/>
      <c r="B14" s="151" t="s">
        <v>277</v>
      </c>
      <c r="C14" s="152"/>
      <c r="D14" s="152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6"/>
      <c r="B15" s="153" t="s">
        <v>278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26"/>
      <c r="B17" s="154" t="s">
        <v>279</v>
      </c>
      <c r="C17" s="26"/>
      <c r="D17" s="220" t="s">
        <v>334</v>
      </c>
      <c r="E17" s="154" t="s">
        <v>335</v>
      </c>
      <c r="F17" s="154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26"/>
      <c r="B18" s="155" t="s">
        <v>280</v>
      </c>
      <c r="C18" s="26"/>
      <c r="D18" s="221"/>
      <c r="E18" s="154"/>
      <c r="F18" s="154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26"/>
      <c r="B19" s="156" t="s">
        <v>281</v>
      </c>
      <c r="C19" s="26"/>
      <c r="D19" s="220" t="s">
        <v>334</v>
      </c>
      <c r="E19" s="154" t="str">
        <f>CONCATENATE(," ",'Isi data'!B7)</f>
        <v xml:space="preserve"> -</v>
      </c>
      <c r="F19" s="154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26"/>
      <c r="B20" s="157" t="s">
        <v>282</v>
      </c>
      <c r="C20" s="26"/>
      <c r="D20" s="221"/>
      <c r="E20" s="154"/>
      <c r="F20" s="154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26"/>
      <c r="B21" s="156" t="s">
        <v>34</v>
      </c>
      <c r="C21" s="26"/>
      <c r="D21" s="220" t="s">
        <v>334</v>
      </c>
      <c r="E21" s="154" t="str">
        <f>CONCATENATE(," ",'Isi data'!B8)</f>
        <v xml:space="preserve"> TB-10 Weight LIFT Test Bar</v>
      </c>
      <c r="F21" s="154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26"/>
      <c r="B22" s="157" t="s">
        <v>283</v>
      </c>
      <c r="C22" s="26"/>
      <c r="D22" s="221"/>
      <c r="E22" s="154"/>
      <c r="F22" s="154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 x14ac:dyDescent="0.3">
      <c r="A23" s="26"/>
      <c r="B23" s="154" t="s">
        <v>284</v>
      </c>
      <c r="C23" s="26"/>
      <c r="D23" s="220" t="s">
        <v>334</v>
      </c>
      <c r="E23" s="154" t="str">
        <f>CONCATENATE(," ",'Isi data'!B11)</f>
        <v xml:space="preserve"> -</v>
      </c>
      <c r="F23" s="154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26"/>
      <c r="B24" s="155" t="s">
        <v>285</v>
      </c>
      <c r="C24" s="26"/>
      <c r="D24" s="221"/>
      <c r="E24" s="154"/>
      <c r="F24" s="154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 x14ac:dyDescent="0.3">
      <c r="A25" s="26"/>
      <c r="B25" s="154" t="s">
        <v>268</v>
      </c>
      <c r="C25" s="26"/>
      <c r="D25" s="220" t="s">
        <v>334</v>
      </c>
      <c r="E25" s="154" t="str">
        <f>CONCATENATE(," ",'Isi data'!B9)</f>
        <v xml:space="preserve"> 25914</v>
      </c>
      <c r="F25" s="154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26"/>
      <c r="B26" s="155" t="s">
        <v>286</v>
      </c>
      <c r="C26" s="26"/>
      <c r="D26" s="221"/>
      <c r="E26" s="154"/>
      <c r="F26" s="154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26"/>
      <c r="B27" s="154" t="s">
        <v>287</v>
      </c>
      <c r="C27" s="26"/>
      <c r="D27" s="220" t="s">
        <v>334</v>
      </c>
      <c r="E27" s="154" t="s">
        <v>336</v>
      </c>
      <c r="F27" s="26"/>
      <c r="G27" s="154" t="str">
        <f>CONCATENATE(":"," ",'Isi data'!B10)</f>
        <v>: 10 lb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26"/>
      <c r="B28" s="157" t="s">
        <v>288</v>
      </c>
      <c r="C28" s="26"/>
      <c r="E28" s="154" t="s">
        <v>337</v>
      </c>
      <c r="F28" s="26"/>
      <c r="G28" s="154" t="s">
        <v>289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26"/>
      <c r="B30" s="158" t="s">
        <v>290</v>
      </c>
      <c r="C30" s="158"/>
      <c r="D30" s="158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26"/>
      <c r="B31" s="159" t="s">
        <v>291</v>
      </c>
      <c r="C31" s="159"/>
      <c r="D31" s="159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 x14ac:dyDescent="0.3">
      <c r="A32" s="26"/>
      <c r="B32" s="160"/>
      <c r="C32" s="160"/>
      <c r="D32" s="16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" customHeight="1" x14ac:dyDescent="0.3">
      <c r="A33" s="26"/>
      <c r="B33" s="154" t="s">
        <v>292</v>
      </c>
      <c r="C33" s="26"/>
      <c r="D33" s="220" t="s">
        <v>334</v>
      </c>
      <c r="E33" s="252" t="str">
        <f>CONCATENATE(,'Isi data'!B3)</f>
        <v>PT GATRA PERDANA TRUSTRUE</v>
      </c>
      <c r="F33" s="252"/>
      <c r="G33" s="252"/>
      <c r="H33" s="252"/>
      <c r="I33" s="252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 x14ac:dyDescent="0.3">
      <c r="A34" s="26"/>
      <c r="B34" s="155" t="s">
        <v>293</v>
      </c>
      <c r="C34" s="26"/>
      <c r="D34" s="221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" customHeight="1" x14ac:dyDescent="0.3">
      <c r="A35" s="26"/>
      <c r="B35" s="154" t="s">
        <v>294</v>
      </c>
      <c r="C35" s="26"/>
      <c r="D35" s="220" t="s">
        <v>334</v>
      </c>
      <c r="E35" s="252" t="str">
        <f>CONCATENATE(,'Isi data'!B4)</f>
        <v>Kawasan Komplek Ruko Golden BCI Blok T3 No. 12 Bengkong Laut, Kec. Bengkong, Kota Batam - Kepulauan Riau</v>
      </c>
      <c r="F35" s="252"/>
      <c r="G35" s="252"/>
      <c r="H35" s="252"/>
      <c r="I35" s="252"/>
      <c r="K35" s="161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 x14ac:dyDescent="0.3">
      <c r="A36" s="26"/>
      <c r="B36" s="155" t="s">
        <v>295</v>
      </c>
      <c r="C36" s="26"/>
      <c r="E36" s="252"/>
      <c r="F36" s="252"/>
      <c r="G36" s="252"/>
      <c r="H36" s="252"/>
      <c r="I36" s="252"/>
      <c r="K36" s="161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 x14ac:dyDescent="0.3">
      <c r="A37" s="26"/>
      <c r="B37" s="26"/>
      <c r="C37" s="26"/>
      <c r="D37" s="26"/>
      <c r="E37" s="252"/>
      <c r="F37" s="252"/>
      <c r="G37" s="252"/>
      <c r="H37" s="252"/>
      <c r="I37" s="252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 x14ac:dyDescent="0.3">
      <c r="A40" s="26"/>
      <c r="B40" s="26"/>
      <c r="C40" s="26"/>
      <c r="D40" s="26"/>
      <c r="E40" s="26"/>
      <c r="F40" s="26"/>
      <c r="G40" s="26"/>
      <c r="H40" s="150" t="s">
        <v>296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 x14ac:dyDescent="0.3">
      <c r="A41" s="26"/>
      <c r="B41" s="26"/>
      <c r="C41" s="26"/>
      <c r="D41" s="26"/>
      <c r="E41" s="26"/>
      <c r="F41" s="26"/>
      <c r="G41" s="26"/>
      <c r="H41" s="162" t="s">
        <v>297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 x14ac:dyDescent="0.3">
      <c r="A42" s="26"/>
      <c r="C42" s="26"/>
      <c r="D42" s="26"/>
      <c r="E42" s="26"/>
      <c r="F42" s="26"/>
      <c r="G42" s="26"/>
      <c r="H42" s="163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 x14ac:dyDescent="0.3">
      <c r="A43" s="26"/>
      <c r="B43" s="26"/>
      <c r="C43" s="26"/>
      <c r="D43" s="26"/>
      <c r="E43" s="26"/>
      <c r="F43" s="26"/>
      <c r="G43" s="26"/>
      <c r="H43" s="164" t="s">
        <v>349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 x14ac:dyDescent="0.3">
      <c r="A44" s="26"/>
      <c r="B44" s="26"/>
      <c r="D44" s="26"/>
      <c r="E44" s="26"/>
      <c r="F44" s="26"/>
      <c r="G44" s="26"/>
      <c r="H44" s="162" t="s">
        <v>298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 x14ac:dyDescent="0.3">
      <c r="A45" s="26"/>
      <c r="D45" s="26"/>
      <c r="E45" s="226" t="s">
        <v>346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 x14ac:dyDescent="0.3">
      <c r="A46" s="26"/>
      <c r="D46" s="26"/>
      <c r="E46" s="227" t="s">
        <v>347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 x14ac:dyDescent="0.3">
      <c r="A47" s="26"/>
      <c r="B47" s="26"/>
      <c r="C47" s="26"/>
      <c r="D47" s="26"/>
      <c r="E47" s="228" t="s">
        <v>348</v>
      </c>
      <c r="F47" s="26"/>
      <c r="G47" s="16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 x14ac:dyDescent="0.3">
      <c r="A48" s="26"/>
      <c r="B48" s="26"/>
      <c r="C48" s="26"/>
      <c r="D48" s="26"/>
      <c r="E48" s="26"/>
      <c r="F48" s="26"/>
      <c r="G48" s="16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 x14ac:dyDescent="0.3">
      <c r="A64" s="26"/>
      <c r="B64" s="26"/>
      <c r="C64" s="26"/>
      <c r="D64" s="26"/>
      <c r="E64" s="167" t="s">
        <v>299</v>
      </c>
      <c r="F64" s="167" t="str">
        <f>CONCATENATE(": ",MID(A9,18,40))</f>
        <v>: 0002-2.11/A1/KALIBRASI BBLM/I/2026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 x14ac:dyDescent="0.3">
      <c r="A65" s="26"/>
      <c r="B65" s="26"/>
      <c r="C65" s="26"/>
      <c r="D65" s="26"/>
      <c r="E65" s="167" t="s">
        <v>300</v>
      </c>
      <c r="F65" s="167" t="str">
        <f>CONCATENATE(": ",'Isi data'!B2)</f>
        <v xml:space="preserve">: K023_2026 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 x14ac:dyDescent="0.3">
      <c r="A66" s="26"/>
      <c r="B66" s="26"/>
      <c r="C66" s="26"/>
      <c r="D66" s="26"/>
      <c r="E66" s="167" t="s">
        <v>301</v>
      </c>
      <c r="F66" s="167" t="s">
        <v>302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7.5" customHeigh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 x14ac:dyDescent="0.3">
      <c r="A68" s="26"/>
      <c r="B68" s="242" t="s">
        <v>303</v>
      </c>
      <c r="C68" s="239"/>
      <c r="D68" s="239"/>
      <c r="E68" s="239"/>
      <c r="F68" s="239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 x14ac:dyDescent="0.3">
      <c r="A69" s="26"/>
      <c r="B69" s="154" t="s">
        <v>304</v>
      </c>
      <c r="C69" s="26"/>
      <c r="D69" s="154" t="str">
        <f>E17</f>
        <v xml:space="preserve"> Anak Timbangan</v>
      </c>
      <c r="E69" s="154"/>
      <c r="F69" s="154"/>
      <c r="G69" s="154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 x14ac:dyDescent="0.3">
      <c r="A70" s="26"/>
      <c r="B70" s="154" t="s">
        <v>305</v>
      </c>
      <c r="C70" s="26"/>
      <c r="D70" s="154" t="str">
        <f>CONCATENATE(":"," ",'Isi data'!B7," ","/"," ",'Isi data'!B8)</f>
        <v>: - / TB-10 Weight LIFT Test Bar</v>
      </c>
      <c r="E70" s="154"/>
      <c r="F70" s="154"/>
      <c r="G70" s="154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 x14ac:dyDescent="0.3">
      <c r="A71" s="26"/>
      <c r="B71" s="154" t="s">
        <v>306</v>
      </c>
      <c r="C71" s="26"/>
      <c r="D71" s="154" t="str">
        <f>E23</f>
        <v xml:space="preserve"> -</v>
      </c>
      <c r="E71" s="154"/>
      <c r="F71" s="154"/>
      <c r="G71" s="154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 x14ac:dyDescent="0.3">
      <c r="A72" s="26"/>
      <c r="B72" s="154" t="s">
        <v>307</v>
      </c>
      <c r="C72" s="26"/>
      <c r="D72" s="154" t="str">
        <f>E25</f>
        <v xml:space="preserve"> 25914</v>
      </c>
      <c r="E72" s="154"/>
      <c r="F72" s="154"/>
      <c r="G72" s="154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 x14ac:dyDescent="0.3">
      <c r="A73" s="26"/>
      <c r="B73" s="154" t="s">
        <v>308</v>
      </c>
      <c r="C73" s="26"/>
      <c r="D73" s="154" t="str">
        <f>G27</f>
        <v>: 10 lb</v>
      </c>
      <c r="E73" s="154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 x14ac:dyDescent="0.3">
      <c r="A74" s="26"/>
      <c r="B74" s="154" t="s">
        <v>309</v>
      </c>
      <c r="C74" s="26"/>
      <c r="D74" s="154" t="str">
        <f>G28</f>
        <v>: -</v>
      </c>
      <c r="E74" s="154"/>
      <c r="F74" s="26"/>
      <c r="G74" s="154" t="s">
        <v>310</v>
      </c>
      <c r="H74" s="26"/>
      <c r="I74" s="165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 x14ac:dyDescent="0.3">
      <c r="A75" s="26"/>
      <c r="B75" s="154" t="s">
        <v>311</v>
      </c>
      <c r="C75" s="26"/>
      <c r="D75" s="154" t="s">
        <v>312</v>
      </c>
      <c r="E75" s="154"/>
      <c r="F75" s="26"/>
      <c r="G75" s="154" t="s">
        <v>313</v>
      </c>
      <c r="H75" s="26"/>
      <c r="I75" s="154" t="str">
        <f>CONCATENATE(":"," ","(",'Koreksi themohygro rotronic 202'!C10,")"," ºC")</f>
        <v>: (20,5 ± 0,1) ºC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 x14ac:dyDescent="0.3">
      <c r="A76" s="26"/>
      <c r="B76" s="154" t="s">
        <v>39</v>
      </c>
      <c r="C76" s="26"/>
      <c r="D76" s="154" t="str">
        <f>CONCATENATE(":"," ",'Isi data'!B12)</f>
        <v>: 15 Januari 2026</v>
      </c>
      <c r="E76" s="154"/>
      <c r="F76" s="26"/>
      <c r="G76" s="154" t="s">
        <v>314</v>
      </c>
      <c r="H76" s="26"/>
      <c r="I76" s="154" t="str">
        <f>CONCATENATE(":"," ","(",'Koreksi themohygro rotronic 202'!D10,")"," %RH")</f>
        <v>: (51,2 ± 0,3) %RH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 x14ac:dyDescent="0.3">
      <c r="A77" s="26"/>
      <c r="B77" s="154" t="s">
        <v>41</v>
      </c>
      <c r="C77" s="26"/>
      <c r="D77" s="154" t="str">
        <f>CONCATENATE(":"," ",'Isi data'!B13)</f>
        <v>: 19 Januari 2026</v>
      </c>
      <c r="E77" s="168"/>
      <c r="F77" s="26"/>
      <c r="G77" s="154" t="s">
        <v>315</v>
      </c>
      <c r="H77" s="26"/>
      <c r="I77" s="154" t="str">
        <f>CONCATENATE(":"," ","(",FIXED('U95 Beban'!F42,0)," ","± 1",")"," mmHg")</f>
        <v>: (692 ± 1) mmHg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 x14ac:dyDescent="0.3">
      <c r="A78" s="26"/>
      <c r="B78" s="154" t="s">
        <v>30</v>
      </c>
      <c r="C78" s="26"/>
      <c r="D78" s="154" t="str">
        <f>CONCATENATE(":"," ",'Isi data'!B5)</f>
        <v>: Lab.Massa BBSPJILM</v>
      </c>
      <c r="E78" s="154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 x14ac:dyDescent="0.3">
      <c r="A79" s="26"/>
      <c r="B79" s="154"/>
      <c r="C79" s="26"/>
      <c r="D79" s="154"/>
      <c r="E79" s="154"/>
      <c r="F79" s="154"/>
      <c r="G79" s="154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 x14ac:dyDescent="0.3">
      <c r="A80" s="26"/>
      <c r="B80" s="26"/>
      <c r="C80" s="26"/>
      <c r="D80" s="26"/>
      <c r="E80" s="169" t="s">
        <v>316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7.5" customHeight="1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7.75" customHeight="1" x14ac:dyDescent="0.3">
      <c r="A82" s="26"/>
      <c r="B82" s="247" t="s">
        <v>317</v>
      </c>
      <c r="C82" s="243" t="s">
        <v>318</v>
      </c>
      <c r="D82" s="245"/>
      <c r="E82" s="246" t="s">
        <v>319</v>
      </c>
      <c r="F82" s="245"/>
      <c r="G82" s="243" t="s">
        <v>320</v>
      </c>
      <c r="H82" s="244"/>
      <c r="I82" s="245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 x14ac:dyDescent="0.3">
      <c r="A83" s="26"/>
      <c r="B83" s="248"/>
      <c r="C83" s="249" t="s">
        <v>203</v>
      </c>
      <c r="D83" s="250"/>
      <c r="E83" s="251" t="s">
        <v>203</v>
      </c>
      <c r="F83" s="250"/>
      <c r="G83" s="251" t="s">
        <v>321</v>
      </c>
      <c r="H83" s="253"/>
      <c r="I83" s="250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9.5" customHeight="1" x14ac:dyDescent="0.3">
      <c r="A84" s="26"/>
      <c r="B84" s="170">
        <v>2</v>
      </c>
      <c r="C84" s="254">
        <v>4500</v>
      </c>
      <c r="D84" s="235"/>
      <c r="E84" s="255" t="str">
        <f>TEXT(FIXED('U95 Beban'!H87,4),"0,000")</f>
        <v>7665,221</v>
      </c>
      <c r="F84" s="235"/>
      <c r="G84" s="256">
        <f>MAX(FIXED('U95 Beban'!L124,1),ROUND('U95 Beban'!L125,2))</f>
        <v>7.9</v>
      </c>
      <c r="H84" s="234"/>
      <c r="I84" s="235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9.5" customHeight="1" x14ac:dyDescent="0.3">
      <c r="A85" s="26"/>
      <c r="B85" s="150"/>
      <c r="C85" s="171"/>
      <c r="D85" s="171"/>
      <c r="E85" s="172"/>
      <c r="F85" s="172"/>
      <c r="G85" s="173"/>
      <c r="H85" s="173"/>
      <c r="I85" s="173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9.5" customHeight="1" x14ac:dyDescent="0.3">
      <c r="A86" s="26"/>
      <c r="B86" s="150"/>
      <c r="C86" s="171"/>
      <c r="D86" s="171"/>
      <c r="E86" s="172"/>
      <c r="F86" s="172"/>
      <c r="G86" s="173"/>
      <c r="H86" s="173"/>
      <c r="I86" s="173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9.5" customHeight="1" x14ac:dyDescent="0.3">
      <c r="A87" s="26"/>
      <c r="B87" s="150"/>
      <c r="C87" s="167"/>
      <c r="D87" s="167"/>
      <c r="E87" s="174"/>
      <c r="F87" s="167"/>
      <c r="G87" s="167"/>
      <c r="H87" s="167"/>
      <c r="I87" s="167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9.5" customHeight="1" x14ac:dyDescent="0.3">
      <c r="A88" s="26"/>
      <c r="B88" s="156" t="s">
        <v>322</v>
      </c>
      <c r="C88" s="167"/>
      <c r="D88" s="167"/>
      <c r="E88" s="174"/>
      <c r="F88" s="167"/>
      <c r="G88" s="167"/>
      <c r="H88" s="167"/>
      <c r="I88" s="167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9.5" customHeight="1" x14ac:dyDescent="0.3">
      <c r="A89" s="26"/>
      <c r="B89" s="156" t="str">
        <f>CONCATENATE("1.  Alat ini dikalibrasi dengan Massa Standar"," ",'Isi data'!B16," dengan ns ",": ",'Isi data'!B18)</f>
        <v>1.  Alat ini dikalibrasi dengan Massa Standar F1  dengan ns : YCS-01-653-00</v>
      </c>
      <c r="C89" s="167"/>
      <c r="D89" s="167"/>
      <c r="E89" s="174"/>
      <c r="F89" s="167"/>
      <c r="G89" s="167"/>
      <c r="H89" s="167"/>
      <c r="I89" s="167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9.5" customHeight="1" x14ac:dyDescent="0.3">
      <c r="A90" s="26"/>
      <c r="B90" s="156" t="str">
        <f>CONCATENATE("     yang tertelusur ke SI melalui LK-022-IDN"," dan ","Mass Comparator ns : ",'Isi data'!B15)</f>
        <v xml:space="preserve">     yang tertelusur ke SI melalui LK-022-IDN dan Mass Comparator ns : 90602105</v>
      </c>
      <c r="C90" s="167"/>
      <c r="D90" s="167"/>
      <c r="E90" s="174"/>
      <c r="F90" s="167"/>
      <c r="G90" s="167"/>
      <c r="H90" s="167"/>
      <c r="I90" s="167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9.5" customHeight="1" x14ac:dyDescent="0.3">
      <c r="A91" s="26"/>
      <c r="B91" s="175" t="s">
        <v>351</v>
      </c>
      <c r="C91" s="176"/>
      <c r="D91" s="177"/>
      <c r="E91" s="177"/>
      <c r="F91" s="177"/>
      <c r="G91" s="177"/>
      <c r="H91" s="177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9.5" customHeight="1" x14ac:dyDescent="0.3">
      <c r="A92" s="26"/>
      <c r="B92" s="229" t="s">
        <v>352</v>
      </c>
      <c r="C92" s="230"/>
      <c r="D92" s="177"/>
      <c r="E92" s="177"/>
      <c r="F92" s="177"/>
      <c r="G92" s="17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6" ht="19.5" customHeight="1" x14ac:dyDescent="0.3">
      <c r="A93" s="26"/>
      <c r="B93" s="231" t="s">
        <v>353</v>
      </c>
      <c r="C93" s="232"/>
      <c r="D93" s="180"/>
      <c r="E93" s="174"/>
      <c r="F93" s="174"/>
      <c r="G93" s="174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6" ht="19.5" customHeight="1" x14ac:dyDescent="0.3">
      <c r="A94" s="26"/>
      <c r="B94" s="231" t="s">
        <v>354</v>
      </c>
      <c r="C94" s="232"/>
      <c r="D94" s="180"/>
      <c r="E94" s="174"/>
      <c r="F94" s="174"/>
      <c r="G94" s="174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6" ht="19.5" customHeight="1" x14ac:dyDescent="0.3">
      <c r="A95" s="26"/>
      <c r="B95" s="179"/>
      <c r="C95" s="180"/>
      <c r="D95" s="180"/>
      <c r="E95" s="174"/>
      <c r="F95" s="174"/>
      <c r="G95" s="174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6" ht="19.5" customHeight="1" x14ac:dyDescent="0.3">
      <c r="A96" s="26"/>
      <c r="B96" s="179"/>
      <c r="C96" s="180"/>
      <c r="D96" s="180"/>
      <c r="E96" s="174"/>
      <c r="F96" s="174"/>
      <c r="G96" s="174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6" ht="19.5" customHeight="1" x14ac:dyDescent="0.3">
      <c r="A97" s="26"/>
      <c r="B97" s="179"/>
      <c r="C97" s="180"/>
      <c r="D97" s="180"/>
      <c r="E97" s="174"/>
      <c r="F97" s="174"/>
      <c r="G97" s="174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6" ht="19.5" customHeight="1" x14ac:dyDescent="0.3">
      <c r="A98" s="26"/>
      <c r="B98" s="179"/>
      <c r="C98" s="180"/>
      <c r="D98" s="180"/>
      <c r="E98" s="174"/>
      <c r="F98" s="174"/>
      <c r="G98" s="174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6" ht="19.5" customHeight="1" x14ac:dyDescent="0.3">
      <c r="A99" s="26"/>
      <c r="B99" s="179"/>
      <c r="C99" s="180"/>
      <c r="D99" s="180"/>
      <c r="E99" s="174"/>
      <c r="F99" s="174"/>
      <c r="G99" s="174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6" ht="19.5" customHeight="1" x14ac:dyDescent="0.3">
      <c r="A100" s="26"/>
      <c r="B100" s="179"/>
      <c r="C100" s="180"/>
      <c r="D100" s="180"/>
      <c r="E100" s="174"/>
      <c r="F100" s="174"/>
      <c r="G100" s="174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6" ht="19.5" customHeight="1" x14ac:dyDescent="0.3">
      <c r="A101" s="26"/>
      <c r="B101" s="179"/>
      <c r="C101" s="180"/>
      <c r="D101" s="180"/>
      <c r="E101" s="174"/>
      <c r="F101" s="174"/>
      <c r="G101" s="174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6" ht="19.5" customHeight="1" x14ac:dyDescent="0.3">
      <c r="A102" s="26"/>
      <c r="B102" s="178"/>
      <c r="C102" s="179"/>
      <c r="D102" s="180"/>
      <c r="E102" s="180"/>
      <c r="F102" s="174"/>
      <c r="G102" s="174"/>
      <c r="H102" s="174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8.75" customHeight="1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8" customHeight="1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8" customHeight="1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8" customHeight="1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8" customHeight="1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8" customHeight="1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8" customHeight="1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8" customHeight="1" x14ac:dyDescent="0.3">
      <c r="A111" s="26"/>
      <c r="B111" s="26"/>
      <c r="C111" s="26"/>
      <c r="D111" s="26"/>
      <c r="E111" s="181"/>
      <c r="F111" s="181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8" customHeight="1" x14ac:dyDescent="0.3">
      <c r="A112" s="26"/>
      <c r="B112" s="26"/>
      <c r="C112" s="26"/>
      <c r="D112" s="26"/>
      <c r="E112" s="167"/>
      <c r="F112" s="16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8" customHeight="1" x14ac:dyDescent="0.3">
      <c r="A113" s="26"/>
      <c r="B113" s="26"/>
      <c r="C113" s="26"/>
      <c r="D113" s="26"/>
      <c r="E113" s="167"/>
      <c r="F113" s="16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.5" customHeight="1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.5" customHeight="1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 x14ac:dyDescent="0.3">
      <c r="A117" s="26"/>
      <c r="B117" s="26"/>
      <c r="C117" s="26"/>
      <c r="D117" s="26"/>
      <c r="E117" s="167"/>
      <c r="F117" s="16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 x14ac:dyDescent="0.3">
      <c r="A118" s="26"/>
      <c r="B118" s="177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 x14ac:dyDescent="0.3">
      <c r="A120" s="26"/>
      <c r="B120" s="15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 x14ac:dyDescent="0.3">
      <c r="A121" s="26"/>
      <c r="B121" s="167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 x14ac:dyDescent="0.3">
      <c r="A122" s="26"/>
      <c r="B122" s="16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3.25" customHeight="1" x14ac:dyDescent="0.3">
      <c r="A123" s="26"/>
      <c r="B123" s="16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 x14ac:dyDescent="0.3">
      <c r="A125" s="26"/>
      <c r="B125" s="177"/>
      <c r="C125" s="177"/>
      <c r="D125" s="177"/>
      <c r="E125" s="177"/>
      <c r="F125" s="177"/>
      <c r="G125" s="177"/>
      <c r="H125" s="177"/>
      <c r="I125" s="177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 x14ac:dyDescent="0.3">
      <c r="A126" s="26"/>
      <c r="B126" s="177"/>
      <c r="C126" s="177"/>
      <c r="D126" s="177"/>
      <c r="E126" s="177"/>
      <c r="F126" s="177"/>
      <c r="G126" s="177"/>
      <c r="H126" s="177"/>
      <c r="I126" s="177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 x14ac:dyDescent="0.3">
      <c r="A127" s="26"/>
      <c r="B127" s="177"/>
      <c r="C127" s="177"/>
      <c r="D127" s="177"/>
      <c r="E127" s="177"/>
      <c r="F127" s="177"/>
      <c r="G127" s="177"/>
      <c r="H127" s="177"/>
      <c r="I127" s="177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 x14ac:dyDescent="0.3">
      <c r="A128" s="26"/>
      <c r="B128" s="164"/>
      <c r="C128" s="180"/>
      <c r="D128" s="180"/>
      <c r="E128" s="180"/>
      <c r="F128" s="180"/>
      <c r="G128" s="180"/>
      <c r="H128" s="167"/>
      <c r="I128" s="167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 x14ac:dyDescent="0.3">
      <c r="A129" s="26"/>
      <c r="B129" s="164"/>
      <c r="C129" s="180"/>
      <c r="D129" s="180"/>
      <c r="E129" s="180"/>
      <c r="F129" s="180"/>
      <c r="G129" s="180"/>
      <c r="H129" s="167"/>
      <c r="I129" s="167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 x14ac:dyDescent="0.3">
      <c r="A130" s="26"/>
      <c r="B130" s="164"/>
      <c r="C130" s="180"/>
      <c r="D130" s="180"/>
      <c r="E130" s="180"/>
      <c r="F130" s="180"/>
      <c r="G130" s="180"/>
      <c r="H130" s="167"/>
      <c r="I130" s="167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 x14ac:dyDescent="0.3">
      <c r="A131" s="26"/>
      <c r="B131" s="164"/>
      <c r="C131" s="180"/>
      <c r="D131" s="180"/>
      <c r="E131" s="180"/>
      <c r="F131" s="180"/>
      <c r="G131" s="180"/>
      <c r="H131" s="167"/>
      <c r="I131" s="167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 x14ac:dyDescent="0.3">
      <c r="A132" s="26"/>
      <c r="B132" s="164"/>
      <c r="C132" s="180"/>
      <c r="D132" s="180"/>
      <c r="E132" s="180"/>
      <c r="F132" s="180"/>
      <c r="G132" s="180"/>
      <c r="H132" s="167"/>
      <c r="I132" s="167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 x14ac:dyDescent="0.3">
      <c r="A134" s="26"/>
      <c r="B134" s="16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 x14ac:dyDescent="0.3">
      <c r="A136" s="26"/>
      <c r="B136" s="177"/>
      <c r="C136" s="177"/>
      <c r="D136" s="177"/>
      <c r="E136" s="177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 x14ac:dyDescent="0.3">
      <c r="A137" s="26"/>
      <c r="B137" s="177"/>
      <c r="C137" s="177"/>
      <c r="D137" s="177"/>
      <c r="E137" s="177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 x14ac:dyDescent="0.3">
      <c r="A138" s="26"/>
      <c r="B138" s="182"/>
      <c r="C138" s="182"/>
      <c r="D138" s="180"/>
      <c r="E138" s="180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 x14ac:dyDescent="0.3">
      <c r="A139" s="26"/>
      <c r="B139" s="182"/>
      <c r="C139" s="182"/>
      <c r="D139" s="180"/>
      <c r="E139" s="180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8" customHeigh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8" customHeight="1" x14ac:dyDescent="0.3">
      <c r="A141" s="26"/>
      <c r="B141" s="167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8" customHeight="1" x14ac:dyDescent="0.3">
      <c r="A142" s="26"/>
      <c r="B142" s="167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8" customHeight="1" x14ac:dyDescent="0.3">
      <c r="A143" s="26"/>
      <c r="B143" s="16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8" customHeight="1" x14ac:dyDescent="0.3">
      <c r="A144" s="26"/>
      <c r="B144" s="167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 x14ac:dyDescent="0.3">
      <c r="A145" s="26"/>
      <c r="B145" s="167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25" customHeigh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25" customHeigh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25" customHeight="1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25" customHeight="1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25" customHeight="1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25" customHeight="1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25" customHeight="1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25" customHeight="1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25" customHeight="1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25" customHeight="1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25" customHeight="1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25" customHeight="1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25" customHeight="1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25" customHeight="1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25" customHeight="1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25" customHeight="1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25" customHeight="1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25" customHeight="1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25" customHeight="1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25" customHeight="1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25" customHeight="1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25" customHeight="1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25" customHeight="1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25" customHeight="1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25" customHeight="1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25" customHeight="1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25" customHeight="1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25" customHeight="1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25" customHeight="1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25" customHeight="1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25" customHeight="1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25" customHeight="1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25" customHeight="1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25" customHeight="1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25" customHeight="1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25" customHeight="1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25" customHeight="1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25" customHeight="1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25" customHeight="1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25" customHeight="1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25" customHeight="1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25" customHeight="1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25" customHeight="1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25" customHeight="1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25" customHeight="1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25" customHeight="1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25" customHeight="1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25" customHeight="1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25" customHeight="1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25" customHeight="1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25" customHeight="1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25" customHeight="1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25" customHeight="1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25" customHeight="1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25" customHeight="1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25" customHeight="1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25" customHeight="1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25" customHeight="1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25" customHeight="1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25" customHeight="1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25" customHeight="1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25" customHeight="1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25" customHeight="1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25" customHeight="1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25" customHeight="1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25" customHeight="1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25" customHeight="1" x14ac:dyDescent="0.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25" customHeight="1" x14ac:dyDescent="0.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25" customHeight="1" x14ac:dyDescent="0.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25" customHeight="1" x14ac:dyDescent="0.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25" customHeight="1" x14ac:dyDescent="0.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25" customHeight="1" x14ac:dyDescent="0.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25" customHeight="1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25" customHeight="1" x14ac:dyDescent="0.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25" customHeight="1" x14ac:dyDescent="0.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25" customHeight="1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25" customHeight="1" x14ac:dyDescent="0.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25" customHeight="1" x14ac:dyDescent="0.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25" customHeight="1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25" customHeight="1" x14ac:dyDescent="0.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25" customHeight="1" x14ac:dyDescent="0.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25" customHeight="1" x14ac:dyDescent="0.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25" customHeight="1" x14ac:dyDescent="0.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25" customHeight="1" x14ac:dyDescent="0.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25" customHeight="1" x14ac:dyDescent="0.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25" customHeight="1" x14ac:dyDescent="0.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25" customHeight="1" x14ac:dyDescent="0.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25" customHeight="1" x14ac:dyDescent="0.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25" customHeight="1" x14ac:dyDescent="0.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25" customHeight="1" x14ac:dyDescent="0.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25" customHeight="1" x14ac:dyDescent="0.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25" customHeight="1" x14ac:dyDescent="0.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25" customHeight="1" x14ac:dyDescent="0.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25" customHeight="1" x14ac:dyDescent="0.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25" customHeight="1" x14ac:dyDescent="0.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25" customHeight="1" x14ac:dyDescent="0.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25" customHeight="1" x14ac:dyDescent="0.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25" customHeight="1" x14ac:dyDescent="0.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25" customHeight="1" x14ac:dyDescent="0.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25" customHeight="1" x14ac:dyDescent="0.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25" customHeight="1" x14ac:dyDescent="0.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25" customHeight="1" x14ac:dyDescent="0.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25" customHeight="1" x14ac:dyDescent="0.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25" customHeight="1" x14ac:dyDescent="0.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25" customHeight="1" x14ac:dyDescent="0.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25" customHeight="1" x14ac:dyDescent="0.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25" customHeight="1" x14ac:dyDescent="0.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25" customHeight="1" x14ac:dyDescent="0.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25" customHeight="1" x14ac:dyDescent="0.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25" customHeight="1" x14ac:dyDescent="0.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25" customHeight="1" x14ac:dyDescent="0.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25" customHeight="1" x14ac:dyDescent="0.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25" customHeight="1" x14ac:dyDescent="0.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25" customHeight="1" x14ac:dyDescent="0.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25" customHeight="1" x14ac:dyDescent="0.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25" customHeight="1" x14ac:dyDescent="0.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25" customHeight="1" x14ac:dyDescent="0.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25" customHeight="1" x14ac:dyDescent="0.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25" customHeight="1" x14ac:dyDescent="0.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25" customHeight="1" x14ac:dyDescent="0.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25" customHeight="1" x14ac:dyDescent="0.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25" customHeight="1" x14ac:dyDescent="0.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25" customHeight="1" x14ac:dyDescent="0.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25" customHeight="1" x14ac:dyDescent="0.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25" customHeight="1" x14ac:dyDescent="0.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25" customHeight="1" x14ac:dyDescent="0.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25" customHeight="1" x14ac:dyDescent="0.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25" customHeight="1" x14ac:dyDescent="0.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25" customHeight="1" x14ac:dyDescent="0.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25" customHeight="1" x14ac:dyDescent="0.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25" customHeight="1" x14ac:dyDescent="0.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25" customHeight="1" x14ac:dyDescent="0.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25" customHeight="1" x14ac:dyDescent="0.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25" customHeight="1" x14ac:dyDescent="0.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25" customHeight="1" x14ac:dyDescent="0.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25" customHeight="1" x14ac:dyDescent="0.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25" customHeight="1" x14ac:dyDescent="0.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25" customHeight="1" x14ac:dyDescent="0.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25" customHeight="1" x14ac:dyDescent="0.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25" customHeight="1" x14ac:dyDescent="0.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25" customHeight="1" x14ac:dyDescent="0.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25" customHeight="1" x14ac:dyDescent="0.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25" customHeight="1" x14ac:dyDescent="0.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25" customHeight="1" x14ac:dyDescent="0.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25" customHeight="1" x14ac:dyDescent="0.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25" customHeight="1" x14ac:dyDescent="0.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25" customHeight="1" x14ac:dyDescent="0.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25" customHeight="1" x14ac:dyDescent="0.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25" customHeight="1" x14ac:dyDescent="0.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 x14ac:dyDescent="0.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 x14ac:dyDescent="0.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 x14ac:dyDescent="0.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 x14ac:dyDescent="0.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 x14ac:dyDescent="0.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 x14ac:dyDescent="0.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 x14ac:dyDescent="0.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 x14ac:dyDescent="0.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 x14ac:dyDescent="0.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 x14ac:dyDescent="0.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 x14ac:dyDescent="0.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 x14ac:dyDescent="0.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25" customHeight="1" x14ac:dyDescent="0.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25" customHeight="1" x14ac:dyDescent="0.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25" customHeight="1" x14ac:dyDescent="0.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25" customHeight="1" x14ac:dyDescent="0.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 x14ac:dyDescent="0.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 x14ac:dyDescent="0.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 x14ac:dyDescent="0.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 x14ac:dyDescent="0.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 x14ac:dyDescent="0.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 x14ac:dyDescent="0.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 x14ac:dyDescent="0.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 x14ac:dyDescent="0.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 x14ac:dyDescent="0.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 x14ac:dyDescent="0.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 x14ac:dyDescent="0.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 x14ac:dyDescent="0.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 x14ac:dyDescent="0.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 x14ac:dyDescent="0.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 x14ac:dyDescent="0.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 x14ac:dyDescent="0.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 x14ac:dyDescent="0.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 x14ac:dyDescent="0.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 x14ac:dyDescent="0.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 x14ac:dyDescent="0.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 x14ac:dyDescent="0.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 x14ac:dyDescent="0.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 x14ac:dyDescent="0.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 x14ac:dyDescent="0.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 x14ac:dyDescent="0.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 x14ac:dyDescent="0.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 x14ac:dyDescent="0.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 x14ac:dyDescent="0.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 x14ac:dyDescent="0.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 x14ac:dyDescent="0.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 x14ac:dyDescent="0.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 x14ac:dyDescent="0.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 x14ac:dyDescent="0.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 x14ac:dyDescent="0.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 x14ac:dyDescent="0.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25" customHeight="1" x14ac:dyDescent="0.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25" customHeight="1" x14ac:dyDescent="0.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25" customHeight="1" x14ac:dyDescent="0.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25" customHeight="1" x14ac:dyDescent="0.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25" customHeight="1" x14ac:dyDescent="0.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25" customHeight="1" x14ac:dyDescent="0.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25" customHeight="1" x14ac:dyDescent="0.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25" customHeight="1" x14ac:dyDescent="0.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25" customHeight="1" x14ac:dyDescent="0.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25" customHeight="1" x14ac:dyDescent="0.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25" customHeight="1" x14ac:dyDescent="0.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25" customHeight="1" x14ac:dyDescent="0.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25" customHeight="1" x14ac:dyDescent="0.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25" customHeight="1" x14ac:dyDescent="0.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25" customHeight="1" x14ac:dyDescent="0.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25" customHeight="1" x14ac:dyDescent="0.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25" customHeight="1" x14ac:dyDescent="0.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25" customHeight="1" x14ac:dyDescent="0.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25" customHeight="1" x14ac:dyDescent="0.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25" customHeight="1" x14ac:dyDescent="0.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25" customHeight="1" x14ac:dyDescent="0.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25" customHeight="1" x14ac:dyDescent="0.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25" customHeight="1" x14ac:dyDescent="0.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25" customHeight="1" x14ac:dyDescent="0.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25" customHeight="1" x14ac:dyDescent="0.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25" customHeight="1" x14ac:dyDescent="0.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25" customHeight="1" x14ac:dyDescent="0.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25" customHeight="1" x14ac:dyDescent="0.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25" customHeight="1" x14ac:dyDescent="0.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25" customHeight="1" x14ac:dyDescent="0.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25" customHeight="1" x14ac:dyDescent="0.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25" customHeight="1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25" customHeight="1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25" customHeight="1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25" customHeight="1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25" customHeight="1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25" customHeight="1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25" customHeight="1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25" customHeight="1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25" customHeight="1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25" customHeight="1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25" customHeight="1" x14ac:dyDescent="0.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25" customHeight="1" x14ac:dyDescent="0.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25" customHeight="1" x14ac:dyDescent="0.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25" customHeight="1" x14ac:dyDescent="0.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25" customHeight="1" x14ac:dyDescent="0.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25" customHeight="1" x14ac:dyDescent="0.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25" customHeight="1" x14ac:dyDescent="0.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25" customHeight="1" x14ac:dyDescent="0.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25" customHeight="1" x14ac:dyDescent="0.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25" customHeight="1" x14ac:dyDescent="0.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25" customHeight="1" x14ac:dyDescent="0.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25" customHeight="1" x14ac:dyDescent="0.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25" customHeight="1" x14ac:dyDescent="0.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25" customHeight="1" x14ac:dyDescent="0.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25" customHeight="1" x14ac:dyDescent="0.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25" customHeight="1" x14ac:dyDescent="0.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25" customHeight="1" x14ac:dyDescent="0.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25" customHeight="1" x14ac:dyDescent="0.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25" customHeight="1" x14ac:dyDescent="0.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25" customHeight="1" x14ac:dyDescent="0.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25" customHeight="1" x14ac:dyDescent="0.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25" customHeight="1" x14ac:dyDescent="0.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25" customHeight="1" x14ac:dyDescent="0.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25" customHeight="1" x14ac:dyDescent="0.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25" customHeight="1" x14ac:dyDescent="0.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25" customHeight="1" x14ac:dyDescent="0.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25" customHeight="1" x14ac:dyDescent="0.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25" customHeight="1" x14ac:dyDescent="0.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25" customHeight="1" x14ac:dyDescent="0.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25" customHeight="1" x14ac:dyDescent="0.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25" customHeight="1" x14ac:dyDescent="0.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25" customHeight="1" x14ac:dyDescent="0.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25" customHeight="1" x14ac:dyDescent="0.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25" customHeight="1" x14ac:dyDescent="0.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25" customHeight="1" x14ac:dyDescent="0.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25" customHeight="1" x14ac:dyDescent="0.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25" customHeight="1" x14ac:dyDescent="0.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25" customHeight="1" x14ac:dyDescent="0.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25" customHeight="1" x14ac:dyDescent="0.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25" customHeight="1" x14ac:dyDescent="0.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25" customHeight="1" x14ac:dyDescent="0.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25" customHeight="1" x14ac:dyDescent="0.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25" customHeight="1" x14ac:dyDescent="0.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25" customHeight="1" x14ac:dyDescent="0.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25" customHeight="1" x14ac:dyDescent="0.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25" customHeight="1" x14ac:dyDescent="0.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25" customHeight="1" x14ac:dyDescent="0.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25" customHeight="1" x14ac:dyDescent="0.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25" customHeight="1" x14ac:dyDescent="0.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25" customHeight="1" x14ac:dyDescent="0.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25" customHeight="1" x14ac:dyDescent="0.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25" customHeight="1" x14ac:dyDescent="0.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25" customHeight="1" x14ac:dyDescent="0.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25" customHeight="1" x14ac:dyDescent="0.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25" customHeight="1" x14ac:dyDescent="0.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25" customHeight="1" x14ac:dyDescent="0.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25" customHeight="1" x14ac:dyDescent="0.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25" customHeight="1" x14ac:dyDescent="0.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25" customHeight="1" x14ac:dyDescent="0.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25" customHeight="1" x14ac:dyDescent="0.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25" customHeight="1" x14ac:dyDescent="0.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25" customHeight="1" x14ac:dyDescent="0.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25" customHeight="1" x14ac:dyDescent="0.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25" customHeight="1" x14ac:dyDescent="0.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25" customHeight="1" x14ac:dyDescent="0.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25" customHeight="1" x14ac:dyDescent="0.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25" customHeight="1" x14ac:dyDescent="0.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25" customHeight="1" x14ac:dyDescent="0.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25" customHeight="1" x14ac:dyDescent="0.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25" customHeight="1" x14ac:dyDescent="0.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25" customHeight="1" x14ac:dyDescent="0.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25" customHeight="1" x14ac:dyDescent="0.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25" customHeight="1" x14ac:dyDescent="0.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25" customHeight="1" x14ac:dyDescent="0.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25" customHeight="1" x14ac:dyDescent="0.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25" customHeight="1" x14ac:dyDescent="0.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25" customHeight="1" x14ac:dyDescent="0.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25" customHeight="1" x14ac:dyDescent="0.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25" customHeight="1" x14ac:dyDescent="0.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25" customHeight="1" x14ac:dyDescent="0.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25" customHeight="1" x14ac:dyDescent="0.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25" customHeight="1" x14ac:dyDescent="0.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25" customHeight="1" x14ac:dyDescent="0.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25" customHeight="1" x14ac:dyDescent="0.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25" customHeight="1" x14ac:dyDescent="0.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25" customHeight="1" x14ac:dyDescent="0.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25" customHeight="1" x14ac:dyDescent="0.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25" customHeight="1" x14ac:dyDescent="0.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25" customHeight="1" x14ac:dyDescent="0.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25" customHeight="1" x14ac:dyDescent="0.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25" customHeight="1" x14ac:dyDescent="0.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25" customHeight="1" x14ac:dyDescent="0.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25" customHeight="1" x14ac:dyDescent="0.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25" customHeight="1" x14ac:dyDescent="0.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25" customHeight="1" x14ac:dyDescent="0.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25" customHeight="1" x14ac:dyDescent="0.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25" customHeight="1" x14ac:dyDescent="0.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25" customHeight="1" x14ac:dyDescent="0.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25" customHeight="1" x14ac:dyDescent="0.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25" customHeight="1" x14ac:dyDescent="0.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25" customHeight="1" x14ac:dyDescent="0.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25" customHeight="1" x14ac:dyDescent="0.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25" customHeight="1" x14ac:dyDescent="0.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25" customHeight="1" x14ac:dyDescent="0.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25" customHeight="1" x14ac:dyDescent="0.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25" customHeight="1" x14ac:dyDescent="0.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25" customHeight="1" x14ac:dyDescent="0.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25" customHeight="1" x14ac:dyDescent="0.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25" customHeight="1" x14ac:dyDescent="0.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25" customHeight="1" x14ac:dyDescent="0.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25" customHeight="1" x14ac:dyDescent="0.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25" customHeight="1" x14ac:dyDescent="0.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25" customHeight="1" x14ac:dyDescent="0.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25" customHeight="1" x14ac:dyDescent="0.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25" customHeight="1" x14ac:dyDescent="0.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25" customHeight="1" x14ac:dyDescent="0.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25" customHeight="1" x14ac:dyDescent="0.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25" customHeight="1" x14ac:dyDescent="0.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25" customHeight="1" x14ac:dyDescent="0.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25" customHeight="1" x14ac:dyDescent="0.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25" customHeight="1" x14ac:dyDescent="0.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25" customHeight="1" x14ac:dyDescent="0.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25" customHeight="1" x14ac:dyDescent="0.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25" customHeight="1" x14ac:dyDescent="0.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25" customHeight="1" x14ac:dyDescent="0.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25" customHeight="1" x14ac:dyDescent="0.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25" customHeight="1" x14ac:dyDescent="0.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25" customHeight="1" x14ac:dyDescent="0.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25" customHeight="1" x14ac:dyDescent="0.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25" customHeight="1" x14ac:dyDescent="0.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25" customHeight="1" x14ac:dyDescent="0.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25" customHeight="1" x14ac:dyDescent="0.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25" customHeight="1" x14ac:dyDescent="0.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25" customHeight="1" x14ac:dyDescent="0.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25" customHeight="1" x14ac:dyDescent="0.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25" customHeight="1" x14ac:dyDescent="0.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25" customHeight="1" x14ac:dyDescent="0.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25" customHeight="1" x14ac:dyDescent="0.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25" customHeight="1" x14ac:dyDescent="0.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25" customHeight="1" x14ac:dyDescent="0.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25" customHeight="1" x14ac:dyDescent="0.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25" customHeight="1" x14ac:dyDescent="0.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25" customHeight="1" x14ac:dyDescent="0.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25" customHeight="1" x14ac:dyDescent="0.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25" customHeight="1" x14ac:dyDescent="0.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25" customHeight="1" x14ac:dyDescent="0.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25" customHeight="1" x14ac:dyDescent="0.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25" customHeight="1" x14ac:dyDescent="0.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25" customHeight="1" x14ac:dyDescent="0.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25" customHeight="1" x14ac:dyDescent="0.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25" customHeight="1" x14ac:dyDescent="0.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25" customHeight="1" x14ac:dyDescent="0.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25" customHeight="1" x14ac:dyDescent="0.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25" customHeight="1" x14ac:dyDescent="0.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25" customHeight="1" x14ac:dyDescent="0.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25" customHeight="1" x14ac:dyDescent="0.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25" customHeight="1" x14ac:dyDescent="0.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25" customHeight="1" x14ac:dyDescent="0.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25" customHeight="1" x14ac:dyDescent="0.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25" customHeight="1" x14ac:dyDescent="0.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25" customHeight="1" x14ac:dyDescent="0.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25" customHeight="1" x14ac:dyDescent="0.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25" customHeight="1" x14ac:dyDescent="0.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25" customHeight="1" x14ac:dyDescent="0.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25" customHeight="1" x14ac:dyDescent="0.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25" customHeight="1" x14ac:dyDescent="0.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25" customHeight="1" x14ac:dyDescent="0.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25" customHeight="1" x14ac:dyDescent="0.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25" customHeight="1" x14ac:dyDescent="0.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25" customHeight="1" x14ac:dyDescent="0.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25" customHeight="1" x14ac:dyDescent="0.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25" customHeight="1" x14ac:dyDescent="0.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25" customHeight="1" x14ac:dyDescent="0.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25" customHeight="1" x14ac:dyDescent="0.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25" customHeight="1" x14ac:dyDescent="0.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25" customHeight="1" x14ac:dyDescent="0.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25" customHeight="1" x14ac:dyDescent="0.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25" customHeight="1" x14ac:dyDescent="0.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25" customHeight="1" x14ac:dyDescent="0.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25" customHeight="1" x14ac:dyDescent="0.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25" customHeight="1" x14ac:dyDescent="0.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25" customHeight="1" x14ac:dyDescent="0.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25" customHeight="1" x14ac:dyDescent="0.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25" customHeight="1" x14ac:dyDescent="0.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25" customHeight="1" x14ac:dyDescent="0.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25" customHeight="1" x14ac:dyDescent="0.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25" customHeight="1" x14ac:dyDescent="0.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25" customHeight="1" x14ac:dyDescent="0.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25" customHeight="1" x14ac:dyDescent="0.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25" customHeight="1" x14ac:dyDescent="0.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25" customHeight="1" x14ac:dyDescent="0.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25" customHeight="1" x14ac:dyDescent="0.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25" customHeight="1" x14ac:dyDescent="0.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25" customHeight="1" x14ac:dyDescent="0.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25" customHeight="1" x14ac:dyDescent="0.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25" customHeight="1" x14ac:dyDescent="0.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25" customHeight="1" x14ac:dyDescent="0.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25" customHeight="1" x14ac:dyDescent="0.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25" customHeight="1" x14ac:dyDescent="0.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25" customHeight="1" x14ac:dyDescent="0.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25" customHeight="1" x14ac:dyDescent="0.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25" customHeight="1" x14ac:dyDescent="0.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25" customHeight="1" x14ac:dyDescent="0.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25" customHeight="1" x14ac:dyDescent="0.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25" customHeight="1" x14ac:dyDescent="0.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25" customHeight="1" x14ac:dyDescent="0.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25" customHeight="1" x14ac:dyDescent="0.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25" customHeight="1" x14ac:dyDescent="0.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25" customHeight="1" x14ac:dyDescent="0.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25" customHeight="1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25" customHeight="1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25" customHeight="1" x14ac:dyDescent="0.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25" customHeight="1" x14ac:dyDescent="0.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25" customHeight="1" x14ac:dyDescent="0.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25" customHeight="1" x14ac:dyDescent="0.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25" customHeight="1" x14ac:dyDescent="0.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25" customHeight="1" x14ac:dyDescent="0.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25" customHeight="1" x14ac:dyDescent="0.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25" customHeight="1" x14ac:dyDescent="0.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25" customHeight="1" x14ac:dyDescent="0.3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25" customHeight="1" x14ac:dyDescent="0.3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25" customHeight="1" x14ac:dyDescent="0.3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25" customHeight="1" x14ac:dyDescent="0.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25" customHeight="1" x14ac:dyDescent="0.3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25" customHeight="1" x14ac:dyDescent="0.3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25" customHeight="1" x14ac:dyDescent="0.3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25" customHeight="1" x14ac:dyDescent="0.3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25" customHeight="1" x14ac:dyDescent="0.3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25" customHeight="1" x14ac:dyDescent="0.3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25" customHeight="1" x14ac:dyDescent="0.3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25" customHeight="1" x14ac:dyDescent="0.3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25" customHeight="1" x14ac:dyDescent="0.3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25" customHeight="1" x14ac:dyDescent="0.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25" customHeight="1" x14ac:dyDescent="0.3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25" customHeight="1" x14ac:dyDescent="0.3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25" customHeight="1" x14ac:dyDescent="0.3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25" customHeight="1" x14ac:dyDescent="0.3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25" customHeight="1" x14ac:dyDescent="0.3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25" customHeight="1" x14ac:dyDescent="0.3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25" customHeight="1" x14ac:dyDescent="0.3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25" customHeight="1" x14ac:dyDescent="0.3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25" customHeight="1" x14ac:dyDescent="0.3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25" customHeight="1" x14ac:dyDescent="0.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25" customHeight="1" x14ac:dyDescent="0.3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25" customHeight="1" x14ac:dyDescent="0.3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25" customHeight="1" x14ac:dyDescent="0.3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25" customHeight="1" x14ac:dyDescent="0.3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25" customHeight="1" x14ac:dyDescent="0.3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25" customHeight="1" x14ac:dyDescent="0.3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25" customHeight="1" x14ac:dyDescent="0.3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25" customHeight="1" x14ac:dyDescent="0.3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25" customHeight="1" x14ac:dyDescent="0.3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25" customHeight="1" x14ac:dyDescent="0.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25" customHeight="1" x14ac:dyDescent="0.3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25" customHeight="1" x14ac:dyDescent="0.3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25" customHeight="1" x14ac:dyDescent="0.3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25" customHeight="1" x14ac:dyDescent="0.3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25" customHeight="1" x14ac:dyDescent="0.3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25" customHeight="1" x14ac:dyDescent="0.3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25" customHeight="1" x14ac:dyDescent="0.3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25" customHeight="1" x14ac:dyDescent="0.3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25" customHeight="1" x14ac:dyDescent="0.3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25" customHeight="1" x14ac:dyDescent="0.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25" customHeight="1" x14ac:dyDescent="0.3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25" customHeight="1" x14ac:dyDescent="0.3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25" customHeight="1" x14ac:dyDescent="0.3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25" customHeight="1" x14ac:dyDescent="0.3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25" customHeight="1" x14ac:dyDescent="0.3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25" customHeight="1" x14ac:dyDescent="0.3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25" customHeight="1" x14ac:dyDescent="0.3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25" customHeight="1" x14ac:dyDescent="0.3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25" customHeight="1" x14ac:dyDescent="0.3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25" customHeight="1" x14ac:dyDescent="0.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25" customHeight="1" x14ac:dyDescent="0.3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25" customHeight="1" x14ac:dyDescent="0.3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25" customHeight="1" x14ac:dyDescent="0.3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25" customHeight="1" x14ac:dyDescent="0.3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25" customHeight="1" x14ac:dyDescent="0.3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25" customHeight="1" x14ac:dyDescent="0.3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25" customHeight="1" x14ac:dyDescent="0.3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25" customHeight="1" x14ac:dyDescent="0.3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25" customHeight="1" x14ac:dyDescent="0.3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25" customHeight="1" x14ac:dyDescent="0.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25" customHeight="1" x14ac:dyDescent="0.3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25" customHeight="1" x14ac:dyDescent="0.3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25" customHeight="1" x14ac:dyDescent="0.3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25" customHeight="1" x14ac:dyDescent="0.3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25" customHeight="1" x14ac:dyDescent="0.3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25" customHeight="1" x14ac:dyDescent="0.3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25" customHeight="1" x14ac:dyDescent="0.3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25" customHeight="1" x14ac:dyDescent="0.3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25" customHeight="1" x14ac:dyDescent="0.3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25" customHeight="1" x14ac:dyDescent="0.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25" customHeight="1" x14ac:dyDescent="0.3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25" customHeight="1" x14ac:dyDescent="0.3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25" customHeight="1" x14ac:dyDescent="0.3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25" customHeight="1" x14ac:dyDescent="0.3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25" customHeight="1" x14ac:dyDescent="0.3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25" customHeight="1" x14ac:dyDescent="0.3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25" customHeight="1" x14ac:dyDescent="0.3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25" customHeight="1" x14ac:dyDescent="0.3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25" customHeight="1" x14ac:dyDescent="0.3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25" customHeight="1" x14ac:dyDescent="0.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25" customHeight="1" x14ac:dyDescent="0.3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25" customHeight="1" x14ac:dyDescent="0.3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25" customHeight="1" x14ac:dyDescent="0.3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25" customHeight="1" x14ac:dyDescent="0.3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25" customHeight="1" x14ac:dyDescent="0.3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25" customHeight="1" x14ac:dyDescent="0.3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25" customHeight="1" x14ac:dyDescent="0.3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25" customHeight="1" x14ac:dyDescent="0.3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25" customHeight="1" x14ac:dyDescent="0.3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25" customHeight="1" x14ac:dyDescent="0.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25" customHeight="1" x14ac:dyDescent="0.3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25" customHeight="1" x14ac:dyDescent="0.3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25" customHeight="1" x14ac:dyDescent="0.3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25" customHeight="1" x14ac:dyDescent="0.3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25" customHeight="1" x14ac:dyDescent="0.3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25" customHeight="1" x14ac:dyDescent="0.3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25" customHeight="1" x14ac:dyDescent="0.3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25" customHeight="1" x14ac:dyDescent="0.3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25" customHeight="1" x14ac:dyDescent="0.3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25" customHeight="1" x14ac:dyDescent="0.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25" customHeight="1" x14ac:dyDescent="0.3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25" customHeight="1" x14ac:dyDescent="0.3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25" customHeight="1" x14ac:dyDescent="0.3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25" customHeight="1" x14ac:dyDescent="0.3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25" customHeight="1" x14ac:dyDescent="0.3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25" customHeight="1" x14ac:dyDescent="0.3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25" customHeight="1" x14ac:dyDescent="0.3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25" customHeight="1" x14ac:dyDescent="0.3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25" customHeight="1" x14ac:dyDescent="0.3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25" customHeight="1" x14ac:dyDescent="0.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25" customHeight="1" x14ac:dyDescent="0.3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25" customHeight="1" x14ac:dyDescent="0.3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25" customHeight="1" x14ac:dyDescent="0.3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25" customHeight="1" x14ac:dyDescent="0.3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25" customHeight="1" x14ac:dyDescent="0.3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25" customHeight="1" x14ac:dyDescent="0.3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25" customHeight="1" x14ac:dyDescent="0.3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25" customHeight="1" x14ac:dyDescent="0.3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25" customHeight="1" x14ac:dyDescent="0.3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25" customHeight="1" x14ac:dyDescent="0.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25" customHeight="1" x14ac:dyDescent="0.3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25" customHeight="1" x14ac:dyDescent="0.3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25" customHeight="1" x14ac:dyDescent="0.3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25" customHeight="1" x14ac:dyDescent="0.3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25" customHeight="1" x14ac:dyDescent="0.3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25" customHeight="1" x14ac:dyDescent="0.3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25" customHeight="1" x14ac:dyDescent="0.3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25" customHeight="1" x14ac:dyDescent="0.3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25" customHeight="1" x14ac:dyDescent="0.3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25" customHeight="1" x14ac:dyDescent="0.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25" customHeight="1" x14ac:dyDescent="0.3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25" customHeight="1" x14ac:dyDescent="0.3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25" customHeight="1" x14ac:dyDescent="0.3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25" customHeight="1" x14ac:dyDescent="0.3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25" customHeight="1" x14ac:dyDescent="0.3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25" customHeight="1" x14ac:dyDescent="0.3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25" customHeight="1" x14ac:dyDescent="0.3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25" customHeight="1" x14ac:dyDescent="0.3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25" customHeight="1" x14ac:dyDescent="0.3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25" customHeight="1" x14ac:dyDescent="0.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25" customHeight="1" x14ac:dyDescent="0.3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25" customHeight="1" x14ac:dyDescent="0.3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25" customHeight="1" x14ac:dyDescent="0.3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25" customHeight="1" x14ac:dyDescent="0.3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25" customHeight="1" x14ac:dyDescent="0.3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25" customHeight="1" x14ac:dyDescent="0.3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25" customHeight="1" x14ac:dyDescent="0.3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25" customHeight="1" x14ac:dyDescent="0.3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25" customHeight="1" x14ac:dyDescent="0.3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25" customHeight="1" x14ac:dyDescent="0.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25" customHeight="1" x14ac:dyDescent="0.3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25" customHeight="1" x14ac:dyDescent="0.3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25" customHeight="1" x14ac:dyDescent="0.3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25" customHeight="1" x14ac:dyDescent="0.3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25" customHeight="1" x14ac:dyDescent="0.3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25" customHeight="1" x14ac:dyDescent="0.3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25" customHeight="1" x14ac:dyDescent="0.3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25" customHeight="1" x14ac:dyDescent="0.3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25" customHeight="1" x14ac:dyDescent="0.3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25" customHeight="1" x14ac:dyDescent="0.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25" customHeight="1" x14ac:dyDescent="0.3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25" customHeight="1" x14ac:dyDescent="0.3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25" customHeight="1" x14ac:dyDescent="0.3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25" customHeight="1" x14ac:dyDescent="0.3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25" customHeight="1" x14ac:dyDescent="0.3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25" customHeight="1" x14ac:dyDescent="0.3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25" customHeight="1" x14ac:dyDescent="0.3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25" customHeight="1" x14ac:dyDescent="0.3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25" customHeight="1" x14ac:dyDescent="0.3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25" customHeight="1" x14ac:dyDescent="0.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25" customHeight="1" x14ac:dyDescent="0.3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25" customHeight="1" x14ac:dyDescent="0.3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25" customHeight="1" x14ac:dyDescent="0.3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25" customHeight="1" x14ac:dyDescent="0.3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25" customHeight="1" x14ac:dyDescent="0.3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25" customHeight="1" x14ac:dyDescent="0.3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25" customHeight="1" x14ac:dyDescent="0.3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25" customHeight="1" x14ac:dyDescent="0.3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25" customHeight="1" x14ac:dyDescent="0.3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25" customHeight="1" x14ac:dyDescent="0.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4.25" customHeight="1" x14ac:dyDescent="0.3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4.25" customHeight="1" x14ac:dyDescent="0.3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4.25" customHeight="1" x14ac:dyDescent="0.3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4.25" customHeight="1" x14ac:dyDescent="0.3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4.25" customHeight="1" x14ac:dyDescent="0.3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4.25" customHeight="1" x14ac:dyDescent="0.3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4.25" customHeight="1" x14ac:dyDescent="0.3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4.25" customHeight="1" x14ac:dyDescent="0.3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4.25" customHeight="1" x14ac:dyDescent="0.3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4.25" customHeight="1" x14ac:dyDescent="0.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4.25" customHeight="1" x14ac:dyDescent="0.3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4.25" customHeight="1" x14ac:dyDescent="0.3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4.25" customHeight="1" x14ac:dyDescent="0.3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4.25" customHeight="1" x14ac:dyDescent="0.3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4.25" customHeight="1" x14ac:dyDescent="0.3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4.25" customHeight="1" x14ac:dyDescent="0.3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4.25" customHeight="1" x14ac:dyDescent="0.3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4.25" customHeight="1" x14ac:dyDescent="0.3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4.25" customHeight="1" x14ac:dyDescent="0.3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4.25" customHeight="1" x14ac:dyDescent="0.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4.25" customHeight="1" x14ac:dyDescent="0.3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4.25" customHeight="1" x14ac:dyDescent="0.3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4.25" customHeight="1" x14ac:dyDescent="0.3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4.25" customHeight="1" x14ac:dyDescent="0.3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4.25" customHeight="1" x14ac:dyDescent="0.3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4.25" customHeight="1" x14ac:dyDescent="0.3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4.25" customHeight="1" x14ac:dyDescent="0.3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4.25" customHeight="1" x14ac:dyDescent="0.3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4.25" customHeight="1" x14ac:dyDescent="0.3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4.25" customHeight="1" x14ac:dyDescent="0.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4.25" customHeight="1" x14ac:dyDescent="0.3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4.25" customHeight="1" x14ac:dyDescent="0.3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4.25" customHeight="1" x14ac:dyDescent="0.3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4.25" customHeight="1" x14ac:dyDescent="0.3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4.25" customHeight="1" x14ac:dyDescent="0.3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4.25" customHeight="1" x14ac:dyDescent="0.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4.25" customHeight="1" x14ac:dyDescent="0.3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4.25" customHeight="1" x14ac:dyDescent="0.3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4.25" customHeight="1" x14ac:dyDescent="0.3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4.25" customHeight="1" x14ac:dyDescent="0.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4.25" customHeight="1" x14ac:dyDescent="0.3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4.25" customHeight="1" x14ac:dyDescent="0.3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4.25" customHeight="1" x14ac:dyDescent="0.3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4.25" customHeight="1" x14ac:dyDescent="0.3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4.25" customHeight="1" x14ac:dyDescent="0.3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4.25" customHeight="1" x14ac:dyDescent="0.3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4.25" customHeight="1" x14ac:dyDescent="0.3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4.25" customHeight="1" x14ac:dyDescent="0.3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4.25" customHeight="1" x14ac:dyDescent="0.3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4.25" customHeight="1" x14ac:dyDescent="0.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4.25" customHeight="1" x14ac:dyDescent="0.3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4.25" customHeight="1" x14ac:dyDescent="0.3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4.25" customHeight="1" x14ac:dyDescent="0.3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4.25" customHeight="1" x14ac:dyDescent="0.3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4.25" customHeight="1" x14ac:dyDescent="0.3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4.25" customHeight="1" x14ac:dyDescent="0.3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4.25" customHeight="1" x14ac:dyDescent="0.3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4.25" customHeight="1" x14ac:dyDescent="0.3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4.25" customHeight="1" x14ac:dyDescent="0.3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4.25" customHeight="1" x14ac:dyDescent="0.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4.25" customHeight="1" x14ac:dyDescent="0.3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4.25" customHeight="1" x14ac:dyDescent="0.3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4.25" customHeight="1" x14ac:dyDescent="0.3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4.25" customHeight="1" x14ac:dyDescent="0.3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4.25" customHeight="1" x14ac:dyDescent="0.3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4.25" customHeight="1" x14ac:dyDescent="0.3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4.25" customHeight="1" x14ac:dyDescent="0.3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4.25" customHeight="1" x14ac:dyDescent="0.3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4.25" customHeight="1" x14ac:dyDescent="0.3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4.25" customHeight="1" x14ac:dyDescent="0.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4.25" customHeight="1" x14ac:dyDescent="0.3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4.25" customHeight="1" x14ac:dyDescent="0.3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4.25" customHeight="1" x14ac:dyDescent="0.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4.25" customHeight="1" x14ac:dyDescent="0.3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4.25" customHeight="1" x14ac:dyDescent="0.3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4.25" customHeight="1" x14ac:dyDescent="0.3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4.25" customHeight="1" x14ac:dyDescent="0.3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4.25" customHeight="1" x14ac:dyDescent="0.3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4.25" customHeight="1" x14ac:dyDescent="0.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4.25" customHeight="1" x14ac:dyDescent="0.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4.25" customHeight="1" x14ac:dyDescent="0.3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4.25" customHeight="1" x14ac:dyDescent="0.3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4.25" customHeight="1" x14ac:dyDescent="0.3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4.25" customHeight="1" x14ac:dyDescent="0.3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4.25" customHeight="1" x14ac:dyDescent="0.3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4.25" customHeight="1" x14ac:dyDescent="0.3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4.25" customHeight="1" x14ac:dyDescent="0.3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4.25" customHeight="1" x14ac:dyDescent="0.3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4.25" customHeight="1" x14ac:dyDescent="0.3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4.25" customHeight="1" x14ac:dyDescent="0.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4.25" customHeight="1" x14ac:dyDescent="0.3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4.25" customHeight="1" x14ac:dyDescent="0.3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4.25" customHeight="1" x14ac:dyDescent="0.3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4.25" customHeight="1" x14ac:dyDescent="0.3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4.25" customHeight="1" x14ac:dyDescent="0.3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4.25" customHeight="1" x14ac:dyDescent="0.3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4.25" customHeight="1" x14ac:dyDescent="0.3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4.25" customHeight="1" x14ac:dyDescent="0.3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4.25" customHeight="1" x14ac:dyDescent="0.3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4.25" customHeight="1" x14ac:dyDescent="0.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4.25" customHeight="1" x14ac:dyDescent="0.3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4.25" customHeight="1" x14ac:dyDescent="0.3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4.25" customHeight="1" x14ac:dyDescent="0.3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4.25" customHeight="1" x14ac:dyDescent="0.3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4.25" customHeight="1" x14ac:dyDescent="0.3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4.25" customHeight="1" x14ac:dyDescent="0.3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4.25" customHeight="1" x14ac:dyDescent="0.3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4.25" customHeight="1" x14ac:dyDescent="0.3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4.25" customHeight="1" x14ac:dyDescent="0.3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4.25" customHeight="1" x14ac:dyDescent="0.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4.25" customHeight="1" x14ac:dyDescent="0.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4.25" customHeight="1" x14ac:dyDescent="0.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4.25" customHeight="1" x14ac:dyDescent="0.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4.25" customHeight="1" x14ac:dyDescent="0.3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4.25" customHeight="1" x14ac:dyDescent="0.3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4.25" customHeight="1" x14ac:dyDescent="0.3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4.25" customHeight="1" x14ac:dyDescent="0.3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4.25" customHeight="1" x14ac:dyDescent="0.3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4.25" customHeight="1" x14ac:dyDescent="0.3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</sheetData>
  <mergeCells count="16">
    <mergeCell ref="C84:D84"/>
    <mergeCell ref="E84:F84"/>
    <mergeCell ref="G84:I84"/>
    <mergeCell ref="A7:K7"/>
    <mergeCell ref="A8:K8"/>
    <mergeCell ref="A9:K9"/>
    <mergeCell ref="B68:F68"/>
    <mergeCell ref="G82:I82"/>
    <mergeCell ref="C82:D82"/>
    <mergeCell ref="E82:F82"/>
    <mergeCell ref="B82:B83"/>
    <mergeCell ref="C83:D83"/>
    <mergeCell ref="E83:F83"/>
    <mergeCell ref="E33:I33"/>
    <mergeCell ref="E35:I37"/>
    <mergeCell ref="G83:I83"/>
  </mergeCells>
  <pageMargins left="0" right="0" top="0.35433070866141703" bottom="3.9370078740157501E-2" header="0" footer="0"/>
  <pageSetup paperSize="9" scale="99" orientation="portrait" r:id="rId1"/>
  <colBreaks count="1" manualBreakCount="1">
    <brk id="1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topLeftCell="A20" workbookViewId="0">
      <selection activeCell="D17" sqref="D17"/>
    </sheetView>
  </sheetViews>
  <sheetFormatPr defaultColWidth="14.44140625" defaultRowHeight="15" customHeight="1" x14ac:dyDescent="0.3"/>
  <cols>
    <col min="1" max="1" width="41.5546875" customWidth="1"/>
    <col min="2" max="2" width="8.6640625" customWidth="1"/>
    <col min="3" max="3" width="10" customWidth="1"/>
    <col min="4" max="4" width="12.21875" bestFit="1" customWidth="1"/>
    <col min="5" max="26" width="8.6640625" customWidth="1"/>
  </cols>
  <sheetData>
    <row r="1" spans="1:17" ht="14.25" customHeight="1" x14ac:dyDescent="0.3"/>
    <row r="2" spans="1:17" ht="14.25" customHeight="1" x14ac:dyDescent="0.3"/>
    <row r="3" spans="1:17" ht="14.25" customHeight="1" x14ac:dyDescent="0.3">
      <c r="Q3" s="183" t="s">
        <v>323</v>
      </c>
    </row>
    <row r="4" spans="1:17" ht="14.25" customHeight="1" x14ac:dyDescent="0.3">
      <c r="A4" s="98" t="s">
        <v>233</v>
      </c>
      <c r="B4" s="98" t="s">
        <v>26</v>
      </c>
      <c r="C4" s="98" t="s">
        <v>234</v>
      </c>
      <c r="D4" s="98" t="s">
        <v>235</v>
      </c>
      <c r="E4" s="98" t="s">
        <v>236</v>
      </c>
      <c r="F4" s="98" t="s">
        <v>237</v>
      </c>
      <c r="G4" s="99" t="s">
        <v>238</v>
      </c>
      <c r="H4" s="98" t="s">
        <v>239</v>
      </c>
      <c r="I4" s="99" t="s">
        <v>240</v>
      </c>
      <c r="J4" s="99" t="s">
        <v>324</v>
      </c>
      <c r="K4" s="98" t="s">
        <v>325</v>
      </c>
    </row>
    <row r="5" spans="1:17" ht="14.25" customHeight="1" x14ac:dyDescent="0.3">
      <c r="A5" s="100">
        <v>1</v>
      </c>
      <c r="B5" s="100">
        <v>2</v>
      </c>
      <c r="C5" s="100">
        <v>3</v>
      </c>
      <c r="D5" s="100">
        <v>4</v>
      </c>
      <c r="E5" s="100">
        <v>5</v>
      </c>
      <c r="F5" s="100">
        <v>6</v>
      </c>
      <c r="G5" s="100">
        <v>7</v>
      </c>
      <c r="H5" s="100">
        <v>8</v>
      </c>
      <c r="I5" s="100">
        <v>9</v>
      </c>
      <c r="J5" s="100">
        <v>10</v>
      </c>
      <c r="K5" s="100">
        <v>11</v>
      </c>
    </row>
    <row r="6" spans="1:17" ht="14.25" customHeight="1" x14ac:dyDescent="0.3">
      <c r="A6" s="101" t="s">
        <v>243</v>
      </c>
      <c r="B6" s="102" t="s">
        <v>53</v>
      </c>
      <c r="C6" s="102" t="s">
        <v>244</v>
      </c>
      <c r="D6" s="102">
        <v>6.25E-2</v>
      </c>
      <c r="E6" s="102">
        <v>1</v>
      </c>
      <c r="F6" s="102">
        <v>60</v>
      </c>
      <c r="G6" s="102">
        <f t="shared" ref="G6:G17" si="0">D6/E6</f>
        <v>6.25E-2</v>
      </c>
      <c r="H6" s="102">
        <v>1</v>
      </c>
      <c r="I6" s="102">
        <f t="shared" ref="I6:I17" si="1">G6*H6</f>
        <v>6.25E-2</v>
      </c>
      <c r="J6" s="102">
        <f t="shared" ref="J6:J17" si="2">I6^2</f>
        <v>3.90625E-3</v>
      </c>
      <c r="K6" s="102">
        <f t="shared" ref="K6:K17" si="3">I6^4/F6</f>
        <v>2.5431315104166666E-7</v>
      </c>
    </row>
    <row r="7" spans="1:17" ht="14.25" customHeight="1" x14ac:dyDescent="0.3">
      <c r="A7" s="103" t="s">
        <v>245</v>
      </c>
      <c r="B7" s="102" t="s">
        <v>53</v>
      </c>
      <c r="C7" s="105" t="s">
        <v>244</v>
      </c>
      <c r="D7" s="105">
        <v>1.2E-2</v>
      </c>
      <c r="E7" s="105">
        <v>2</v>
      </c>
      <c r="F7" s="105">
        <v>60</v>
      </c>
      <c r="G7" s="102">
        <f t="shared" si="0"/>
        <v>6.0000000000000001E-3</v>
      </c>
      <c r="H7" s="102">
        <v>0.7</v>
      </c>
      <c r="I7" s="102">
        <f t="shared" si="1"/>
        <v>4.1999999999999997E-3</v>
      </c>
      <c r="J7" s="102">
        <f t="shared" si="2"/>
        <v>1.7639999999999997E-5</v>
      </c>
      <c r="K7" s="102">
        <f t="shared" si="3"/>
        <v>5.1861599999999986E-12</v>
      </c>
    </row>
    <row r="8" spans="1:17" ht="14.25" customHeight="1" x14ac:dyDescent="0.3">
      <c r="A8" s="106" t="s">
        <v>326</v>
      </c>
      <c r="B8" s="102" t="s">
        <v>53</v>
      </c>
      <c r="C8" s="104" t="s">
        <v>244</v>
      </c>
      <c r="D8" s="104">
        <v>2.4E-2</v>
      </c>
      <c r="E8" s="104">
        <v>1</v>
      </c>
      <c r="F8" s="104">
        <v>4</v>
      </c>
      <c r="G8" s="104">
        <f t="shared" si="0"/>
        <v>2.4E-2</v>
      </c>
      <c r="H8" s="104">
        <v>1</v>
      </c>
      <c r="I8" s="104">
        <f t="shared" si="1"/>
        <v>2.4E-2</v>
      </c>
      <c r="J8" s="104">
        <f t="shared" si="2"/>
        <v>5.7600000000000001E-4</v>
      </c>
      <c r="K8" s="104">
        <f t="shared" si="3"/>
        <v>8.2944000000000005E-8</v>
      </c>
    </row>
    <row r="9" spans="1:17" ht="14.25" customHeight="1" x14ac:dyDescent="0.3">
      <c r="A9" s="106" t="s">
        <v>327</v>
      </c>
      <c r="B9" s="102" t="s">
        <v>53</v>
      </c>
      <c r="C9" s="107" t="s">
        <v>244</v>
      </c>
      <c r="D9" s="107">
        <v>1.2999999999999999E-2</v>
      </c>
      <c r="E9" s="107">
        <v>1</v>
      </c>
      <c r="F9" s="107">
        <v>4</v>
      </c>
      <c r="G9" s="104">
        <f t="shared" si="0"/>
        <v>1.2999999999999999E-2</v>
      </c>
      <c r="H9" s="107">
        <v>1</v>
      </c>
      <c r="I9" s="104">
        <f t="shared" si="1"/>
        <v>1.2999999999999999E-2</v>
      </c>
      <c r="J9" s="104">
        <f t="shared" si="2"/>
        <v>1.6899999999999999E-4</v>
      </c>
      <c r="K9" s="104">
        <f t="shared" si="3"/>
        <v>7.1402499999999992E-9</v>
      </c>
    </row>
    <row r="10" spans="1:17" ht="14.25" customHeight="1" x14ac:dyDescent="0.3">
      <c r="A10" s="106" t="s">
        <v>328</v>
      </c>
      <c r="B10" s="102" t="s">
        <v>53</v>
      </c>
      <c r="C10" s="107" t="s">
        <v>244</v>
      </c>
      <c r="D10" s="107">
        <f>0.08*$G$91</f>
        <v>0</v>
      </c>
      <c r="E10" s="107">
        <v>1</v>
      </c>
      <c r="F10" s="107">
        <v>4</v>
      </c>
      <c r="G10" s="104">
        <f t="shared" si="0"/>
        <v>0</v>
      </c>
      <c r="H10" s="107">
        <v>1</v>
      </c>
      <c r="I10" s="104">
        <f t="shared" si="1"/>
        <v>0</v>
      </c>
      <c r="J10" s="104">
        <f t="shared" si="2"/>
        <v>0</v>
      </c>
      <c r="K10" s="104">
        <f t="shared" si="3"/>
        <v>0</v>
      </c>
    </row>
    <row r="11" spans="1:17" ht="14.25" customHeight="1" x14ac:dyDescent="0.3">
      <c r="A11" s="106" t="s">
        <v>328</v>
      </c>
      <c r="B11" s="102" t="s">
        <v>53</v>
      </c>
      <c r="C11" s="107" t="s">
        <v>244</v>
      </c>
      <c r="D11" s="107">
        <f>0.08*$G$92</f>
        <v>0</v>
      </c>
      <c r="E11" s="107">
        <v>1</v>
      </c>
      <c r="F11" s="107">
        <v>4</v>
      </c>
      <c r="G11" s="104">
        <f t="shared" si="0"/>
        <v>0</v>
      </c>
      <c r="H11" s="107">
        <v>1</v>
      </c>
      <c r="I11" s="104">
        <f t="shared" si="1"/>
        <v>0</v>
      </c>
      <c r="J11" s="104">
        <f t="shared" si="2"/>
        <v>0</v>
      </c>
      <c r="K11" s="104">
        <f t="shared" si="3"/>
        <v>0</v>
      </c>
    </row>
    <row r="12" spans="1:17" ht="14.25" customHeight="1" x14ac:dyDescent="0.3">
      <c r="A12" s="106" t="s">
        <v>328</v>
      </c>
      <c r="B12" s="102" t="s">
        <v>53</v>
      </c>
      <c r="C12" s="107" t="s">
        <v>244</v>
      </c>
      <c r="D12" s="107">
        <f>0.08*$J$89</f>
        <v>0</v>
      </c>
      <c r="E12" s="107">
        <v>1</v>
      </c>
      <c r="F12" s="107">
        <v>4</v>
      </c>
      <c r="G12" s="104">
        <f t="shared" si="0"/>
        <v>0</v>
      </c>
      <c r="H12" s="107">
        <v>1</v>
      </c>
      <c r="I12" s="104">
        <f t="shared" si="1"/>
        <v>0</v>
      </c>
      <c r="J12" s="104">
        <f t="shared" si="2"/>
        <v>0</v>
      </c>
      <c r="K12" s="104">
        <f t="shared" si="3"/>
        <v>0</v>
      </c>
    </row>
    <row r="13" spans="1:17" ht="14.25" customHeight="1" x14ac:dyDescent="0.3">
      <c r="A13" s="108" t="s">
        <v>246</v>
      </c>
      <c r="B13" s="102" t="s">
        <v>53</v>
      </c>
      <c r="C13" s="107" t="s">
        <v>244</v>
      </c>
      <c r="D13" s="107">
        <v>4.0000000000000001E-3</v>
      </c>
      <c r="E13" s="107">
        <v>1</v>
      </c>
      <c r="F13" s="107">
        <v>4</v>
      </c>
      <c r="G13" s="104">
        <f t="shared" si="0"/>
        <v>4.0000000000000001E-3</v>
      </c>
      <c r="H13" s="107">
        <v>0.7</v>
      </c>
      <c r="I13" s="104">
        <f t="shared" si="1"/>
        <v>2.8E-3</v>
      </c>
      <c r="J13" s="104">
        <f t="shared" si="2"/>
        <v>7.8399999999999995E-6</v>
      </c>
      <c r="K13" s="104">
        <f t="shared" si="3"/>
        <v>1.5366399999999997E-11</v>
      </c>
    </row>
    <row r="14" spans="1:17" ht="14.25" customHeight="1" x14ac:dyDescent="0.3">
      <c r="A14" s="109" t="s">
        <v>247</v>
      </c>
      <c r="B14" s="102" t="s">
        <v>53</v>
      </c>
      <c r="C14" s="110" t="s">
        <v>244</v>
      </c>
      <c r="D14" s="111">
        <v>9.5000000000000001E-2</v>
      </c>
      <c r="E14" s="110">
        <v>1</v>
      </c>
      <c r="F14" s="110">
        <v>9</v>
      </c>
      <c r="G14" s="110">
        <f t="shared" si="0"/>
        <v>9.5000000000000001E-2</v>
      </c>
      <c r="H14" s="110">
        <v>1</v>
      </c>
      <c r="I14" s="110">
        <f t="shared" si="1"/>
        <v>9.5000000000000001E-2</v>
      </c>
      <c r="J14" s="110">
        <f t="shared" si="2"/>
        <v>9.025E-3</v>
      </c>
      <c r="K14" s="110">
        <f t="shared" si="3"/>
        <v>9.0500694444444438E-6</v>
      </c>
    </row>
    <row r="15" spans="1:17" ht="14.25" customHeight="1" x14ac:dyDescent="0.3">
      <c r="A15" s="109" t="s">
        <v>248</v>
      </c>
      <c r="B15" s="102" t="s">
        <v>53</v>
      </c>
      <c r="C15" s="110" t="s">
        <v>244</v>
      </c>
      <c r="D15" s="111">
        <v>0.19</v>
      </c>
      <c r="E15" s="110">
        <v>1</v>
      </c>
      <c r="F15" s="110">
        <v>9</v>
      </c>
      <c r="G15" s="110">
        <f t="shared" si="0"/>
        <v>0.19</v>
      </c>
      <c r="H15" s="110">
        <v>0.7</v>
      </c>
      <c r="I15" s="110">
        <f t="shared" si="1"/>
        <v>0.13299999999999998</v>
      </c>
      <c r="J15" s="110">
        <f t="shared" si="2"/>
        <v>1.7688999999999993E-2</v>
      </c>
      <c r="K15" s="110">
        <f t="shared" si="3"/>
        <v>3.4766746777777751E-5</v>
      </c>
    </row>
    <row r="16" spans="1:17" ht="14.25" customHeight="1" x14ac:dyDescent="0.3">
      <c r="A16" s="184" t="s">
        <v>249</v>
      </c>
      <c r="B16" s="102" t="s">
        <v>53</v>
      </c>
      <c r="C16" s="145" t="s">
        <v>250</v>
      </c>
      <c r="D16" s="145">
        <f>4.5*10^-9*440*0.114*55</f>
        <v>1.2414600000000001E-5</v>
      </c>
      <c r="E16" s="145">
        <v>1</v>
      </c>
      <c r="F16" s="145">
        <v>1000</v>
      </c>
      <c r="G16" s="145">
        <f t="shared" si="0"/>
        <v>1.2414600000000001E-5</v>
      </c>
      <c r="H16" s="145">
        <v>1</v>
      </c>
      <c r="I16" s="145">
        <f t="shared" si="1"/>
        <v>1.2414600000000001E-5</v>
      </c>
      <c r="J16" s="145">
        <f t="shared" si="2"/>
        <v>1.5412229316000003E-10</v>
      </c>
      <c r="K16" s="145">
        <f t="shared" si="3"/>
        <v>2.3753681248896992E-23</v>
      </c>
    </row>
    <row r="17" spans="1:11" ht="14.25" customHeight="1" x14ac:dyDescent="0.3">
      <c r="A17" s="106" t="s">
        <v>251</v>
      </c>
      <c r="B17" s="102" t="s">
        <v>53</v>
      </c>
      <c r="C17" s="104" t="s">
        <v>250</v>
      </c>
      <c r="D17" s="206">
        <f>IF(AND(J26&lt;10,J26&gt;=1),0.1/2,IF(AND(J26&lt;1,J26&gt;=0.1),0.01/2,IF(AND(J26&lt;0.1,J26&gt;=0.01),0.001/2,IF(AND(J26&lt;0.01,J26&gt;=0.0001),0.0001/2,0))))</f>
        <v>5.0000000000000001E-3</v>
      </c>
      <c r="E17" s="104">
        <f>SQRT(3)</f>
        <v>1.7320508075688772</v>
      </c>
      <c r="F17" s="104">
        <v>1000</v>
      </c>
      <c r="G17" s="104">
        <f t="shared" si="0"/>
        <v>2.886751345948129E-3</v>
      </c>
      <c r="H17" s="104">
        <v>1</v>
      </c>
      <c r="I17" s="104">
        <f t="shared" si="1"/>
        <v>2.886751345948129E-3</v>
      </c>
      <c r="J17" s="104">
        <f t="shared" si="2"/>
        <v>8.3333333333333337E-6</v>
      </c>
      <c r="K17" s="104">
        <f t="shared" si="3"/>
        <v>6.9444444444444449E-14</v>
      </c>
    </row>
    <row r="18" spans="1:11" ht="14.25" customHeight="1" x14ac:dyDescent="0.3">
      <c r="A18" s="112" t="s">
        <v>252</v>
      </c>
      <c r="B18" s="113"/>
      <c r="C18" s="113"/>
      <c r="D18" s="114"/>
      <c r="E18" s="113"/>
      <c r="F18" s="113"/>
      <c r="G18" s="113"/>
      <c r="H18" s="115"/>
      <c r="I18" s="116"/>
      <c r="J18" s="117">
        <f t="shared" ref="J18:K18" si="4">SUM(J6:J16)</f>
        <v>3.1390730154122283E-2</v>
      </c>
      <c r="K18" s="118">
        <f t="shared" si="4"/>
        <v>4.416123417582386E-5</v>
      </c>
    </row>
    <row r="19" spans="1:11" ht="14.25" customHeight="1" x14ac:dyDescent="0.3">
      <c r="A19" s="119" t="s">
        <v>252</v>
      </c>
      <c r="B19" s="120"/>
      <c r="C19" s="120"/>
      <c r="D19" s="121"/>
      <c r="E19" s="120"/>
      <c r="F19" s="120"/>
      <c r="G19" s="120"/>
      <c r="H19" s="122"/>
      <c r="I19" s="123"/>
      <c r="J19" s="124">
        <f t="shared" ref="J19:K19" si="5">SUM(J6:J17)</f>
        <v>3.1399063487455615E-2</v>
      </c>
      <c r="K19" s="102">
        <f t="shared" si="5"/>
        <v>4.4161234245268303E-5</v>
      </c>
    </row>
    <row r="20" spans="1:11" ht="14.25" customHeight="1" x14ac:dyDescent="0.3">
      <c r="A20" s="125" t="s">
        <v>253</v>
      </c>
      <c r="B20" s="126"/>
      <c r="C20" s="126"/>
      <c r="D20" s="127"/>
      <c r="E20" s="126"/>
      <c r="F20" s="126"/>
      <c r="G20" s="126"/>
      <c r="H20" s="128"/>
      <c r="I20" s="129"/>
      <c r="J20" s="130">
        <f t="shared" ref="J20:J21" si="6">SQRT(J18)</f>
        <v>0.17717429315259672</v>
      </c>
      <c r="K20" s="105"/>
    </row>
    <row r="21" spans="1:11" ht="14.25" customHeight="1" x14ac:dyDescent="0.3">
      <c r="A21" s="131" t="s">
        <v>253</v>
      </c>
      <c r="B21" s="132"/>
      <c r="C21" s="132"/>
      <c r="D21" s="133"/>
      <c r="E21" s="132"/>
      <c r="F21" s="132"/>
      <c r="G21" s="132"/>
      <c r="H21" s="134"/>
      <c r="I21" s="135"/>
      <c r="J21" s="136">
        <f t="shared" si="6"/>
        <v>0.17719780892396952</v>
      </c>
      <c r="K21" s="104"/>
    </row>
    <row r="22" spans="1:11" ht="14.25" customHeight="1" x14ac:dyDescent="0.3">
      <c r="A22" s="131" t="s">
        <v>254</v>
      </c>
      <c r="B22" s="132"/>
      <c r="C22" s="132"/>
      <c r="D22" s="133"/>
      <c r="E22" s="132"/>
      <c r="F22" s="132"/>
      <c r="G22" s="132"/>
      <c r="H22" s="134"/>
      <c r="I22" s="135"/>
      <c r="J22" s="136">
        <f t="shared" ref="J22:J23" si="7">(J20^4)/K18</f>
        <v>22.313188433224738</v>
      </c>
      <c r="K22" s="104"/>
    </row>
    <row r="23" spans="1:11" ht="14.25" customHeight="1" x14ac:dyDescent="0.3">
      <c r="A23" s="131" t="s">
        <v>254</v>
      </c>
      <c r="B23" s="132"/>
      <c r="C23" s="132"/>
      <c r="D23" s="133"/>
      <c r="E23" s="132"/>
      <c r="F23" s="132"/>
      <c r="G23" s="132"/>
      <c r="H23" s="134"/>
      <c r="I23" s="135"/>
      <c r="J23" s="136">
        <f t="shared" si="7"/>
        <v>22.325036986367827</v>
      </c>
      <c r="K23" s="104"/>
    </row>
    <row r="24" spans="1:11" ht="14.25" customHeight="1" x14ac:dyDescent="0.3">
      <c r="A24" s="131" t="s">
        <v>255</v>
      </c>
      <c r="B24" s="132"/>
      <c r="C24" s="132"/>
      <c r="D24" s="133"/>
      <c r="E24" s="132"/>
      <c r="F24" s="132"/>
      <c r="G24" s="132"/>
      <c r="H24" s="134"/>
      <c r="I24" s="135"/>
      <c r="J24" s="137">
        <f t="shared" ref="J24:J25" si="8">TINV(0.05,J22)</f>
        <v>2.0738730679040258</v>
      </c>
      <c r="K24" s="104"/>
    </row>
    <row r="25" spans="1:11" ht="14.25" customHeight="1" x14ac:dyDescent="0.3">
      <c r="A25" s="131" t="s">
        <v>255</v>
      </c>
      <c r="B25" s="132"/>
      <c r="C25" s="132"/>
      <c r="D25" s="133"/>
      <c r="E25" s="132"/>
      <c r="F25" s="132"/>
      <c r="G25" s="132"/>
      <c r="H25" s="134"/>
      <c r="I25" s="135"/>
      <c r="J25" s="137">
        <f t="shared" si="8"/>
        <v>2.0738730679040258</v>
      </c>
      <c r="K25" s="104"/>
    </row>
    <row r="26" spans="1:11" ht="14.25" customHeight="1" x14ac:dyDescent="0.3">
      <c r="A26" s="131" t="s">
        <v>256</v>
      </c>
      <c r="B26" s="132"/>
      <c r="C26" s="132"/>
      <c r="D26" s="133"/>
      <c r="E26" s="132"/>
      <c r="F26" s="132"/>
      <c r="G26" s="132"/>
      <c r="H26" s="134"/>
      <c r="I26" s="135"/>
      <c r="J26" s="138">
        <f t="shared" ref="J26:J27" si="9">J24*J20</f>
        <v>0.36743699489410298</v>
      </c>
      <c r="K26" s="104"/>
    </row>
    <row r="27" spans="1:11" ht="14.25" customHeight="1" x14ac:dyDescent="0.3">
      <c r="A27" s="139" t="s">
        <v>257</v>
      </c>
      <c r="B27" s="140"/>
      <c r="C27" s="140"/>
      <c r="D27" s="141"/>
      <c r="E27" s="140"/>
      <c r="F27" s="140"/>
      <c r="G27" s="140"/>
      <c r="H27" s="142"/>
      <c r="I27" s="143"/>
      <c r="J27" s="185">
        <f t="shared" si="9"/>
        <v>0.36748576361902402</v>
      </c>
      <c r="K27" s="145"/>
    </row>
    <row r="28" spans="1:11" ht="14.25" customHeight="1" x14ac:dyDescent="0.3">
      <c r="A28" s="112" t="s">
        <v>258</v>
      </c>
      <c r="B28" s="146"/>
      <c r="C28" s="146"/>
      <c r="D28" s="146"/>
      <c r="E28" s="146"/>
      <c r="F28" s="146"/>
      <c r="G28" s="146"/>
      <c r="H28" s="146"/>
      <c r="I28" s="146"/>
      <c r="J28" s="147"/>
      <c r="K28" s="148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E2</vt:lpstr>
      <vt:lpstr>Isi data</vt:lpstr>
      <vt:lpstr>Pooled STDV Repeatability  MC</vt:lpstr>
      <vt:lpstr>Koreksi themohygro rotronic 202</vt:lpstr>
      <vt:lpstr>U95 Beban</vt:lpstr>
      <vt:lpstr>Database</vt:lpstr>
      <vt:lpstr>Sertifikat</vt:lpstr>
      <vt:lpstr>Komparasi dengan CSIRO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drw1770</dc:creator>
  <cp:lastModifiedBy>Athalla Abhiyoga</cp:lastModifiedBy>
  <cp:lastPrinted>2026-01-22T05:17:21Z</cp:lastPrinted>
  <dcterms:created xsi:type="dcterms:W3CDTF">2022-04-27T09:33:00Z</dcterms:created>
  <dcterms:modified xsi:type="dcterms:W3CDTF">2026-01-26T02:49:18Z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47232675569D4D7DA5E853AA895FF55A_12</vt:lpwstr>
  </property>
  <property fmtid="{D5CDD505-2E9C-101B-9397-08002B2CF9AE}" pid="3" name="KSOProductBuildVer">
    <vt:lpwstr>1033-12.2.0.21546</vt:lpwstr>
  </property>
</Properties>
</file>