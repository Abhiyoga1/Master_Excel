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ustomStorage/customStorage.xml" ContentType="application/vnd.wps-officedocument.customStorag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e65d6d73070849b/Desktop/Latsar/Agenda 4/"/>
    </mc:Choice>
  </mc:AlternateContent>
  <xr:revisionPtr revIDLastSave="10253" documentId="8_{44A43AD8-6DB6-4B2E-8893-FAEC31A9A94F}" xr6:coauthVersionLast="47" xr6:coauthVersionMax="47" xr10:uidLastSave="{6AB3B9AE-4C6E-41A9-A456-ED1D0213BAF7}"/>
  <bookViews>
    <workbookView xWindow="-108" yWindow="-108" windowWidth="23256" windowHeight="12456" tabRatio="897" xr2:uid="{00000000-000D-0000-FFFF-FFFF00000000}"/>
  </bookViews>
  <sheets>
    <sheet name="FORM Baru" sheetId="128" r:id="rId1"/>
    <sheet name="U95" sheetId="102" r:id="rId2"/>
    <sheet name="Adjustment" sheetId="501" r:id="rId3"/>
    <sheet name="Sertifikat" sheetId="94" r:id="rId4"/>
    <sheet name="Sertifikat dengan Logo" sheetId="337" r:id="rId5"/>
    <sheet name="Database" sheetId="111" r:id="rId6"/>
    <sheet name="Koreksi themohygro rotronic 202" sheetId="95" r:id="rId7"/>
  </sheets>
  <definedNames>
    <definedName name="_xlnm.Print_Area" localSheetId="3">Sertifikat!$A$1:$K$154</definedName>
    <definedName name="_xlnm.Print_Area" localSheetId="4">'Sertifikat dengan Logo'!$A$1:$K$144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6" i="337" l="1"/>
  <c r="B115" i="337"/>
  <c r="B114" i="337"/>
  <c r="E113" i="337"/>
  <c r="C113" i="337"/>
  <c r="B113" i="337"/>
  <c r="B112" i="337"/>
  <c r="B111" i="337"/>
  <c r="B110" i="337"/>
  <c r="B109" i="337"/>
  <c r="B108" i="337"/>
  <c r="B107" i="337"/>
  <c r="B106" i="337"/>
  <c r="B105" i="337"/>
  <c r="B104" i="337"/>
  <c r="B103" i="337"/>
  <c r="G116" i="337"/>
  <c r="E116" i="337"/>
  <c r="C116" i="337"/>
  <c r="G115" i="337"/>
  <c r="E115" i="337"/>
  <c r="C115" i="337"/>
  <c r="G114" i="337"/>
  <c r="E114" i="337"/>
  <c r="C114" i="337"/>
  <c r="G113" i="337"/>
  <c r="G112" i="337"/>
  <c r="E112" i="337"/>
  <c r="C112" i="337"/>
  <c r="G111" i="337"/>
  <c r="E111" i="337"/>
  <c r="C111" i="337"/>
  <c r="G110" i="337"/>
  <c r="E110" i="337"/>
  <c r="C110" i="337"/>
  <c r="G109" i="337"/>
  <c r="E109" i="337"/>
  <c r="C109" i="337"/>
  <c r="G108" i="337"/>
  <c r="E108" i="337"/>
  <c r="C108" i="337"/>
  <c r="G107" i="337"/>
  <c r="E107" i="337"/>
  <c r="C107" i="337"/>
  <c r="G106" i="337"/>
  <c r="E106" i="337"/>
  <c r="C106" i="337"/>
  <c r="G105" i="337"/>
  <c r="E105" i="337"/>
  <c r="C105" i="337"/>
  <c r="G104" i="337"/>
  <c r="E104" i="337"/>
  <c r="C104" i="337"/>
  <c r="G103" i="337"/>
  <c r="E103" i="337"/>
  <c r="C103" i="337"/>
  <c r="K18" i="501"/>
  <c r="K20" i="501" l="1"/>
  <c r="D20" i="501"/>
  <c r="K19" i="501"/>
  <c r="D19" i="501"/>
  <c r="K9" i="501"/>
  <c r="D9" i="501"/>
  <c r="K8" i="501"/>
  <c r="D8" i="501"/>
  <c r="K7" i="501"/>
  <c r="L8" i="501" l="1"/>
  <c r="E8" i="501"/>
  <c r="E19" i="501"/>
  <c r="L19" i="501"/>
  <c r="B120" i="337"/>
  <c r="B85" i="337"/>
  <c r="G56" i="102"/>
  <c r="Q62" i="102"/>
  <c r="C56" i="102"/>
  <c r="K76" i="102" s="1"/>
  <c r="D63" i="337" l="1"/>
  <c r="D73" i="94"/>
  <c r="AH41" i="128"/>
  <c r="AH42" i="128"/>
  <c r="AK42" i="128" s="1"/>
  <c r="AI36" i="128"/>
  <c r="AH49" i="128"/>
  <c r="AH50" i="128"/>
  <c r="AH44" i="128"/>
  <c r="AH45" i="128"/>
  <c r="AH46" i="128"/>
  <c r="H42" i="337" s="1"/>
  <c r="AH47" i="128"/>
  <c r="AH48" i="128"/>
  <c r="AH10" i="128"/>
  <c r="AH11" i="128"/>
  <c r="E32" i="337" s="1"/>
  <c r="AH12" i="128"/>
  <c r="AH13" i="128"/>
  <c r="E35" i="94" s="1"/>
  <c r="AH14" i="128"/>
  <c r="AH15" i="128"/>
  <c r="D67" i="337" s="1"/>
  <c r="AH16" i="128"/>
  <c r="AH17" i="128"/>
  <c r="AH18" i="128"/>
  <c r="AH19" i="128"/>
  <c r="AH20" i="128"/>
  <c r="AH21" i="128"/>
  <c r="E21" i="94" s="1"/>
  <c r="AH22" i="128"/>
  <c r="AH23" i="128"/>
  <c r="E25" i="94" s="1"/>
  <c r="AH24" i="128"/>
  <c r="AH25" i="128"/>
  <c r="G27" i="94" s="1"/>
  <c r="D72" i="94" s="1"/>
  <c r="AH26" i="128"/>
  <c r="AH27" i="128"/>
  <c r="AH28" i="128"/>
  <c r="E22" i="337" s="1"/>
  <c r="AH29" i="128"/>
  <c r="D65" i="337" s="1"/>
  <c r="AH30" i="128"/>
  <c r="AH31" i="128"/>
  <c r="D66" i="337" s="1"/>
  <c r="AH32" i="128"/>
  <c r="AH33" i="128"/>
  <c r="AH34" i="128"/>
  <c r="AH35" i="128"/>
  <c r="B136" i="94" s="1"/>
  <c r="AH36" i="128"/>
  <c r="AH37" i="128"/>
  <c r="AH38" i="128"/>
  <c r="B8" i="337" s="1"/>
  <c r="F53" i="337" s="1"/>
  <c r="AH39" i="128"/>
  <c r="AH40" i="128"/>
  <c r="AH43" i="128"/>
  <c r="AH9" i="128"/>
  <c r="F54" i="337" s="1"/>
  <c r="C14" i="501" l="1"/>
  <c r="E12" i="501"/>
  <c r="F12" i="501" s="1"/>
  <c r="P16" i="501" s="1"/>
  <c r="C13" i="501"/>
  <c r="AJ44" i="128"/>
  <c r="AK44" i="128"/>
  <c r="D79" i="94"/>
  <c r="C2" i="501"/>
  <c r="C3" i="501"/>
  <c r="B7" i="501" s="1"/>
  <c r="B8" i="501" s="1"/>
  <c r="E1" i="501"/>
  <c r="F1" i="501" s="1"/>
  <c r="P5" i="501" s="1"/>
  <c r="D60" i="337"/>
  <c r="E23" i="94"/>
  <c r="AJ42" i="128"/>
  <c r="B104" i="94"/>
  <c r="A9" i="94"/>
  <c r="E73" i="337"/>
  <c r="F113" i="94"/>
  <c r="E114" i="94"/>
  <c r="E115" i="94"/>
  <c r="F114" i="94"/>
  <c r="E113" i="94"/>
  <c r="F115" i="94"/>
  <c r="E24" i="337"/>
  <c r="D61" i="337" s="1"/>
  <c r="D70" i="94"/>
  <c r="D69" i="94"/>
  <c r="H43" i="94"/>
  <c r="D76" i="94"/>
  <c r="D75" i="94"/>
  <c r="G26" i="337"/>
  <c r="D62" i="337" s="1"/>
  <c r="E20" i="337"/>
  <c r="D59" i="337"/>
  <c r="E18" i="337"/>
  <c r="E19" i="94"/>
  <c r="D77" i="94"/>
  <c r="E34" i="337"/>
  <c r="E33" i="94"/>
  <c r="F63" i="94"/>
  <c r="F98" i="337"/>
  <c r="F99" i="337"/>
  <c r="F55" i="337"/>
  <c r="F64" i="94"/>
  <c r="H40" i="94"/>
  <c r="AI42" i="128"/>
  <c r="AI44" i="128"/>
  <c r="E84" i="337"/>
  <c r="E81" i="337"/>
  <c r="C81" i="337"/>
  <c r="E79" i="337"/>
  <c r="C79" i="337"/>
  <c r="E77" i="337"/>
  <c r="C77" i="337"/>
  <c r="E85" i="337"/>
  <c r="C84" i="337"/>
  <c r="E83" i="337"/>
  <c r="C83" i="337"/>
  <c r="C82" i="337"/>
  <c r="C80" i="337"/>
  <c r="E78" i="337"/>
  <c r="E76" i="337"/>
  <c r="E75" i="337"/>
  <c r="C74" i="337"/>
  <c r="C78" i="337"/>
  <c r="C76" i="337"/>
  <c r="C73" i="337"/>
  <c r="C75" i="337"/>
  <c r="E80" i="337"/>
  <c r="C85" i="337"/>
  <c r="E74" i="337"/>
  <c r="B101" i="337"/>
  <c r="G101" i="337"/>
  <c r="C54" i="102"/>
  <c r="E82" i="337"/>
  <c r="G102" i="337"/>
  <c r="E101" i="337"/>
  <c r="E102" i="337"/>
  <c r="C101" i="337"/>
  <c r="C102" i="337"/>
  <c r="B74" i="337"/>
  <c r="B75" i="337"/>
  <c r="B76" i="337"/>
  <c r="B77" i="337"/>
  <c r="B78" i="337"/>
  <c r="B79" i="337"/>
  <c r="B80" i="337"/>
  <c r="B81" i="337"/>
  <c r="B82" i="337"/>
  <c r="B83" i="337"/>
  <c r="B84" i="337"/>
  <c r="B73" i="337"/>
  <c r="B105" i="94" l="1"/>
  <c r="R16" i="501"/>
  <c r="J13" i="501"/>
  <c r="R5" i="501"/>
  <c r="J2" i="501"/>
  <c r="F8" i="501"/>
  <c r="Q5" i="501" s="1"/>
  <c r="D80" i="94" s="1"/>
  <c r="J3" i="501"/>
  <c r="B18" i="501"/>
  <c r="B19" i="501" s="1"/>
  <c r="J14" i="501"/>
  <c r="F19" i="501"/>
  <c r="Q16" i="501" s="1"/>
  <c r="D81" i="94" s="1"/>
  <c r="I7" i="501"/>
  <c r="I8" i="501" s="1"/>
  <c r="M8" i="501"/>
  <c r="B88" i="337"/>
  <c r="B121" i="337"/>
  <c r="B87" i="337"/>
  <c r="D58" i="337"/>
  <c r="D71" i="94"/>
  <c r="I18" i="501" l="1"/>
  <c r="I19" i="501" s="1"/>
  <c r="M19" i="501"/>
  <c r="E99" i="337"/>
  <c r="F97" i="337"/>
  <c r="E97" i="337"/>
  <c r="E98" i="337"/>
  <c r="H39" i="337"/>
  <c r="D45" i="102" l="1"/>
  <c r="D39" i="102" l="1"/>
  <c r="D37" i="102"/>
  <c r="D35" i="102"/>
  <c r="D33" i="102"/>
  <c r="D31" i="102"/>
  <c r="D29" i="102"/>
  <c r="D27" i="102"/>
  <c r="D25" i="102"/>
  <c r="D23" i="102"/>
  <c r="D21" i="102"/>
  <c r="D43" i="102" l="1"/>
  <c r="G62" i="102" s="1"/>
  <c r="D41" i="102"/>
  <c r="F62" i="94"/>
  <c r="D68" i="94"/>
  <c r="D49" i="102" l="1"/>
  <c r="E62" i="102" s="1"/>
  <c r="C15" i="102"/>
  <c r="D47" i="102" s="1"/>
  <c r="C16" i="102"/>
  <c r="G74" i="337" l="1"/>
  <c r="G84" i="337"/>
  <c r="G82" i="337"/>
  <c r="G77" i="337"/>
  <c r="G85" i="337"/>
  <c r="G83" i="337"/>
  <c r="G81" i="337"/>
  <c r="G73" i="337"/>
  <c r="G80" i="337"/>
  <c r="G78" i="337"/>
  <c r="G79" i="337"/>
  <c r="G76" i="337"/>
  <c r="G75" i="337"/>
  <c r="E61" i="102"/>
  <c r="D4" i="95"/>
  <c r="D3" i="95"/>
  <c r="C4" i="95"/>
  <c r="C3" i="95"/>
  <c r="F65" i="102"/>
  <c r="C55" i="102"/>
  <c r="C7" i="102"/>
  <c r="F56" i="102" l="1"/>
  <c r="E64" i="102"/>
  <c r="H64" i="102" s="1"/>
  <c r="J64" i="102" s="1"/>
  <c r="K64" i="102" s="1"/>
  <c r="H61" i="102"/>
  <c r="L64" i="102" l="1"/>
  <c r="E63" i="102"/>
  <c r="H63" i="102" s="1"/>
  <c r="J63" i="102" s="1"/>
  <c r="K63" i="102" s="1"/>
  <c r="J61" i="102"/>
  <c r="K61" i="102" s="1"/>
  <c r="C10" i="102"/>
  <c r="E10" i="102" s="1"/>
  <c r="H66" i="337" s="1"/>
  <c r="E9" i="102"/>
  <c r="E8" i="102"/>
  <c r="C4" i="102"/>
  <c r="I76" i="94" l="1"/>
  <c r="L63" i="102"/>
  <c r="L61" i="102"/>
  <c r="H62" i="102" l="1"/>
  <c r="J62" i="102" s="1"/>
  <c r="K62" i="102" l="1"/>
  <c r="K66" i="102" s="1"/>
  <c r="K68" i="102" s="1"/>
  <c r="L62" i="102"/>
  <c r="L66" i="102" s="1"/>
  <c r="K70" i="102" l="1"/>
  <c r="K72" i="102" s="1"/>
  <c r="K74" i="102" s="1"/>
  <c r="E65" i="102" s="1"/>
  <c r="H65" i="102" l="1"/>
  <c r="J65" i="102" s="1"/>
  <c r="D5" i="95"/>
  <c r="C5" i="95"/>
  <c r="L65" i="102" l="1"/>
  <c r="K65" i="102"/>
  <c r="D6" i="95"/>
  <c r="D8" i="95"/>
  <c r="C8" i="95"/>
  <c r="C9" i="95" s="1"/>
  <c r="C6" i="95"/>
  <c r="C10" i="95" l="1"/>
  <c r="H64" i="337" s="1"/>
  <c r="D10" i="95"/>
  <c r="H65" i="337" s="1"/>
  <c r="D7" i="95"/>
  <c r="D9" i="95" s="1"/>
  <c r="I75" i="94" l="1"/>
  <c r="I74" i="94"/>
  <c r="L67" i="102"/>
  <c r="K67" i="102"/>
  <c r="K69" i="102" s="1"/>
  <c r="K71" i="102" l="1"/>
  <c r="K73" i="102" s="1"/>
  <c r="K75" i="102" s="1"/>
  <c r="S62" i="102" s="1"/>
  <c r="R62" i="10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Rayhan</author>
  </authors>
  <commentList>
    <comment ref="B136" authorId="0" shapeId="0" xr:uid="{8348956E-750A-4F96-9E29-4D8F085911E7}">
      <text>
        <r>
          <rPr>
            <b/>
            <sz val="9"/>
            <color indexed="81"/>
            <rFont val="Tahoma"/>
            <family val="2"/>
          </rPr>
          <t>Rayhan:</t>
        </r>
        <r>
          <rPr>
            <sz val="9"/>
            <color indexed="81"/>
            <rFont val="Tahoma"/>
            <family val="2"/>
          </rPr>
          <t xml:space="preserve">
catatan harus dependent dengan back end form
</t>
        </r>
      </text>
    </comment>
  </commentList>
</comments>
</file>

<file path=xl/sharedStrings.xml><?xml version="1.0" encoding="utf-8"?>
<sst xmlns="http://schemas.openxmlformats.org/spreadsheetml/2006/main" count="527" uniqueCount="314">
  <si>
    <t>Class F1</t>
  </si>
  <si>
    <t>Class F2</t>
  </si>
  <si>
    <t>Class M1</t>
  </si>
  <si>
    <t>Class M2</t>
  </si>
  <si>
    <t>Class M3</t>
  </si>
  <si>
    <t>500 g</t>
  </si>
  <si>
    <t>200 g</t>
  </si>
  <si>
    <t>100 g</t>
  </si>
  <si>
    <t>50 g</t>
  </si>
  <si>
    <t>20 g</t>
  </si>
  <si>
    <t>5 g</t>
  </si>
  <si>
    <t>2 g</t>
  </si>
  <si>
    <t>1 g</t>
  </si>
  <si>
    <t>-</t>
  </si>
  <si>
    <t>Nominal 
(g)</t>
  </si>
  <si>
    <t>S E R T I F I K A T    K A L I B R A S I</t>
  </si>
  <si>
    <t>C A L I B R A T I O N    C E R T I F I C A T E</t>
  </si>
  <si>
    <t>IDENTITAS ALAT</t>
  </si>
  <si>
    <t>INSTRUMENT DETAILS</t>
  </si>
  <si>
    <t>Nama Alat</t>
  </si>
  <si>
    <r>
      <rPr>
        <i/>
        <sz val="8"/>
        <color rgb="FF000000"/>
        <rFont val="Bookman Old Style"/>
        <family val="1"/>
      </rPr>
      <t>Instrument Name</t>
    </r>
    <r>
      <rPr>
        <sz val="11"/>
        <color rgb="FF000000"/>
        <rFont val="Bookman Old Style"/>
        <family val="1"/>
      </rPr>
      <t xml:space="preserve"> </t>
    </r>
  </si>
  <si>
    <r>
      <rPr>
        <sz val="11"/>
        <color rgb="FF000000"/>
        <rFont val="Bookman Old Style"/>
        <family val="1"/>
      </rPr>
      <t>Merek</t>
    </r>
    <r>
      <rPr>
        <i/>
        <sz val="8"/>
        <color rgb="FF000000"/>
        <rFont val="Bookman Old Style"/>
        <family val="1"/>
      </rPr>
      <t xml:space="preserve"> </t>
    </r>
  </si>
  <si>
    <t>Brand</t>
  </si>
  <si>
    <t>Tipe</t>
  </si>
  <si>
    <t xml:space="preserve">Type </t>
  </si>
  <si>
    <t>Nomor Identifikasi</t>
  </si>
  <si>
    <t>Identification Number</t>
  </si>
  <si>
    <t xml:space="preserve">Nomor Seri </t>
  </si>
  <si>
    <t>Serial Number</t>
  </si>
  <si>
    <t>Lain-lain</t>
  </si>
  <si>
    <t>Others</t>
  </si>
  <si>
    <t>IDENTITAS PEMILIK</t>
  </si>
  <si>
    <t>Owner’s Identification</t>
  </si>
  <si>
    <r>
      <rPr>
        <sz val="11"/>
        <color rgb="FF000000"/>
        <rFont val="Bookman Old Style"/>
        <family val="1"/>
      </rPr>
      <t>Nama</t>
    </r>
    <r>
      <rPr>
        <i/>
        <sz val="8"/>
        <color rgb="FF000000"/>
        <rFont val="Bookman Old Style"/>
        <family val="1"/>
      </rPr>
      <t xml:space="preserve"> </t>
    </r>
  </si>
  <si>
    <t>Designation</t>
  </si>
  <si>
    <r>
      <rPr>
        <sz val="11"/>
        <color rgb="FF000000"/>
        <rFont val="Bookman Old Style"/>
        <family val="1"/>
      </rPr>
      <t>Alamat</t>
    </r>
    <r>
      <rPr>
        <i/>
        <sz val="8"/>
        <color rgb="FF000000"/>
        <rFont val="Bookman Old Style"/>
        <family val="1"/>
      </rPr>
      <t xml:space="preserve"> </t>
    </r>
  </si>
  <si>
    <t>Address</t>
  </si>
  <si>
    <t>Page          of            page</t>
  </si>
  <si>
    <t>Date of Issue</t>
  </si>
  <si>
    <t>Nomor</t>
  </si>
  <si>
    <t>No. Order</t>
  </si>
  <si>
    <t>Halaman</t>
  </si>
  <si>
    <t>SPESIFIKASI ALAT</t>
  </si>
  <si>
    <t>Nama</t>
  </si>
  <si>
    <t>Merk / Tipe</t>
  </si>
  <si>
    <t xml:space="preserve">No. Identifikasi </t>
  </si>
  <si>
    <t>No. Seri</t>
  </si>
  <si>
    <t xml:space="preserve">Kapasitas </t>
  </si>
  <si>
    <t>Kecermatan</t>
  </si>
  <si>
    <t>Kondisi ruang</t>
  </si>
  <si>
    <t>Prosedur Kalibrasi</t>
  </si>
  <si>
    <t>: CSIRO 2010</t>
  </si>
  <si>
    <t>Temperatur</t>
  </si>
  <si>
    <t>Tanggal Terima</t>
  </si>
  <si>
    <t>Tanggal Kalibrasi</t>
  </si>
  <si>
    <t>Tekanan</t>
  </si>
  <si>
    <t>Lokasi Alat</t>
  </si>
  <si>
    <t>HASIL KALIBRASI</t>
  </si>
  <si>
    <t>No.</t>
  </si>
  <si>
    <t>Nilai Nominal</t>
  </si>
  <si>
    <t>Massa konvensional</t>
  </si>
  <si>
    <t>Ketidakpastian U95% (k=2)</t>
  </si>
  <si>
    <t>( g )</t>
  </si>
  <si>
    <t>( mg )</t>
  </si>
  <si>
    <t>M1</t>
  </si>
  <si>
    <t>TABEL MPE OIML R111-1</t>
  </si>
  <si>
    <t>Massa konvensional 
(g)</t>
  </si>
  <si>
    <t>U95 
(mg)</t>
  </si>
  <si>
    <t>Identitas</t>
  </si>
  <si>
    <r>
      <rPr>
        <b/>
        <sz val="10"/>
        <rFont val="Arial"/>
        <family val="2"/>
      </rPr>
      <t>Class E</t>
    </r>
    <r>
      <rPr>
        <b/>
        <sz val="9"/>
        <rFont val="Arial"/>
        <family val="2"/>
      </rPr>
      <t>1</t>
    </r>
  </si>
  <si>
    <r>
      <rPr>
        <b/>
        <sz val="10"/>
        <rFont val="Arial"/>
        <family val="2"/>
      </rPr>
      <t>Class E</t>
    </r>
    <r>
      <rPr>
        <b/>
        <sz val="9"/>
        <rFont val="Arial"/>
        <family val="2"/>
      </rPr>
      <t>2</t>
    </r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</si>
  <si>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</si>
  <si>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</si>
  <si>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</si>
  <si>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</si>
  <si>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</si>
  <si>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</si>
  <si>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</si>
  <si>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</si>
  <si>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</si>
  <si>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</si>
  <si>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</si>
  <si>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</si>
  <si>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</si>
  <si>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</si>
  <si>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</si>
  <si>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20LZ1</t>
  </si>
  <si>
    <t>10LZ1</t>
  </si>
  <si>
    <t>5A</t>
  </si>
  <si>
    <t>10A</t>
  </si>
  <si>
    <t>ISI DATA</t>
  </si>
  <si>
    <t>A</t>
  </si>
  <si>
    <t>Satuan</t>
  </si>
  <si>
    <t>B</t>
  </si>
  <si>
    <t>C</t>
  </si>
  <si>
    <t>Pemilik Alat</t>
  </si>
  <si>
    <t>D</t>
  </si>
  <si>
    <t>Alamat Pemilik Alat</t>
  </si>
  <si>
    <t>E</t>
  </si>
  <si>
    <t>F</t>
  </si>
  <si>
    <t>Nama  Alat</t>
  </si>
  <si>
    <t>G</t>
  </si>
  <si>
    <t xml:space="preserve">Merk </t>
  </si>
  <si>
    <t>H</t>
  </si>
  <si>
    <t>I</t>
  </si>
  <si>
    <t xml:space="preserve">Temperatur Awal </t>
  </si>
  <si>
    <t xml:space="preserve">°C </t>
  </si>
  <si>
    <t>Temperatur Akhir</t>
  </si>
  <si>
    <t>Temperatur rata2</t>
  </si>
  <si>
    <t>Kelembaban Awal</t>
  </si>
  <si>
    <t>%RH</t>
  </si>
  <si>
    <t>Kelembaban Akhir</t>
  </si>
  <si>
    <t>Kelembapan rata2</t>
  </si>
  <si>
    <t>Tekanan awal</t>
  </si>
  <si>
    <t>hPa</t>
  </si>
  <si>
    <t>mmHg</t>
  </si>
  <si>
    <t xml:space="preserve">1 hPa </t>
  </si>
  <si>
    <t>Tekanan akhir</t>
  </si>
  <si>
    <t>Tekanan rata2</t>
  </si>
  <si>
    <t>g</t>
  </si>
  <si>
    <t>No. Seri Mass comp</t>
  </si>
  <si>
    <t>Kalibrator</t>
  </si>
  <si>
    <t>`</t>
  </si>
  <si>
    <t>Massa standard</t>
  </si>
  <si>
    <t xml:space="preserve">U95 standard </t>
  </si>
  <si>
    <t>mg</t>
  </si>
  <si>
    <t>dm</t>
  </si>
  <si>
    <t>r1</t>
  </si>
  <si>
    <t>t1</t>
  </si>
  <si>
    <t>t2</t>
  </si>
  <si>
    <t>r2</t>
  </si>
  <si>
    <t>r3</t>
  </si>
  <si>
    <t>t3</t>
  </si>
  <si>
    <t>t4</t>
  </si>
  <si>
    <t>r4</t>
  </si>
  <si>
    <t>r5</t>
  </si>
  <si>
    <t>t5</t>
  </si>
  <si>
    <t>t6</t>
  </si>
  <si>
    <t>r6</t>
  </si>
  <si>
    <t>r7</t>
  </si>
  <si>
    <t>t7</t>
  </si>
  <si>
    <t>t8</t>
  </si>
  <si>
    <t>r8</t>
  </si>
  <si>
    <t>r9</t>
  </si>
  <si>
    <t>t9</t>
  </si>
  <si>
    <t>t10</t>
  </si>
  <si>
    <t>r10</t>
  </si>
  <si>
    <t>Mean</t>
  </si>
  <si>
    <t>S_res</t>
  </si>
  <si>
    <t>Mt</t>
  </si>
  <si>
    <t>UNCERTAINTY BUDGET SEBAGAI PENDUKUNG KLAIM BMC</t>
  </si>
  <si>
    <t xml:space="preserve">Besaran yang diukur : </t>
  </si>
  <si>
    <t>Massa</t>
  </si>
  <si>
    <t>Jenis alat yang dikalibrasi :</t>
  </si>
  <si>
    <t>Standar yang digunakan :</t>
  </si>
  <si>
    <t>Titik  Ukur :</t>
  </si>
  <si>
    <t xml:space="preserve">Model matematis   :               Mt= Ms +dm dengan Mt= massa massa konvensional yang dikalibrasi Ms = massa standar dm= koreksi alat </t>
  </si>
  <si>
    <t>Komponen</t>
  </si>
  <si>
    <t>Distribusi</t>
  </si>
  <si>
    <t>U</t>
  </si>
  <si>
    <t>Pembagi</t>
  </si>
  <si>
    <t>vi</t>
  </si>
  <si>
    <t>ui</t>
  </si>
  <si>
    <t>ci</t>
  </si>
  <si>
    <t>uici</t>
  </si>
  <si>
    <r>
      <rPr>
        <b/>
        <sz val="10"/>
        <rFont val="Times New Roman"/>
        <family val="1"/>
      </rPr>
      <t>(uici)</t>
    </r>
    <r>
      <rPr>
        <b/>
        <vertAlign val="superscript"/>
        <sz val="10"/>
        <rFont val="Times New Roman"/>
        <family val="1"/>
      </rPr>
      <t>2</t>
    </r>
  </si>
  <si>
    <r>
      <rPr>
        <b/>
        <sz val="10"/>
        <rFont val="Times New Roman"/>
        <family val="1"/>
      </rPr>
      <t>(uici)</t>
    </r>
    <r>
      <rPr>
        <b/>
        <vertAlign val="superscript"/>
        <sz val="10"/>
        <rFont val="Times New Roman"/>
        <family val="1"/>
      </rPr>
      <t>4</t>
    </r>
    <r>
      <rPr>
        <b/>
        <sz val="10"/>
        <rFont val="Times New Roman"/>
        <family val="1"/>
      </rPr>
      <t>/vi</t>
    </r>
  </si>
  <si>
    <t>Standar</t>
  </si>
  <si>
    <t>Normal</t>
  </si>
  <si>
    <t>Repeatability</t>
  </si>
  <si>
    <t>Rectangular</t>
  </si>
  <si>
    <t>Rounding</t>
  </si>
  <si>
    <t>Instability</t>
  </si>
  <si>
    <t>Buoyancy</t>
  </si>
  <si>
    <t>Sums</t>
  </si>
  <si>
    <t>Ketidakpastian baku gabungan, uc, mg</t>
  </si>
  <si>
    <t>Dearajat kebebasan efektif, veff</t>
  </si>
  <si>
    <t>Faktor cakupan, k-student for veff and CL 95%</t>
  </si>
  <si>
    <t>Ketidakpastian bentangan, U = kuc, mg</t>
  </si>
  <si>
    <t>KAN</t>
  </si>
  <si>
    <r>
      <rPr>
        <sz val="10"/>
        <color rgb="FF000000"/>
        <rFont val="Calibri"/>
        <family val="2"/>
        <scheme val="minor"/>
      </rPr>
      <t>Suhu (</t>
    </r>
    <r>
      <rPr>
        <sz val="10"/>
        <color rgb="FF000000"/>
        <rFont val="Calibri"/>
        <family val="2"/>
      </rPr>
      <t>°</t>
    </r>
    <r>
      <rPr>
        <sz val="8.5"/>
        <color rgb="FF000000"/>
        <rFont val="Calibri"/>
        <family val="2"/>
      </rPr>
      <t>C)</t>
    </r>
  </si>
  <si>
    <t>Thermohygro Rotronic data 2025</t>
  </si>
  <si>
    <t>Awal</t>
  </si>
  <si>
    <t>Koreksi suhu</t>
  </si>
  <si>
    <t xml:space="preserve">Koreksi RH </t>
  </si>
  <si>
    <t>Akhir</t>
  </si>
  <si>
    <t>T (°C)</t>
  </si>
  <si>
    <t xml:space="preserve">Koreksi  </t>
  </si>
  <si>
    <t>U95</t>
  </si>
  <si>
    <t>RH (%)</t>
  </si>
  <si>
    <t>Rata2</t>
  </si>
  <si>
    <t>Terkoreksi</t>
  </si>
  <si>
    <t>Fluktuasi suhu</t>
  </si>
  <si>
    <t>Flu+U95</t>
  </si>
  <si>
    <t>Kondisi Ruang</t>
  </si>
  <si>
    <t>Anak Timbangan</t>
  </si>
  <si>
    <t>Kelembaban</t>
  </si>
  <si>
    <t xml:space="preserve">Titik Ukur </t>
  </si>
  <si>
    <t xml:space="preserve">Kalibrator </t>
  </si>
  <si>
    <t xml:space="preserve">No S/N Timbangan </t>
  </si>
  <si>
    <t xml:space="preserve">E2 </t>
  </si>
  <si>
    <t xml:space="preserve">E2 METTLER TOLEDO </t>
  </si>
  <si>
    <t>Nominal Value (g)</t>
  </si>
  <si>
    <t>50000 g</t>
  </si>
  <si>
    <t>20000 g</t>
  </si>
  <si>
    <t>10000 g</t>
  </si>
  <si>
    <t>5000 g</t>
  </si>
  <si>
    <t>2000 g</t>
  </si>
  <si>
    <t>1000 g</t>
  </si>
  <si>
    <t>10 g</t>
  </si>
  <si>
    <t>0,5 g</t>
  </si>
  <si>
    <t>0,2 g</t>
  </si>
  <si>
    <t>0,1 g</t>
  </si>
  <si>
    <t>0,05 g</t>
  </si>
  <si>
    <t>0,02 g</t>
  </si>
  <si>
    <t>0,01 g</t>
  </si>
  <si>
    <t>0,005 g</t>
  </si>
  <si>
    <t>0,002 g</t>
  </si>
  <si>
    <t>0,001 g</t>
  </si>
  <si>
    <t xml:space="preserve">F1 </t>
  </si>
  <si>
    <t>Resolusi timbangan</t>
  </si>
  <si>
    <t>Rounding ketidakpastian bentangan, U = kuc, mg</t>
  </si>
  <si>
    <t xml:space="preserve">Nominal </t>
  </si>
  <si>
    <t>2000t</t>
  </si>
  <si>
    <t>200t</t>
  </si>
  <si>
    <t>20t</t>
  </si>
  <si>
    <t>2t</t>
  </si>
  <si>
    <t>0,02t</t>
  </si>
  <si>
    <t>0,002t</t>
  </si>
  <si>
    <t>Kapasitas</t>
  </si>
  <si>
    <t xml:space="preserve">CMC KAN </t>
  </si>
  <si>
    <t>G982106</t>
  </si>
  <si>
    <t>0,2t</t>
  </si>
  <si>
    <t xml:space="preserve">Merek </t>
  </si>
  <si>
    <t>Kern Germany</t>
  </si>
  <si>
    <t>YCS</t>
  </si>
  <si>
    <t>YCS-01-653-00</t>
  </si>
  <si>
    <t>Mettler Toledo</t>
  </si>
  <si>
    <t xml:space="preserve">AT Standar </t>
  </si>
  <si>
    <t>Resolusi Mass Comp</t>
  </si>
  <si>
    <t>Terkalibrasi</t>
  </si>
  <si>
    <t>Merek Timbangan</t>
  </si>
  <si>
    <t>Sartorius MC 210 P (R1)</t>
  </si>
  <si>
    <t>Sartorius LC 5101 S</t>
  </si>
  <si>
    <t xml:space="preserve">AND MC-30 K </t>
  </si>
  <si>
    <t>Penguji Mutu Barang Ahli Madya,</t>
  </si>
  <si>
    <t>Elis Sofianti</t>
  </si>
  <si>
    <t>NIP. 197109301994032002</t>
  </si>
  <si>
    <t>:</t>
  </si>
  <si>
    <t xml:space="preserve"> -</t>
  </si>
  <si>
    <t xml:space="preserve">Kecermatan </t>
  </si>
  <si>
    <t xml:space="preserve">Nomor Order </t>
  </si>
  <si>
    <t xml:space="preserve">Form Kalibrasi </t>
  </si>
  <si>
    <t>Nomor Seri</t>
  </si>
  <si>
    <t xml:space="preserve">Setengah Set </t>
  </si>
  <si>
    <t xml:space="preserve">Full Set </t>
  </si>
  <si>
    <t xml:space="preserve">Custom </t>
  </si>
  <si>
    <t xml:space="preserve">Jenis Kalibrasi </t>
  </si>
  <si>
    <t xml:space="preserve">Tanggal Terbit Sertifikat </t>
  </si>
  <si>
    <t>Catatan 1</t>
  </si>
  <si>
    <t>Catatan 2</t>
  </si>
  <si>
    <t xml:space="preserve">Input QR Code </t>
  </si>
  <si>
    <t xml:space="preserve">Nomor Serifikat </t>
  </si>
  <si>
    <t xml:space="preserve">CETAK SERTIFIKAT </t>
  </si>
  <si>
    <t xml:space="preserve">Siklus </t>
  </si>
  <si>
    <t xml:space="preserve">data input </t>
  </si>
  <si>
    <t>Jenis</t>
  </si>
  <si>
    <t>STDEV</t>
  </si>
  <si>
    <t>X1 (g)</t>
  </si>
  <si>
    <t>X2 (g)</t>
  </si>
  <si>
    <t>X3 (g)</t>
  </si>
  <si>
    <t>X4(g)</t>
  </si>
  <si>
    <t>X5 (g)</t>
  </si>
  <si>
    <t>S_repeat</t>
  </si>
  <si>
    <t>LK-001-IDN</t>
  </si>
  <si>
    <t>LK-008-IDN</t>
  </si>
  <si>
    <t>Backend</t>
  </si>
  <si>
    <t>No. Seri Mass comp 1</t>
  </si>
  <si>
    <t>No. Seri Mass comp 2</t>
  </si>
  <si>
    <t>--------&gt;</t>
  </si>
  <si>
    <t xml:space="preserve">TABEL REKAP OUTPUT SERTIFIKAT </t>
  </si>
  <si>
    <t>PRE-ADJUSTMENT</t>
  </si>
  <si>
    <t>ADJUSTMENT</t>
  </si>
  <si>
    <t>Titik Ukur</t>
  </si>
  <si>
    <t>(max )</t>
  </si>
  <si>
    <t xml:space="preserve">Beban </t>
  </si>
  <si>
    <t>Massa konvensional dari sertifikat</t>
  </si>
  <si>
    <t>Beban</t>
  </si>
  <si>
    <t xml:space="preserve"> Reading</t>
  </si>
  <si>
    <t xml:space="preserve">Means </t>
  </si>
  <si>
    <t>Difference</t>
  </si>
  <si>
    <t>Correction</t>
  </si>
  <si>
    <t>ri-zi</t>
  </si>
  <si>
    <t>Mi-(ri-zi)</t>
  </si>
  <si>
    <t xml:space="preserve"> </t>
  </si>
  <si>
    <t>DATA KALIBRASI</t>
  </si>
  <si>
    <t>Penyetelan</t>
  </si>
  <si>
    <t xml:space="preserve">Cek sebelum </t>
  </si>
  <si>
    <t>Ketua Tim Pengujian, Inspeksi dan Kalibrasi</t>
  </si>
  <si>
    <t>Mahaputra</t>
  </si>
  <si>
    <t>NIP. 197907232003121004</t>
  </si>
  <si>
    <t xml:space="preserve">: Timbangan dilakukan penyetelan sebelum dilakukan kalibrasi </t>
  </si>
  <si>
    <t>penyetelan</t>
  </si>
  <si>
    <t>Adjustment (g)</t>
  </si>
  <si>
    <t xml:space="preserve">Timbangan: </t>
  </si>
  <si>
    <t>Output</t>
  </si>
  <si>
    <t>Digit</t>
  </si>
  <si>
    <t>Penyesuaian Resolusi</t>
  </si>
  <si>
    <t>Nominal</t>
  </si>
  <si>
    <t xml:space="preserve">  sesuai dengan prosedur manufaktur.</t>
  </si>
  <si>
    <t>NOMINAL (g)</t>
  </si>
  <si>
    <t>MASSA KONVENSIONAL (g)</t>
  </si>
  <si>
    <t>U95 (mg)</t>
  </si>
  <si>
    <t>Nominal Adjust (g)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</si>
</sst>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64" formatCode="0%\ ;[Red]\(0%\)"/>
    <numFmt numFmtId="165" formatCode="0.0%;\ \(0.0%\)"/>
    <numFmt numFmtId="166" formatCode="&quot;               &quot;@"/>
    <numFmt numFmtId="167" formatCode="&quot;                    &quot;@"/>
    <numFmt numFmtId="168" formatCode="&quot;                  &quot;@"/>
    <numFmt numFmtId="169" formatCode="#,##0,_);[Red]\(#,##0,\)"/>
    <numFmt numFmtId="170" formatCode="&quot;             &quot;@"/>
    <numFmt numFmtId="171" formatCode="&quot;$&quot;#,##0.00;[Red]\-&quot;$&quot;#,##0.00"/>
    <numFmt numFmtId="172" formatCode="_(* #,##0,,_);_(* \(#,##0,,\);_(* &quot;-&quot;_)"/>
    <numFmt numFmtId="173" formatCode="0%;\(0%\)"/>
    <numFmt numFmtId="174" formatCode="&quot;          &quot;@"/>
    <numFmt numFmtId="175" formatCode="#,##0\ &quot;m&quot;;[Red]\(#,##0\)\ &quot;m&quot;;&quot;- &quot;"/>
    <numFmt numFmtId="176" formatCode="0.0"/>
    <numFmt numFmtId="177" formatCode="#,##0.00000"/>
    <numFmt numFmtId="178" formatCode="0.000"/>
    <numFmt numFmtId="179" formatCode="0.00000"/>
    <numFmt numFmtId="180" formatCode="0.000000"/>
    <numFmt numFmtId="181" formatCode="0.0000000"/>
    <numFmt numFmtId="182" formatCode="0.0000"/>
    <numFmt numFmtId="183" formatCode="#,##0.000000"/>
  </numFmts>
  <fonts count="9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b/>
      <i/>
      <u/>
      <sz val="10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mbria"/>
      <family val="1"/>
      <scheme val="major"/>
    </font>
    <font>
      <b/>
      <u/>
      <sz val="11"/>
      <color theme="1"/>
      <name val="Calibri"/>
      <family val="2"/>
      <scheme val="minor"/>
    </font>
    <font>
      <sz val="10"/>
      <color rgb="FF444444"/>
      <name val="Roboto"/>
    </font>
    <font>
      <b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18"/>
      <color rgb="FF000000"/>
      <name val="Bookman Old Style"/>
      <family val="1"/>
    </font>
    <font>
      <b/>
      <i/>
      <sz val="14"/>
      <color rgb="FF000000"/>
      <name val="Bookman Old Style"/>
      <family val="1"/>
    </font>
    <font>
      <sz val="11"/>
      <color rgb="FF000000"/>
      <name val="Bookman Old Style"/>
      <family val="1"/>
    </font>
    <font>
      <b/>
      <u/>
      <sz val="11"/>
      <name val="Bookman Old Style"/>
      <family val="1"/>
    </font>
    <font>
      <b/>
      <i/>
      <sz val="8"/>
      <name val="Bookman Old Style"/>
      <family val="1"/>
    </font>
    <font>
      <i/>
      <sz val="8"/>
      <color rgb="FF000000"/>
      <name val="Bookman Old Style"/>
      <family val="1"/>
    </font>
    <font>
      <b/>
      <u/>
      <sz val="11"/>
      <color rgb="FF000000"/>
      <name val="Bookman Old Style"/>
      <family val="1"/>
    </font>
    <font>
      <b/>
      <i/>
      <sz val="8"/>
      <color rgb="FF000000"/>
      <name val="Bookman Old Style"/>
      <family val="1"/>
    </font>
    <font>
      <sz val="11"/>
      <color rgb="FF000000"/>
      <name val="Calibri"/>
      <family val="2"/>
    </font>
    <font>
      <b/>
      <sz val="11"/>
      <color rgb="FF000000"/>
      <name val="Bookman Old Style"/>
      <family val="1"/>
    </font>
    <font>
      <sz val="11"/>
      <name val="Bookman Old Style"/>
      <family val="1"/>
    </font>
    <font>
      <sz val="10"/>
      <color rgb="FF000000"/>
      <name val="Bookman Old Style"/>
      <family val="1"/>
    </font>
    <font>
      <b/>
      <sz val="11"/>
      <name val="Bookman Old Style"/>
      <family val="1"/>
    </font>
    <font>
      <sz val="12"/>
      <name val="Tms Rmn"/>
      <charset val="134"/>
    </font>
    <font>
      <sz val="10"/>
      <color indexed="8"/>
      <name val="Arial"/>
      <family val="2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b/>
      <i/>
      <sz val="8"/>
      <name val="Arial"/>
      <family val="2"/>
    </font>
    <font>
      <b/>
      <sz val="9"/>
      <name val="Arial"/>
      <family val="2"/>
    </font>
    <font>
      <sz val="10"/>
      <color rgb="FF000000"/>
      <name val="Calibri"/>
      <family val="2"/>
    </font>
    <font>
      <sz val="8.5"/>
      <color rgb="FF000000"/>
      <name val="Calibri"/>
      <family val="2"/>
    </font>
    <font>
      <b/>
      <vertAlign val="superscript"/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Bookman Old Style"/>
      <family val="1"/>
    </font>
    <font>
      <b/>
      <sz val="11"/>
      <color rgb="FF000000"/>
      <name val="Bookman Old Style"/>
      <family val="1"/>
    </font>
    <font>
      <sz val="10"/>
      <name val="Times New Roman"/>
      <family val="1"/>
    </font>
    <font>
      <vertAlign val="superscript"/>
      <sz val="10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sz val="18"/>
      <name val="Times New Roman"/>
      <family val="1"/>
    </font>
    <font>
      <sz val="10"/>
      <color indexed="8"/>
      <name val="Arial"/>
      <family val="2"/>
    </font>
    <font>
      <b/>
      <sz val="12"/>
      <name val="Arial"/>
      <family val="2"/>
    </font>
    <font>
      <sz val="11"/>
      <color theme="1"/>
      <name val="Calibri"/>
      <family val="2"/>
      <charset val="1"/>
      <scheme val="minor"/>
    </font>
    <font>
      <b/>
      <i/>
      <sz val="8"/>
      <name val="Arial"/>
      <family val="2"/>
    </font>
    <font>
      <b/>
      <sz val="9"/>
      <name val="Arial"/>
      <family val="2"/>
    </font>
    <font>
      <sz val="11"/>
      <name val="Calibri"/>
      <family val="2"/>
    </font>
    <font>
      <b/>
      <sz val="16"/>
      <color theme="1"/>
      <name val="Aptos Narrow"/>
      <family val="2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name val="Aptos Display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Bookman Old Style"/>
      <family val="1"/>
    </font>
    <font>
      <sz val="11"/>
      <color theme="1"/>
      <name val="Bookman Old Style"/>
      <family val="1"/>
    </font>
    <font>
      <sz val="11"/>
      <color rgb="FF0070C0"/>
      <name val="Calibri"/>
      <family val="2"/>
    </font>
    <font>
      <b/>
      <u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double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05">
    <xf numFmtId="0" fontId="0" fillId="0" borderId="0"/>
    <xf numFmtId="164" fontId="43" fillId="0" borderId="0" applyFill="0" applyBorder="0" applyAlignment="0"/>
    <xf numFmtId="165" fontId="43" fillId="0" borderId="0" applyFill="0" applyBorder="0" applyAlignment="0"/>
    <xf numFmtId="166" fontId="43" fillId="0" borderId="0" applyFill="0" applyBorder="0" applyAlignment="0"/>
    <xf numFmtId="167" fontId="43" fillId="0" borderId="0" applyFill="0" applyBorder="0" applyAlignment="0"/>
    <xf numFmtId="168" fontId="43" fillId="0" borderId="0" applyFill="0" applyBorder="0" applyAlignment="0"/>
    <xf numFmtId="169" fontId="43" fillId="0" borderId="0" applyFill="0" applyBorder="0" applyAlignment="0"/>
    <xf numFmtId="170" fontId="43" fillId="0" borderId="0" applyFill="0" applyBorder="0" applyAlignment="0"/>
    <xf numFmtId="165" fontId="43" fillId="0" borderId="0" applyFill="0" applyBorder="0" applyAlignment="0"/>
    <xf numFmtId="169" fontId="43" fillId="0" borderId="0" applyFont="0" applyFill="0" applyBorder="0" applyAlignment="0" applyProtection="0"/>
    <xf numFmtId="171" fontId="60" fillId="0" borderId="1"/>
    <xf numFmtId="165" fontId="43" fillId="0" borderId="0" applyFont="0" applyFill="0" applyBorder="0" applyAlignment="0" applyProtection="0"/>
    <xf numFmtId="14" fontId="61" fillId="0" borderId="0" applyFill="0" applyBorder="0" applyAlignment="0"/>
    <xf numFmtId="169" fontId="43" fillId="0" borderId="0" applyFill="0" applyBorder="0" applyAlignment="0"/>
    <xf numFmtId="165" fontId="43" fillId="0" borderId="0" applyFill="0" applyBorder="0" applyAlignment="0"/>
    <xf numFmtId="169" fontId="43" fillId="0" borderId="0" applyFill="0" applyBorder="0" applyAlignment="0"/>
    <xf numFmtId="170" fontId="43" fillId="0" borderId="0" applyFill="0" applyBorder="0" applyAlignment="0"/>
    <xf numFmtId="165" fontId="43" fillId="0" borderId="0" applyFill="0" applyBorder="0" applyAlignment="0"/>
    <xf numFmtId="0" fontId="62" fillId="0" borderId="26" applyNumberFormat="0" applyAlignment="0" applyProtection="0">
      <alignment horizontal="left" vertical="center"/>
    </xf>
    <xf numFmtId="0" fontId="62" fillId="0" borderId="21">
      <alignment horizontal="left" vertical="center"/>
    </xf>
    <xf numFmtId="169" fontId="43" fillId="0" borderId="0" applyFill="0" applyBorder="0" applyAlignment="0"/>
    <xf numFmtId="165" fontId="43" fillId="0" borderId="0" applyFill="0" applyBorder="0" applyAlignment="0"/>
    <xf numFmtId="169" fontId="43" fillId="0" borderId="0" applyFill="0" applyBorder="0" applyAlignment="0"/>
    <xf numFmtId="170" fontId="43" fillId="0" borderId="0" applyFill="0" applyBorder="0" applyAlignment="0"/>
    <xf numFmtId="165" fontId="43" fillId="0" borderId="0" applyFill="0" applyBorder="0" applyAlignment="0"/>
    <xf numFmtId="172" fontId="43" fillId="0" borderId="0"/>
    <xf numFmtId="0" fontId="43" fillId="0" borderId="0"/>
    <xf numFmtId="0" fontId="63" fillId="0" borderId="0"/>
    <xf numFmtId="0" fontId="69" fillId="0" borderId="0"/>
    <xf numFmtId="0" fontId="43" fillId="0" borderId="0"/>
    <xf numFmtId="0" fontId="69" fillId="0" borderId="0"/>
    <xf numFmtId="0" fontId="29" fillId="0" borderId="0">
      <alignment vertical="center"/>
    </xf>
    <xf numFmtId="168" fontId="43" fillId="0" borderId="0" applyFont="0" applyFill="0" applyBorder="0" applyAlignment="0" applyProtection="0"/>
    <xf numFmtId="173" fontId="43" fillId="0" borderId="0" applyFont="0" applyFill="0" applyBorder="0" applyAlignment="0" applyProtection="0"/>
    <xf numFmtId="169" fontId="43" fillId="0" borderId="0" applyFill="0" applyBorder="0" applyAlignment="0"/>
    <xf numFmtId="165" fontId="43" fillId="0" borderId="0" applyFill="0" applyBorder="0" applyAlignment="0"/>
    <xf numFmtId="169" fontId="43" fillId="0" borderId="0" applyFill="0" applyBorder="0" applyAlignment="0"/>
    <xf numFmtId="170" fontId="43" fillId="0" borderId="0" applyFill="0" applyBorder="0" applyAlignment="0"/>
    <xf numFmtId="165" fontId="43" fillId="0" borderId="0" applyFill="0" applyBorder="0" applyAlignment="0"/>
    <xf numFmtId="0" fontId="64" fillId="0" borderId="27"/>
    <xf numFmtId="0" fontId="65" fillId="0" borderId="28"/>
    <xf numFmtId="49" fontId="61" fillId="0" borderId="0" applyFill="0" applyBorder="0" applyAlignment="0"/>
    <xf numFmtId="174" fontId="43" fillId="0" borderId="0" applyFill="0" applyBorder="0" applyAlignment="0"/>
    <xf numFmtId="175" fontId="43" fillId="0" borderId="0" applyFill="0" applyBorder="0" applyAlignment="0"/>
    <xf numFmtId="0" fontId="24" fillId="0" borderId="0"/>
    <xf numFmtId="164" fontId="75" fillId="0" borderId="0" applyFill="0" applyBorder="0" applyAlignment="0"/>
    <xf numFmtId="165" fontId="75" fillId="0" borderId="0" applyFill="0" applyBorder="0" applyAlignment="0"/>
    <xf numFmtId="166" fontId="75" fillId="0" borderId="0" applyFill="0" applyBorder="0" applyAlignment="0"/>
    <xf numFmtId="167" fontId="75" fillId="0" borderId="0" applyFill="0" applyBorder="0" applyAlignment="0"/>
    <xf numFmtId="168" fontId="75" fillId="0" borderId="0" applyFill="0" applyBorder="0" applyAlignment="0"/>
    <xf numFmtId="169" fontId="75" fillId="0" borderId="0" applyFill="0" applyBorder="0" applyAlignment="0"/>
    <xf numFmtId="170" fontId="75" fillId="0" borderId="0" applyFill="0" applyBorder="0" applyAlignment="0"/>
    <xf numFmtId="165" fontId="75" fillId="0" borderId="0" applyFill="0" applyBorder="0" applyAlignment="0"/>
    <xf numFmtId="169" fontId="75" fillId="0" borderId="0" applyFont="0" applyFill="0" applyBorder="0" applyAlignment="0" applyProtection="0"/>
    <xf numFmtId="0" fontId="24" fillId="0" borderId="0"/>
    <xf numFmtId="165" fontId="75" fillId="0" borderId="0" applyFont="0" applyFill="0" applyBorder="0" applyAlignment="0" applyProtection="0"/>
    <xf numFmtId="14" fontId="77" fillId="0" borderId="0" applyFill="0" applyBorder="0" applyAlignment="0"/>
    <xf numFmtId="169" fontId="75" fillId="0" borderId="0" applyFill="0" applyBorder="0" applyAlignment="0"/>
    <xf numFmtId="165" fontId="75" fillId="0" borderId="0" applyFill="0" applyBorder="0" applyAlignment="0"/>
    <xf numFmtId="169" fontId="75" fillId="0" borderId="0" applyFill="0" applyBorder="0" applyAlignment="0"/>
    <xf numFmtId="170" fontId="75" fillId="0" borderId="0" applyFill="0" applyBorder="0" applyAlignment="0"/>
    <xf numFmtId="165" fontId="75" fillId="0" borderId="0" applyFill="0" applyBorder="0" applyAlignment="0"/>
    <xf numFmtId="0" fontId="78" fillId="0" borderId="26" applyNumberFormat="0" applyAlignment="0" applyProtection="0">
      <alignment horizontal="left" vertical="center"/>
    </xf>
    <xf numFmtId="0" fontId="78" fillId="0" borderId="21">
      <alignment horizontal="left" vertical="center"/>
    </xf>
    <xf numFmtId="169" fontId="75" fillId="0" borderId="0" applyFill="0" applyBorder="0" applyAlignment="0"/>
    <xf numFmtId="165" fontId="75" fillId="0" borderId="0" applyFill="0" applyBorder="0" applyAlignment="0"/>
    <xf numFmtId="169" fontId="75" fillId="0" borderId="0" applyFill="0" applyBorder="0" applyAlignment="0"/>
    <xf numFmtId="170" fontId="75" fillId="0" borderId="0" applyFill="0" applyBorder="0" applyAlignment="0"/>
    <xf numFmtId="165" fontId="75" fillId="0" borderId="0" applyFill="0" applyBorder="0" applyAlignment="0"/>
    <xf numFmtId="172" fontId="75" fillId="0" borderId="0"/>
    <xf numFmtId="0" fontId="75" fillId="0" borderId="0"/>
    <xf numFmtId="0" fontId="79" fillId="0" borderId="0"/>
    <xf numFmtId="168" fontId="75" fillId="0" borderId="0" applyFont="0" applyFill="0" applyBorder="0" applyAlignment="0" applyProtection="0"/>
    <xf numFmtId="173" fontId="75" fillId="0" borderId="0" applyFont="0" applyFill="0" applyBorder="0" applyAlignment="0" applyProtection="0"/>
    <xf numFmtId="169" fontId="75" fillId="0" borderId="0" applyFill="0" applyBorder="0" applyAlignment="0"/>
    <xf numFmtId="165" fontId="75" fillId="0" borderId="0" applyFill="0" applyBorder="0" applyAlignment="0"/>
    <xf numFmtId="169" fontId="75" fillId="0" borderId="0" applyFill="0" applyBorder="0" applyAlignment="0"/>
    <xf numFmtId="170" fontId="75" fillId="0" borderId="0" applyFill="0" applyBorder="0" applyAlignment="0"/>
    <xf numFmtId="165" fontId="75" fillId="0" borderId="0" applyFill="0" applyBorder="0" applyAlignment="0"/>
    <xf numFmtId="0" fontId="80" fillId="0" borderId="27"/>
    <xf numFmtId="0" fontId="81" fillId="0" borderId="28"/>
    <xf numFmtId="49" fontId="77" fillId="0" borderId="0" applyFill="0" applyBorder="0" applyAlignment="0"/>
    <xf numFmtId="174" fontId="75" fillId="0" borderId="0" applyFill="0" applyBorder="0" applyAlignment="0"/>
    <xf numFmtId="175" fontId="75" fillId="0" borderId="0" applyFill="0" applyBorder="0" applyAlignment="0"/>
    <xf numFmtId="0" fontId="75" fillId="0" borderId="0"/>
    <xf numFmtId="0" fontId="24" fillId="0" borderId="0"/>
    <xf numFmtId="0" fontId="82" fillId="0" borderId="0">
      <alignment vertical="center"/>
    </xf>
    <xf numFmtId="0" fontId="24" fillId="0" borderId="0"/>
    <xf numFmtId="0" fontId="23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90" fillId="0" borderId="0"/>
    <xf numFmtId="0" fontId="11" fillId="0" borderId="0"/>
    <xf numFmtId="0" fontId="11" fillId="0" borderId="0"/>
  </cellStyleXfs>
  <cellXfs count="315">
    <xf numFmtId="0" fontId="0" fillId="0" borderId="0" xfId="0"/>
    <xf numFmtId="0" fontId="29" fillId="0" borderId="0" xfId="31">
      <alignment vertical="center"/>
    </xf>
    <xf numFmtId="0" fontId="29" fillId="0" borderId="1" xfId="31" applyBorder="1" applyAlignment="1"/>
    <xf numFmtId="0" fontId="30" fillId="0" borderId="1" xfId="31" applyFont="1" applyBorder="1" applyAlignment="1"/>
    <xf numFmtId="0" fontId="31" fillId="0" borderId="1" xfId="31" applyFont="1" applyBorder="1" applyAlignment="1"/>
    <xf numFmtId="0" fontId="32" fillId="0" borderId="0" xfId="31" applyFont="1" applyAlignment="1"/>
    <xf numFmtId="0" fontId="29" fillId="0" borderId="0" xfId="31" applyAlignment="1"/>
    <xf numFmtId="0" fontId="30" fillId="0" borderId="0" xfId="31" applyFont="1" applyAlignment="1"/>
    <xf numFmtId="0" fontId="30" fillId="0" borderId="1" xfId="31" applyFont="1" applyBorder="1" applyAlignment="1">
      <alignment horizontal="center"/>
    </xf>
    <xf numFmtId="1" fontId="31" fillId="0" borderId="1" xfId="31" applyNumberFormat="1" applyFont="1" applyBorder="1" applyAlignment="1"/>
    <xf numFmtId="176" fontId="31" fillId="0" borderId="1" xfId="31" applyNumberFormat="1" applyFont="1" applyBorder="1" applyAlignment="1"/>
    <xf numFmtId="0" fontId="33" fillId="2" borderId="1" xfId="31" applyFont="1" applyFill="1" applyBorder="1" applyAlignment="1"/>
    <xf numFmtId="0" fontId="31" fillId="0" borderId="0" xfId="31" applyFont="1" applyAlignment="1"/>
    <xf numFmtId="0" fontId="34" fillId="0" borderId="0" xfId="0" applyFont="1"/>
    <xf numFmtId="0" fontId="35" fillId="0" borderId="0" xfId="0" applyFont="1"/>
    <xf numFmtId="0" fontId="36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69" fillId="0" borderId="1" xfId="30" applyBorder="1"/>
    <xf numFmtId="0" fontId="69" fillId="0" borderId="1" xfId="30" applyBorder="1" applyAlignment="1">
      <alignment horizontal="right"/>
    </xf>
    <xf numFmtId="0" fontId="0" fillId="0" borderId="1" xfId="0" applyBorder="1" applyAlignment="1">
      <alignment vertical="center"/>
    </xf>
    <xf numFmtId="0" fontId="29" fillId="0" borderId="1" xfId="0" applyFont="1" applyBorder="1" applyAlignment="1">
      <alignment vertical="center"/>
    </xf>
    <xf numFmtId="177" fontId="69" fillId="0" borderId="1" xfId="30" applyNumberFormat="1" applyBorder="1" applyAlignment="1">
      <alignment horizontal="right"/>
    </xf>
    <xf numFmtId="178" fontId="0" fillId="0" borderId="1" xfId="0" applyNumberFormat="1" applyBorder="1" applyAlignment="1">
      <alignment vertical="center"/>
    </xf>
    <xf numFmtId="177" fontId="38" fillId="0" borderId="1" xfId="30" applyNumberFormat="1" applyFont="1" applyBorder="1"/>
    <xf numFmtId="179" fontId="69" fillId="0" borderId="1" xfId="30" applyNumberFormat="1" applyBorder="1" applyAlignment="1">
      <alignment horizontal="right"/>
    </xf>
    <xf numFmtId="180" fontId="69" fillId="0" borderId="1" xfId="30" applyNumberFormat="1" applyBorder="1" applyAlignment="1">
      <alignment horizontal="right"/>
    </xf>
    <xf numFmtId="179" fontId="38" fillId="0" borderId="1" xfId="30" applyNumberFormat="1" applyFont="1" applyBorder="1"/>
    <xf numFmtId="179" fontId="39" fillId="0" borderId="1" xfId="0" applyNumberFormat="1" applyFont="1" applyBorder="1" applyAlignment="1">
      <alignment vertical="center"/>
    </xf>
    <xf numFmtId="0" fontId="40" fillId="0" borderId="0" xfId="0" applyFont="1"/>
    <xf numFmtId="0" fontId="0" fillId="0" borderId="1" xfId="0" applyBorder="1"/>
    <xf numFmtId="0" fontId="0" fillId="0" borderId="1" xfId="0" applyBorder="1" applyAlignment="1">
      <alignment horizontal="left"/>
    </xf>
    <xf numFmtId="0" fontId="0" fillId="5" borderId="1" xfId="0" applyFill="1" applyBorder="1" applyAlignment="1">
      <alignment horizontal="left"/>
    </xf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34" fillId="0" borderId="0" xfId="0" applyFont="1" applyAlignment="1">
      <alignment vertical="center"/>
    </xf>
    <xf numFmtId="0" fontId="43" fillId="0" borderId="1" xfId="26" applyBorder="1" applyAlignment="1">
      <alignment horizontal="center"/>
    </xf>
    <xf numFmtId="0" fontId="44" fillId="0" borderId="0" xfId="0" applyFont="1"/>
    <xf numFmtId="0" fontId="45" fillId="0" borderId="0" xfId="0" applyFont="1"/>
    <xf numFmtId="0" fontId="45" fillId="0" borderId="0" xfId="0" applyFont="1" applyAlignment="1">
      <alignment horizontal="left"/>
    </xf>
    <xf numFmtId="0" fontId="44" fillId="0" borderId="0" xfId="0" applyFont="1" applyAlignment="1">
      <alignment horizontal="left"/>
    </xf>
    <xf numFmtId="0" fontId="44" fillId="0" borderId="0" xfId="0" applyFont="1" applyAlignment="1">
      <alignment horizontal="center"/>
    </xf>
    <xf numFmtId="0" fontId="45" fillId="0" borderId="0" xfId="0" applyFont="1" applyAlignment="1">
      <alignment horizontal="center"/>
    </xf>
    <xf numFmtId="0" fontId="44" fillId="8" borderId="1" xfId="0" applyFont="1" applyFill="1" applyBorder="1" applyAlignment="1">
      <alignment horizontal="center"/>
    </xf>
    <xf numFmtId="0" fontId="44" fillId="8" borderId="11" xfId="0" applyFont="1" applyFill="1" applyBorder="1" applyAlignment="1">
      <alignment horizontal="center"/>
    </xf>
    <xf numFmtId="0" fontId="44" fillId="8" borderId="3" xfId="0" applyFont="1" applyFill="1" applyBorder="1" applyAlignment="1">
      <alignment horizontal="center"/>
    </xf>
    <xf numFmtId="0" fontId="45" fillId="0" borderId="12" xfId="0" applyFont="1" applyBorder="1"/>
    <xf numFmtId="0" fontId="45" fillId="0" borderId="12" xfId="0" applyFont="1" applyBorder="1" applyAlignment="1">
      <alignment horizontal="center"/>
    </xf>
    <xf numFmtId="0" fontId="45" fillId="9" borderId="13" xfId="0" applyFont="1" applyFill="1" applyBorder="1"/>
    <xf numFmtId="0" fontId="45" fillId="9" borderId="13" xfId="0" applyFont="1" applyFill="1" applyBorder="1" applyAlignment="1">
      <alignment horizontal="center"/>
    </xf>
    <xf numFmtId="181" fontId="45" fillId="9" borderId="13" xfId="0" applyNumberFormat="1" applyFont="1" applyFill="1" applyBorder="1" applyAlignment="1">
      <alignment horizontal="center"/>
    </xf>
    <xf numFmtId="0" fontId="45" fillId="0" borderId="13" xfId="0" applyFont="1" applyBorder="1"/>
    <xf numFmtId="0" fontId="45" fillId="0" borderId="13" xfId="0" applyFont="1" applyBorder="1" applyAlignment="1">
      <alignment horizontal="center"/>
    </xf>
    <xf numFmtId="0" fontId="45" fillId="0" borderId="14" xfId="0" applyFont="1" applyBorder="1"/>
    <xf numFmtId="0" fontId="45" fillId="0" borderId="14" xfId="0" applyFont="1" applyBorder="1" applyAlignment="1">
      <alignment horizontal="center"/>
    </xf>
    <xf numFmtId="0" fontId="45" fillId="0" borderId="15" xfId="0" applyFont="1" applyBorder="1"/>
    <xf numFmtId="0" fontId="45" fillId="0" borderId="16" xfId="0" applyFont="1" applyBorder="1"/>
    <xf numFmtId="0" fontId="45" fillId="0" borderId="16" xfId="0" applyFont="1" applyBorder="1" applyAlignment="1">
      <alignment horizontal="center"/>
    </xf>
    <xf numFmtId="0" fontId="45" fillId="0" borderId="17" xfId="0" applyFont="1" applyBorder="1"/>
    <xf numFmtId="0" fontId="45" fillId="0" borderId="18" xfId="0" applyFont="1" applyBorder="1"/>
    <xf numFmtId="0" fontId="45" fillId="0" borderId="18" xfId="0" applyFont="1" applyBorder="1" applyAlignment="1">
      <alignment horizontal="center"/>
    </xf>
    <xf numFmtId="0" fontId="45" fillId="0" borderId="19" xfId="0" applyFont="1" applyBorder="1"/>
    <xf numFmtId="0" fontId="45" fillId="0" borderId="20" xfId="0" applyFont="1" applyBorder="1"/>
    <xf numFmtId="0" fontId="45" fillId="0" borderId="20" xfId="0" applyFont="1" applyBorder="1" applyAlignment="1">
      <alignment horizontal="center"/>
    </xf>
    <xf numFmtId="0" fontId="45" fillId="0" borderId="11" xfId="0" applyFont="1" applyBorder="1"/>
    <xf numFmtId="0" fontId="0" fillId="0" borderId="21" xfId="0" applyBorder="1"/>
    <xf numFmtId="180" fontId="0" fillId="0" borderId="0" xfId="0" applyNumberFormat="1"/>
    <xf numFmtId="182" fontId="0" fillId="0" borderId="0" xfId="0" applyNumberFormat="1"/>
    <xf numFmtId="0" fontId="46" fillId="0" borderId="0" xfId="0" applyFont="1" applyAlignment="1">
      <alignment horizontal="left"/>
    </xf>
    <xf numFmtId="0" fontId="46" fillId="0" borderId="0" xfId="0" applyFont="1" applyAlignment="1">
      <alignment horizontal="center"/>
    </xf>
    <xf numFmtId="0" fontId="45" fillId="0" borderId="22" xfId="0" applyFont="1" applyBorder="1"/>
    <xf numFmtId="0" fontId="45" fillId="0" borderId="22" xfId="0" applyFont="1" applyBorder="1" applyAlignment="1">
      <alignment horizontal="center"/>
    </xf>
    <xf numFmtId="0" fontId="45" fillId="0" borderId="12" xfId="0" applyFont="1" applyBorder="1" applyAlignment="1">
      <alignment horizontal="right"/>
    </xf>
    <xf numFmtId="0" fontId="45" fillId="0" borderId="23" xfId="0" applyFont="1" applyBorder="1"/>
    <xf numFmtId="0" fontId="45" fillId="0" borderId="23" xfId="0" applyFont="1" applyBorder="1" applyAlignment="1">
      <alignment horizontal="center"/>
    </xf>
    <xf numFmtId="0" fontId="45" fillId="0" borderId="13" xfId="0" applyFont="1" applyBorder="1" applyAlignment="1">
      <alignment horizontal="right"/>
    </xf>
    <xf numFmtId="2" fontId="45" fillId="0" borderId="13" xfId="0" applyNumberFormat="1" applyFont="1" applyBorder="1" applyAlignment="1">
      <alignment horizontal="right"/>
    </xf>
    <xf numFmtId="0" fontId="45" fillId="0" borderId="24" xfId="0" applyFont="1" applyBorder="1"/>
    <xf numFmtId="0" fontId="45" fillId="0" borderId="24" xfId="0" applyFont="1" applyBorder="1" applyAlignment="1">
      <alignment horizontal="center"/>
    </xf>
    <xf numFmtId="178" fontId="45" fillId="0" borderId="14" xfId="0" applyNumberFormat="1" applyFont="1" applyBorder="1" applyAlignment="1">
      <alignment horizontal="right"/>
    </xf>
    <xf numFmtId="0" fontId="0" fillId="0" borderId="25" xfId="0" applyBorder="1"/>
    <xf numFmtId="0" fontId="49" fillId="0" borderId="0" xfId="31" applyFont="1">
      <alignment vertical="center"/>
    </xf>
    <xf numFmtId="0" fontId="49" fillId="0" borderId="0" xfId="31" applyFont="1" applyAlignment="1">
      <alignment horizontal="center" vertical="center"/>
    </xf>
    <xf numFmtId="0" fontId="50" fillId="0" borderId="0" xfId="31" applyFont="1">
      <alignment vertical="center"/>
    </xf>
    <xf numFmtId="0" fontId="29" fillId="0" borderId="0" xfId="31" applyAlignment="1">
      <alignment vertical="center" wrapText="1"/>
    </xf>
    <xf numFmtId="0" fontId="51" fillId="0" borderId="0" xfId="31" applyFont="1">
      <alignment vertical="center"/>
    </xf>
    <xf numFmtId="0" fontId="52" fillId="0" borderId="0" xfId="31" applyFont="1">
      <alignment vertical="center"/>
    </xf>
    <xf numFmtId="0" fontId="49" fillId="0" borderId="0" xfId="31" applyFont="1" applyAlignment="1">
      <alignment horizontal="justify" vertical="center"/>
    </xf>
    <xf numFmtId="0" fontId="52" fillId="0" borderId="0" xfId="31" applyFont="1" applyAlignment="1">
      <alignment horizontal="justify" vertical="center"/>
    </xf>
    <xf numFmtId="0" fontId="53" fillId="0" borderId="0" xfId="31" applyFont="1">
      <alignment vertical="center"/>
    </xf>
    <xf numFmtId="0" fontId="54" fillId="0" borderId="0" xfId="31" applyFont="1">
      <alignment vertical="center"/>
    </xf>
    <xf numFmtId="0" fontId="55" fillId="0" borderId="0" xfId="31" applyFont="1">
      <alignment vertical="center"/>
    </xf>
    <xf numFmtId="0" fontId="56" fillId="0" borderId="0" xfId="31" applyFont="1" applyAlignment="1">
      <alignment horizontal="left" vertical="center"/>
    </xf>
    <xf numFmtId="0" fontId="56" fillId="0" borderId="0" xfId="31" applyFont="1">
      <alignment vertical="center"/>
    </xf>
    <xf numFmtId="0" fontId="56" fillId="0" borderId="0" xfId="31" applyFont="1" applyAlignment="1">
      <alignment horizontal="center" vertical="center"/>
    </xf>
    <xf numFmtId="0" fontId="57" fillId="0" borderId="0" xfId="31" applyFont="1">
      <alignment vertical="center"/>
    </xf>
    <xf numFmtId="0" fontId="52" fillId="0" borderId="0" xfId="31" applyFont="1" applyAlignment="1">
      <alignment horizontal="center" vertical="center"/>
    </xf>
    <xf numFmtId="0" fontId="55" fillId="0" borderId="0" xfId="31" applyFont="1" applyAlignment="1">
      <alignment horizontal="center" vertical="center"/>
    </xf>
    <xf numFmtId="0" fontId="57" fillId="0" borderId="0" xfId="31" applyFont="1" applyAlignment="1">
      <alignment horizontal="center" vertical="center"/>
    </xf>
    <xf numFmtId="15" fontId="58" fillId="0" borderId="0" xfId="31" applyNumberFormat="1" applyFont="1">
      <alignment vertical="center"/>
    </xf>
    <xf numFmtId="0" fontId="53" fillId="0" borderId="0" xfId="31" applyFont="1" applyAlignment="1">
      <alignment horizontal="left" vertical="center"/>
    </xf>
    <xf numFmtId="179" fontId="0" fillId="0" borderId="10" xfId="0" applyNumberFormat="1" applyBorder="1"/>
    <xf numFmtId="0" fontId="71" fillId="0" borderId="0" xfId="31" applyFont="1">
      <alignment vertical="center"/>
    </xf>
    <xf numFmtId="0" fontId="70" fillId="0" borderId="0" xfId="31" applyFont="1" applyAlignment="1">
      <alignment horizontal="left" vertical="center"/>
    </xf>
    <xf numFmtId="0" fontId="49" fillId="0" borderId="0" xfId="31" applyFont="1" applyAlignment="1">
      <alignment vertical="center" wrapText="1"/>
    </xf>
    <xf numFmtId="0" fontId="70" fillId="0" borderId="0" xfId="31" applyFont="1">
      <alignment vertical="center"/>
    </xf>
    <xf numFmtId="0" fontId="72" fillId="0" borderId="0" xfId="0" applyFont="1"/>
    <xf numFmtId="0" fontId="73" fillId="0" borderId="0" xfId="0" applyFont="1" applyAlignment="1">
      <alignment horizontal="center"/>
    </xf>
    <xf numFmtId="0" fontId="75" fillId="0" borderId="1" xfId="26" applyFont="1" applyBorder="1" applyAlignment="1">
      <alignment horizontal="center"/>
    </xf>
    <xf numFmtId="0" fontId="27" fillId="0" borderId="1" xfId="0" applyFont="1" applyBorder="1" applyAlignment="1">
      <alignment vertical="center"/>
    </xf>
    <xf numFmtId="0" fontId="0" fillId="9" borderId="1" xfId="0" applyFill="1" applyBorder="1" applyAlignment="1">
      <alignment horizontal="left"/>
    </xf>
    <xf numFmtId="0" fontId="0" fillId="9" borderId="1" xfId="0" applyFill="1" applyBorder="1"/>
    <xf numFmtId="0" fontId="0" fillId="11" borderId="1" xfId="0" applyFill="1" applyBorder="1"/>
    <xf numFmtId="0" fontId="0" fillId="11" borderId="1" xfId="0" applyFill="1" applyBorder="1" applyAlignment="1">
      <alignment horizontal="left"/>
    </xf>
    <xf numFmtId="0" fontId="28" fillId="11" borderId="1" xfId="0" applyFont="1" applyFill="1" applyBorder="1" applyAlignment="1">
      <alignment horizontal="left"/>
    </xf>
    <xf numFmtId="179" fontId="0" fillId="9" borderId="1" xfId="0" applyNumberFormat="1" applyFill="1" applyBorder="1" applyAlignment="1">
      <alignment horizontal="left"/>
    </xf>
    <xf numFmtId="0" fontId="0" fillId="5" borderId="1" xfId="0" applyFill="1" applyBorder="1"/>
    <xf numFmtId="0" fontId="0" fillId="9" borderId="0" xfId="0" applyFill="1"/>
    <xf numFmtId="0" fontId="76" fillId="0" borderId="0" xfId="0" applyFont="1"/>
    <xf numFmtId="0" fontId="28" fillId="0" borderId="1" xfId="0" applyFont="1" applyBorder="1"/>
    <xf numFmtId="0" fontId="27" fillId="0" borderId="1" xfId="0" applyFont="1" applyBorder="1"/>
    <xf numFmtId="0" fontId="45" fillId="0" borderId="29" xfId="0" applyFont="1" applyBorder="1"/>
    <xf numFmtId="0" fontId="45" fillId="0" borderId="30" xfId="0" applyFont="1" applyBorder="1"/>
    <xf numFmtId="0" fontId="45" fillId="0" borderId="30" xfId="0" applyFont="1" applyBorder="1" applyAlignment="1">
      <alignment horizontal="center"/>
    </xf>
    <xf numFmtId="0" fontId="45" fillId="0" borderId="31" xfId="0" applyFont="1" applyBorder="1"/>
    <xf numFmtId="0" fontId="45" fillId="0" borderId="31" xfId="0" applyFont="1" applyBorder="1" applyAlignment="1">
      <alignment horizontal="center"/>
    </xf>
    <xf numFmtId="0" fontId="45" fillId="0" borderId="32" xfId="0" applyFont="1" applyBorder="1" applyAlignment="1">
      <alignment horizontal="right"/>
    </xf>
    <xf numFmtId="0" fontId="45" fillId="0" borderId="32" xfId="0" applyFont="1" applyBorder="1" applyAlignment="1">
      <alignment horizontal="center"/>
    </xf>
    <xf numFmtId="0" fontId="45" fillId="0" borderId="21" xfId="0" applyFont="1" applyBorder="1"/>
    <xf numFmtId="0" fontId="45" fillId="0" borderId="21" xfId="0" applyFont="1" applyBorder="1" applyAlignment="1">
      <alignment horizontal="center"/>
    </xf>
    <xf numFmtId="0" fontId="45" fillId="0" borderId="25" xfId="0" applyFont="1" applyBorder="1"/>
    <xf numFmtId="0" fontId="45" fillId="0" borderId="25" xfId="0" applyFont="1" applyBorder="1" applyAlignment="1">
      <alignment horizontal="center"/>
    </xf>
    <xf numFmtId="0" fontId="45" fillId="0" borderId="1" xfId="0" applyFont="1" applyBorder="1" applyAlignment="1">
      <alignment horizontal="right"/>
    </xf>
    <xf numFmtId="0" fontId="45" fillId="0" borderId="1" xfId="0" applyFont="1" applyBorder="1" applyAlignment="1">
      <alignment horizontal="center"/>
    </xf>
    <xf numFmtId="0" fontId="75" fillId="0" borderId="1" xfId="26" applyFont="1" applyBorder="1" applyAlignment="1">
      <alignment horizontal="right"/>
    </xf>
    <xf numFmtId="0" fontId="0" fillId="0" borderId="1" xfId="30" applyFont="1" applyBorder="1"/>
    <xf numFmtId="0" fontId="20" fillId="0" borderId="1" xfId="0" applyFont="1" applyBorder="1"/>
    <xf numFmtId="0" fontId="20" fillId="0" borderId="0" xfId="0" applyFont="1"/>
    <xf numFmtId="0" fontId="20" fillId="0" borderId="1" xfId="0" applyFont="1" applyBorder="1" applyAlignment="1">
      <alignment vertical="center"/>
    </xf>
    <xf numFmtId="179" fontId="0" fillId="0" borderId="1" xfId="0" applyNumberFormat="1" applyBorder="1" applyAlignment="1">
      <alignment vertical="center"/>
    </xf>
    <xf numFmtId="0" fontId="69" fillId="0" borderId="0" xfId="30"/>
    <xf numFmtId="0" fontId="19" fillId="0" borderId="1" xfId="0" applyFont="1" applyBorder="1"/>
    <xf numFmtId="0" fontId="19" fillId="0" borderId="1" xfId="0" applyFont="1" applyBorder="1" applyAlignment="1">
      <alignment vertical="center"/>
    </xf>
    <xf numFmtId="182" fontId="45" fillId="0" borderId="14" xfId="0" applyNumberFormat="1" applyFont="1" applyBorder="1" applyAlignment="1">
      <alignment horizontal="right"/>
    </xf>
    <xf numFmtId="182" fontId="45" fillId="0" borderId="13" xfId="0" applyNumberFormat="1" applyFont="1" applyBorder="1" applyAlignment="1">
      <alignment horizontal="right"/>
    </xf>
    <xf numFmtId="0" fontId="49" fillId="0" borderId="0" xfId="31" applyFont="1" applyAlignment="1">
      <alignment horizontal="right" vertical="center"/>
    </xf>
    <xf numFmtId="0" fontId="49" fillId="0" borderId="0" xfId="31" applyFont="1" applyAlignment="1">
      <alignment vertical="top"/>
    </xf>
    <xf numFmtId="0" fontId="49" fillId="0" borderId="0" xfId="31" applyFont="1" applyAlignment="1">
      <alignment horizontal="right" vertical="top"/>
    </xf>
    <xf numFmtId="0" fontId="69" fillId="0" borderId="25" xfId="30" applyBorder="1"/>
    <xf numFmtId="0" fontId="0" fillId="0" borderId="25" xfId="30" applyFont="1" applyBorder="1"/>
    <xf numFmtId="0" fontId="0" fillId="0" borderId="25" xfId="0" applyBorder="1" applyAlignment="1">
      <alignment vertical="center"/>
    </xf>
    <xf numFmtId="0" fontId="69" fillId="0" borderId="11" xfId="30" applyBorder="1" applyAlignment="1">
      <alignment horizontal="right"/>
    </xf>
    <xf numFmtId="0" fontId="0" fillId="0" borderId="11" xfId="0" applyBorder="1" applyAlignment="1">
      <alignment vertical="center"/>
    </xf>
    <xf numFmtId="0" fontId="37" fillId="3" borderId="9" xfId="0" applyFont="1" applyFill="1" applyBorder="1" applyAlignment="1">
      <alignment horizontal="center" wrapText="1"/>
    </xf>
    <xf numFmtId="0" fontId="37" fillId="3" borderId="7" xfId="0" applyFont="1" applyFill="1" applyBorder="1" applyAlignment="1">
      <alignment horizontal="center" wrapText="1"/>
    </xf>
    <xf numFmtId="0" fontId="37" fillId="3" borderId="8" xfId="0" applyFont="1" applyFill="1" applyBorder="1" applyAlignment="1">
      <alignment horizontal="center" wrapText="1"/>
    </xf>
    <xf numFmtId="0" fontId="69" fillId="0" borderId="6" xfId="30" applyBorder="1"/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6" xfId="0" applyBorder="1"/>
    <xf numFmtId="0" fontId="37" fillId="4" borderId="9" xfId="0" applyFont="1" applyFill="1" applyBorder="1" applyAlignment="1">
      <alignment horizontal="center" wrapText="1"/>
    </xf>
    <xf numFmtId="0" fontId="37" fillId="4" borderId="7" xfId="0" applyFont="1" applyFill="1" applyBorder="1" applyAlignment="1">
      <alignment horizontal="center" wrapText="1"/>
    </xf>
    <xf numFmtId="0" fontId="37" fillId="4" borderId="8" xfId="0" applyFont="1" applyFill="1" applyBorder="1" applyAlignment="1">
      <alignment horizontal="center" wrapText="1"/>
    </xf>
    <xf numFmtId="179" fontId="39" fillId="0" borderId="3" xfId="0" applyNumberFormat="1" applyFont="1" applyBorder="1" applyAlignment="1">
      <alignment vertical="center"/>
    </xf>
    <xf numFmtId="0" fontId="69" fillId="0" borderId="4" xfId="30" applyBorder="1" applyAlignment="1">
      <alignment horizontal="right"/>
    </xf>
    <xf numFmtId="0" fontId="37" fillId="6" borderId="9" xfId="0" applyFont="1" applyFill="1" applyBorder="1" applyAlignment="1">
      <alignment horizontal="center" wrapText="1"/>
    </xf>
    <xf numFmtId="0" fontId="37" fillId="6" borderId="7" xfId="0" applyFont="1" applyFill="1" applyBorder="1" applyAlignment="1">
      <alignment horizontal="center" wrapText="1"/>
    </xf>
    <xf numFmtId="0" fontId="37" fillId="6" borderId="8" xfId="0" applyFont="1" applyFill="1" applyBorder="1" applyAlignment="1">
      <alignment horizontal="center" wrapText="1"/>
    </xf>
    <xf numFmtId="0" fontId="0" fillId="0" borderId="6" xfId="0" applyBorder="1" applyAlignment="1">
      <alignment vertical="center"/>
    </xf>
    <xf numFmtId="178" fontId="0" fillId="0" borderId="3" xfId="0" applyNumberFormat="1" applyBorder="1" applyAlignment="1">
      <alignment vertical="center"/>
    </xf>
    <xf numFmtId="0" fontId="26" fillId="0" borderId="1" xfId="0" applyFont="1" applyBorder="1"/>
    <xf numFmtId="0" fontId="25" fillId="0" borderId="1" xfId="0" applyFont="1" applyBorder="1"/>
    <xf numFmtId="0" fontId="75" fillId="0" borderId="25" xfId="26" applyFont="1" applyBorder="1" applyAlignment="1">
      <alignment horizontal="center"/>
    </xf>
    <xf numFmtId="0" fontId="43" fillId="0" borderId="11" xfId="26" applyBorder="1" applyAlignment="1">
      <alignment horizontal="center"/>
    </xf>
    <xf numFmtId="0" fontId="74" fillId="7" borderId="9" xfId="26" applyFont="1" applyFill="1" applyBorder="1" applyAlignment="1">
      <alignment horizontal="center" vertical="center" wrapText="1"/>
    </xf>
    <xf numFmtId="0" fontId="42" fillId="7" borderId="7" xfId="26" applyFont="1" applyFill="1" applyBorder="1" applyAlignment="1">
      <alignment horizontal="center" vertical="center" wrapText="1"/>
    </xf>
    <xf numFmtId="0" fontId="42" fillId="7" borderId="8" xfId="26" applyFont="1" applyFill="1" applyBorder="1" applyAlignment="1">
      <alignment horizontal="center" vertical="center" wrapText="1"/>
    </xf>
    <xf numFmtId="0" fontId="75" fillId="0" borderId="6" xfId="26" applyFont="1" applyBorder="1" applyAlignment="1">
      <alignment horizontal="center"/>
    </xf>
    <xf numFmtId="0" fontId="43" fillId="0" borderId="3" xfId="26" applyBorder="1" applyAlignment="1">
      <alignment horizontal="center"/>
    </xf>
    <xf numFmtId="0" fontId="43" fillId="0" borderId="4" xfId="26" applyBorder="1" applyAlignment="1">
      <alignment horizontal="center"/>
    </xf>
    <xf numFmtId="0" fontId="18" fillId="0" borderId="1" xfId="0" applyFont="1" applyBorder="1" applyAlignment="1">
      <alignment vertical="center"/>
    </xf>
    <xf numFmtId="0" fontId="18" fillId="0" borderId="1" xfId="0" applyFont="1" applyBorder="1"/>
    <xf numFmtId="0" fontId="17" fillId="0" borderId="0" xfId="0" applyFont="1"/>
    <xf numFmtId="0" fontId="18" fillId="0" borderId="0" xfId="0" applyFont="1"/>
    <xf numFmtId="0" fontId="0" fillId="13" borderId="0" xfId="0" applyFill="1"/>
    <xf numFmtId="0" fontId="0" fillId="14" borderId="0" xfId="0" applyFill="1"/>
    <xf numFmtId="0" fontId="86" fillId="0" borderId="0" xfId="0" applyFont="1"/>
    <xf numFmtId="0" fontId="87" fillId="0" borderId="0" xfId="0" applyFont="1"/>
    <xf numFmtId="0" fontId="84" fillId="0" borderId="0" xfId="0" applyFont="1"/>
    <xf numFmtId="0" fontId="83" fillId="0" borderId="0" xfId="0" applyFont="1"/>
    <xf numFmtId="0" fontId="86" fillId="0" borderId="0" xfId="0" applyFont="1" applyAlignment="1">
      <alignment vertical="top"/>
    </xf>
    <xf numFmtId="0" fontId="86" fillId="0" borderId="0" xfId="0" applyFont="1" applyAlignment="1">
      <alignment vertical="center"/>
    </xf>
    <xf numFmtId="0" fontId="16" fillId="0" borderId="0" xfId="0" applyFont="1"/>
    <xf numFmtId="0" fontId="15" fillId="0" borderId="0" xfId="0" applyFont="1"/>
    <xf numFmtId="0" fontId="15" fillId="0" borderId="1" xfId="0" applyFont="1" applyBorder="1"/>
    <xf numFmtId="0" fontId="0" fillId="5" borderId="7" xfId="0" applyFill="1" applyBorder="1"/>
    <xf numFmtId="179" fontId="0" fillId="0" borderId="1" xfId="0" applyNumberFormat="1" applyBorder="1"/>
    <xf numFmtId="0" fontId="14" fillId="0" borderId="0" xfId="0" applyFont="1"/>
    <xf numFmtId="0" fontId="14" fillId="0" borderId="1" xfId="30" applyFont="1" applyBorder="1" applyAlignment="1">
      <alignment horizontal="right"/>
    </xf>
    <xf numFmtId="0" fontId="14" fillId="0" borderId="1" xfId="30" applyFont="1" applyBorder="1"/>
    <xf numFmtId="183" fontId="69" fillId="0" borderId="1" xfId="30" applyNumberFormat="1" applyBorder="1" applyAlignment="1">
      <alignment horizontal="right"/>
    </xf>
    <xf numFmtId="183" fontId="38" fillId="0" borderId="1" xfId="30" applyNumberFormat="1" applyFont="1" applyBorder="1"/>
    <xf numFmtId="177" fontId="0" fillId="0" borderId="1" xfId="0" applyNumberFormat="1" applyBorder="1" applyAlignment="1">
      <alignment vertical="center"/>
    </xf>
    <xf numFmtId="0" fontId="13" fillId="0" borderId="0" xfId="0" applyFont="1"/>
    <xf numFmtId="49" fontId="0" fillId="9" borderId="0" xfId="0" applyNumberFormat="1" applyFill="1"/>
    <xf numFmtId="0" fontId="49" fillId="0" borderId="0" xfId="31" applyFont="1" applyAlignment="1">
      <alignment horizontal="center"/>
    </xf>
    <xf numFmtId="0" fontId="29" fillId="0" borderId="0" xfId="31" applyAlignment="1">
      <alignment horizontal="center"/>
    </xf>
    <xf numFmtId="0" fontId="49" fillId="0" borderId="0" xfId="31" applyFont="1" applyAlignment="1">
      <alignment horizontal="left"/>
    </xf>
    <xf numFmtId="0" fontId="91" fillId="0" borderId="0" xfId="3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7" fillId="0" borderId="0" xfId="31" applyFont="1">
      <alignment vertical="center"/>
    </xf>
    <xf numFmtId="0" fontId="48" fillId="0" borderId="0" xfId="31" applyFont="1">
      <alignment vertical="center"/>
    </xf>
    <xf numFmtId="0" fontId="49" fillId="0" borderId="0" xfId="31" applyFont="1" applyAlignment="1">
      <alignment vertical="top" wrapText="1"/>
    </xf>
    <xf numFmtId="0" fontId="0" fillId="0" borderId="0" xfId="0" applyAlignment="1">
      <alignment horizontal="left"/>
    </xf>
    <xf numFmtId="0" fontId="9" fillId="0" borderId="1" xfId="0" applyFont="1" applyBorder="1"/>
    <xf numFmtId="0" fontId="0" fillId="5" borderId="0" xfId="0" applyFill="1"/>
    <xf numFmtId="0" fontId="10" fillId="0" borderId="0" xfId="0" applyFont="1" applyAlignment="1">
      <alignment horizontal="left"/>
    </xf>
    <xf numFmtId="0" fontId="7" fillId="0" borderId="0" xfId="0" applyFont="1"/>
    <xf numFmtId="0" fontId="37" fillId="0" borderId="0" xfId="0" applyFont="1"/>
    <xf numFmtId="0" fontId="29" fillId="0" borderId="0" xfId="31" applyAlignment="1">
      <alignment vertical="top"/>
    </xf>
    <xf numFmtId="0" fontId="37" fillId="0" borderId="0" xfId="0" quotePrefix="1" applyFont="1"/>
    <xf numFmtId="1" fontId="0" fillId="0" borderId="1" xfId="0" applyNumberFormat="1" applyBorder="1"/>
    <xf numFmtId="0" fontId="41" fillId="0" borderId="1" xfId="0" applyFont="1" applyBorder="1"/>
    <xf numFmtId="0" fontId="29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180" fontId="29" fillId="0" borderId="0" xfId="0" applyNumberFormat="1" applyFont="1" applyAlignment="1">
      <alignment vertical="center"/>
    </xf>
    <xf numFmtId="0" fontId="55" fillId="0" borderId="0" xfId="0" applyFont="1"/>
    <xf numFmtId="0" fontId="55" fillId="10" borderId="0" xfId="0" applyFont="1" applyFill="1"/>
    <xf numFmtId="178" fontId="29" fillId="0" borderId="0" xfId="0" applyNumberFormat="1" applyFont="1" applyAlignment="1">
      <alignment vertical="center"/>
    </xf>
    <xf numFmtId="0" fontId="55" fillId="0" borderId="1" xfId="0" applyFont="1" applyBorder="1"/>
    <xf numFmtId="2" fontId="55" fillId="5" borderId="1" xfId="0" applyNumberFormat="1" applyFont="1" applyFill="1" applyBorder="1"/>
    <xf numFmtId="2" fontId="55" fillId="0" borderId="1" xfId="0" applyNumberFormat="1" applyFont="1" applyBorder="1"/>
    <xf numFmtId="179" fontId="55" fillId="0" borderId="1" xfId="0" applyNumberFormat="1" applyFont="1" applyBorder="1"/>
    <xf numFmtId="178" fontId="55" fillId="5" borderId="1" xfId="0" applyNumberFormat="1" applyFont="1" applyFill="1" applyBorder="1"/>
    <xf numFmtId="178" fontId="55" fillId="0" borderId="1" xfId="0" applyNumberFormat="1" applyFont="1" applyBorder="1"/>
    <xf numFmtId="182" fontId="93" fillId="0" borderId="1" xfId="0" applyNumberFormat="1" applyFont="1" applyBorder="1"/>
    <xf numFmtId="178" fontId="93" fillId="0" borderId="1" xfId="0" applyNumberFormat="1" applyFont="1" applyBorder="1"/>
    <xf numFmtId="0" fontId="37" fillId="0" borderId="0" xfId="0" applyFont="1" applyAlignment="1">
      <alignment horizontal="right"/>
    </xf>
    <xf numFmtId="0" fontId="6" fillId="0" borderId="0" xfId="0" applyFont="1" applyAlignment="1">
      <alignment vertical="center"/>
    </xf>
    <xf numFmtId="0" fontId="94" fillId="0" borderId="0" xfId="0" applyFont="1"/>
    <xf numFmtId="0" fontId="37" fillId="0" borderId="0" xfId="0" applyFont="1" applyAlignment="1">
      <alignment horizontal="right" vertical="center"/>
    </xf>
    <xf numFmtId="0" fontId="49" fillId="0" borderId="0" xfId="0" applyFont="1" applyAlignment="1">
      <alignment vertical="center"/>
    </xf>
    <xf numFmtId="0" fontId="92" fillId="0" borderId="0" xfId="0" applyFont="1"/>
    <xf numFmtId="0" fontId="5" fillId="0" borderId="0" xfId="0" applyFont="1"/>
    <xf numFmtId="0" fontId="92" fillId="0" borderId="0" xfId="0" applyFont="1" applyAlignment="1">
      <alignment vertical="center"/>
    </xf>
    <xf numFmtId="0" fontId="92" fillId="0" borderId="0" xfId="0" applyFont="1" applyAlignment="1">
      <alignment vertical="top"/>
    </xf>
    <xf numFmtId="0" fontId="49" fillId="0" borderId="0" xfId="31" applyFont="1" applyAlignment="1">
      <alignment horizontal="left" vertical="center"/>
    </xf>
    <xf numFmtId="0" fontId="4" fillId="14" borderId="0" xfId="0" applyFont="1" applyFill="1"/>
    <xf numFmtId="0" fontId="92" fillId="0" borderId="36" xfId="0" applyFont="1" applyBorder="1" applyAlignment="1">
      <alignment horizontal="center" vertical="center"/>
    </xf>
    <xf numFmtId="0" fontId="4" fillId="0" borderId="0" xfId="0" applyFont="1"/>
    <xf numFmtId="0" fontId="9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92" fillId="0" borderId="0" xfId="0" applyFont="1" applyAlignment="1">
      <alignment horizontal="left" vertical="center"/>
    </xf>
    <xf numFmtId="182" fontId="57" fillId="0" borderId="0" xfId="31" applyNumberFormat="1" applyFont="1">
      <alignment vertical="center"/>
    </xf>
    <xf numFmtId="0" fontId="59" fillId="0" borderId="0" xfId="31" applyFont="1">
      <alignment vertical="center"/>
    </xf>
    <xf numFmtId="1" fontId="57" fillId="0" borderId="0" xfId="31" applyNumberFormat="1" applyFont="1">
      <alignment vertical="center"/>
    </xf>
    <xf numFmtId="0" fontId="0" fillId="0" borderId="37" xfId="0" applyBorder="1"/>
    <xf numFmtId="0" fontId="18" fillId="0" borderId="37" xfId="0" applyFont="1" applyBorder="1"/>
    <xf numFmtId="0" fontId="0" fillId="9" borderId="37" xfId="0" applyFill="1" applyBorder="1"/>
    <xf numFmtId="0" fontId="2" fillId="0" borderId="37" xfId="0" applyFont="1" applyBorder="1"/>
    <xf numFmtId="0" fontId="2" fillId="9" borderId="37" xfId="0" applyFont="1" applyFill="1" applyBorder="1"/>
    <xf numFmtId="0" fontId="2" fillId="0" borderId="0" xfId="0" applyFont="1" applyAlignment="1">
      <alignment vertical="center"/>
    </xf>
    <xf numFmtId="0" fontId="2" fillId="0" borderId="0" xfId="0" applyFont="1"/>
    <xf numFmtId="0" fontId="55" fillId="11" borderId="4" xfId="0" applyFont="1" applyFill="1" applyBorder="1"/>
    <xf numFmtId="0" fontId="55" fillId="11" borderId="5" xfId="0" applyFont="1" applyFill="1" applyBorder="1"/>
    <xf numFmtId="0" fontId="55" fillId="11" borderId="6" xfId="0" applyFont="1" applyFill="1" applyBorder="1"/>
    <xf numFmtId="0" fontId="55" fillId="11" borderId="33" xfId="0" applyFont="1" applyFill="1" applyBorder="1"/>
    <xf numFmtId="0" fontId="55" fillId="11" borderId="34" xfId="0" applyFont="1" applyFill="1" applyBorder="1"/>
    <xf numFmtId="0" fontId="55" fillId="11" borderId="35" xfId="0" applyFont="1" applyFill="1" applyBorder="1"/>
    <xf numFmtId="0" fontId="2" fillId="15" borderId="37" xfId="0" applyFont="1" applyFill="1" applyBorder="1"/>
    <xf numFmtId="179" fontId="55" fillId="5" borderId="1" xfId="0" applyNumberFormat="1" applyFont="1" applyFill="1" applyBorder="1"/>
    <xf numFmtId="179" fontId="93" fillId="0" borderId="1" xfId="0" applyNumberFormat="1" applyFont="1" applyBorder="1"/>
    <xf numFmtId="0" fontId="1" fillId="15" borderId="1" xfId="0" applyFont="1" applyFill="1" applyBorder="1"/>
    <xf numFmtId="0" fontId="0" fillId="5" borderId="37" xfId="0" applyFill="1" applyBorder="1"/>
    <xf numFmtId="0" fontId="7" fillId="0" borderId="37" xfId="0" applyFont="1" applyBorder="1"/>
    <xf numFmtId="0" fontId="8" fillId="0" borderId="37" xfId="0" applyFont="1" applyBorder="1"/>
    <xf numFmtId="0" fontId="1" fillId="0" borderId="37" xfId="0" applyFont="1" applyBorder="1"/>
    <xf numFmtId="0" fontId="92" fillId="0" borderId="0" xfId="0" applyFont="1" applyAlignment="1">
      <alignment horizontal="left" vertical="top" wrapText="1"/>
    </xf>
    <xf numFmtId="0" fontId="49" fillId="0" borderId="0" xfId="31" applyFont="1" applyAlignment="1">
      <alignment horizontal="left" vertical="top" wrapText="1"/>
    </xf>
    <xf numFmtId="0" fontId="47" fillId="0" borderId="0" xfId="31" applyFont="1" applyAlignment="1">
      <alignment horizontal="center" vertical="center"/>
    </xf>
    <xf numFmtId="0" fontId="48" fillId="0" borderId="0" xfId="31" applyFont="1" applyAlignment="1">
      <alignment horizontal="center" vertical="center"/>
    </xf>
    <xf numFmtId="0" fontId="49" fillId="0" borderId="0" xfId="31" applyFont="1" applyAlignment="1">
      <alignment horizontal="center" vertical="center"/>
    </xf>
    <xf numFmtId="0" fontId="56" fillId="0" borderId="0" xfId="31" applyFont="1">
      <alignment vertical="center"/>
    </xf>
    <xf numFmtId="0" fontId="49" fillId="0" borderId="3" xfId="31" applyFont="1" applyBorder="1" applyAlignment="1">
      <alignment horizontal="center" vertical="center"/>
    </xf>
    <xf numFmtId="0" fontId="49" fillId="0" borderId="33" xfId="31" applyFont="1" applyBorder="1" applyAlignment="1">
      <alignment horizontal="center" vertical="center"/>
    </xf>
    <xf numFmtId="0" fontId="49" fillId="0" borderId="4" xfId="31" applyFont="1" applyBorder="1" applyAlignment="1">
      <alignment horizontal="center" vertical="center" wrapText="1"/>
    </xf>
    <xf numFmtId="0" fontId="49" fillId="0" borderId="6" xfId="31" applyFont="1" applyBorder="1" applyAlignment="1">
      <alignment horizontal="center" vertical="center" wrapText="1"/>
    </xf>
    <xf numFmtId="0" fontId="49" fillId="0" borderId="4" xfId="31" applyFont="1" applyBorder="1" applyAlignment="1">
      <alignment horizontal="center" vertical="center"/>
    </xf>
    <xf numFmtId="0" fontId="49" fillId="0" borderId="6" xfId="31" applyFont="1" applyBorder="1" applyAlignment="1">
      <alignment horizontal="center" vertical="center"/>
    </xf>
    <xf numFmtId="0" fontId="49" fillId="0" borderId="5" xfId="31" applyFont="1" applyBorder="1" applyAlignment="1">
      <alignment horizontal="center" vertical="center" wrapText="1"/>
    </xf>
    <xf numFmtId="0" fontId="49" fillId="0" borderId="35" xfId="31" applyFont="1" applyBorder="1" applyAlignment="1">
      <alignment horizontal="center" vertical="center"/>
    </xf>
    <xf numFmtId="0" fontId="57" fillId="0" borderId="33" xfId="31" applyFont="1" applyBorder="1" applyAlignment="1">
      <alignment horizontal="center" vertical="center"/>
    </xf>
    <xf numFmtId="0" fontId="57" fillId="0" borderId="35" xfId="31" applyFont="1" applyBorder="1" applyAlignment="1">
      <alignment horizontal="center" vertical="center"/>
    </xf>
    <xf numFmtId="0" fontId="57" fillId="0" borderId="34" xfId="31" applyFont="1" applyBorder="1" applyAlignment="1">
      <alignment horizontal="center" vertical="center"/>
    </xf>
    <xf numFmtId="0" fontId="2" fillId="12" borderId="37" xfId="0" applyFont="1" applyFill="1" applyBorder="1" applyAlignment="1">
      <alignment horizontal="left"/>
    </xf>
    <xf numFmtId="0" fontId="0" fillId="12" borderId="37" xfId="0" applyFill="1" applyBorder="1" applyAlignment="1">
      <alignment horizontal="left"/>
    </xf>
    <xf numFmtId="0" fontId="2" fillId="12" borderId="38" xfId="0" applyFont="1" applyFill="1" applyBorder="1" applyAlignment="1">
      <alignment horizontal="left"/>
    </xf>
    <xf numFmtId="0" fontId="3" fillId="12" borderId="39" xfId="0" applyFont="1" applyFill="1" applyBorder="1" applyAlignment="1">
      <alignment horizontal="left"/>
    </xf>
    <xf numFmtId="0" fontId="10" fillId="12" borderId="38" xfId="0" applyFont="1" applyFill="1" applyBorder="1" applyAlignment="1">
      <alignment horizontal="left"/>
    </xf>
    <xf numFmtId="0" fontId="10" fillId="12" borderId="39" xfId="0" applyFont="1" applyFill="1" applyBorder="1" applyAlignment="1">
      <alignment horizontal="left"/>
    </xf>
    <xf numFmtId="0" fontId="2" fillId="12" borderId="37" xfId="0" applyFont="1" applyFill="1" applyBorder="1" applyAlignment="1">
      <alignment horizontal="left" wrapText="1"/>
    </xf>
    <xf numFmtId="0" fontId="0" fillId="12" borderId="37" xfId="0" applyFill="1" applyBorder="1" applyAlignment="1">
      <alignment horizontal="left" wrapText="1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3" fillId="12" borderId="38" xfId="0" applyFont="1" applyFill="1" applyBorder="1" applyAlignment="1">
      <alignment horizontal="center" wrapText="1"/>
    </xf>
    <xf numFmtId="0" fontId="3" fillId="12" borderId="39" xfId="0" applyFont="1" applyFill="1" applyBorder="1" applyAlignment="1">
      <alignment horizontal="center" wrapText="1"/>
    </xf>
    <xf numFmtId="0" fontId="89" fillId="0" borderId="7" xfId="0" applyFont="1" applyBorder="1" applyAlignment="1">
      <alignment horizontal="center" vertical="center"/>
    </xf>
    <xf numFmtId="0" fontId="89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7" fillId="0" borderId="0" xfId="31" applyFont="1" applyAlignment="1">
      <alignment horizontal="left" vertical="top"/>
    </xf>
    <xf numFmtId="0" fontId="92" fillId="0" borderId="36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105">
    <cellStyle name="Calc Currency (0)" xfId="1" xr:uid="{00000000-0005-0000-0000-000031000000}"/>
    <cellStyle name="Calc Currency (0) 2" xfId="45" xr:uid="{C99AC188-E607-4B0D-8034-493FDF1E4B32}"/>
    <cellStyle name="Calc Currency (2)" xfId="2" xr:uid="{00000000-0005-0000-0000-000032000000}"/>
    <cellStyle name="Calc Currency (2) 2" xfId="46" xr:uid="{712F25FC-519A-4F47-B932-56FFD81889FB}"/>
    <cellStyle name="Calc Percent (0)" xfId="3" xr:uid="{00000000-0005-0000-0000-000033000000}"/>
    <cellStyle name="Calc Percent (0) 2" xfId="47" xr:uid="{91372B33-47DB-4D9D-B90A-2D33613337CA}"/>
    <cellStyle name="Calc Percent (1)" xfId="4" xr:uid="{00000000-0005-0000-0000-000034000000}"/>
    <cellStyle name="Calc Percent (1) 2" xfId="48" xr:uid="{89F81B62-98AD-4ED2-A245-6ADE8971E8B3}"/>
    <cellStyle name="Calc Percent (2)" xfId="5" xr:uid="{00000000-0005-0000-0000-000035000000}"/>
    <cellStyle name="Calc Percent (2) 2" xfId="49" xr:uid="{C6C3DBD5-11F6-4A9F-8D08-29266B13FA70}"/>
    <cellStyle name="Calc Units (0)" xfId="6" xr:uid="{00000000-0005-0000-0000-000036000000}"/>
    <cellStyle name="Calc Units (0) 2" xfId="50" xr:uid="{692A53FB-3F72-4B0F-8187-73EA39FF879F}"/>
    <cellStyle name="Calc Units (1)" xfId="7" xr:uid="{00000000-0005-0000-0000-000037000000}"/>
    <cellStyle name="Calc Units (1) 2" xfId="51" xr:uid="{FD7D84FB-934F-40C0-9E2A-4C182C529C38}"/>
    <cellStyle name="Calc Units (2)" xfId="8" xr:uid="{00000000-0005-0000-0000-000038000000}"/>
    <cellStyle name="Calc Units (2) 2" xfId="52" xr:uid="{C2856ED1-67F6-4FD7-A9C0-61BC1A84A6F0}"/>
    <cellStyle name="Comma [00]" xfId="9" xr:uid="{00000000-0005-0000-0000-000039000000}"/>
    <cellStyle name="Comma [00] 2" xfId="53" xr:uid="{73BDB66B-CC0B-48B2-A0FC-41FC84BF5CCD}"/>
    <cellStyle name="Currency (0.00)" xfId="10" xr:uid="{00000000-0005-0000-0000-00003A000000}"/>
    <cellStyle name="Currency [00]" xfId="11" xr:uid="{00000000-0005-0000-0000-00003B000000}"/>
    <cellStyle name="Currency [00] 2" xfId="55" xr:uid="{AAA02B91-5806-421F-8EE7-F4883D4E1247}"/>
    <cellStyle name="Date Short" xfId="12" xr:uid="{00000000-0005-0000-0000-00003C000000}"/>
    <cellStyle name="Date Short 2" xfId="56" xr:uid="{990B207B-C90C-4E98-819A-BBB19C14C656}"/>
    <cellStyle name="Enter Currency (0)" xfId="13" xr:uid="{00000000-0005-0000-0000-00003D000000}"/>
    <cellStyle name="Enter Currency (0) 2" xfId="57" xr:uid="{71938B1F-D6EF-44D1-A9F2-C0019DA17221}"/>
    <cellStyle name="Enter Currency (2)" xfId="14" xr:uid="{00000000-0005-0000-0000-00003E000000}"/>
    <cellStyle name="Enter Currency (2) 2" xfId="58" xr:uid="{4ED5E5EB-E9FA-49DF-993B-6CF8E2FD1B9F}"/>
    <cellStyle name="Enter Units (0)" xfId="15" xr:uid="{00000000-0005-0000-0000-00003F000000}"/>
    <cellStyle name="Enter Units (0) 2" xfId="59" xr:uid="{ECE81110-9869-48B2-B19A-684C45009C8A}"/>
    <cellStyle name="Enter Units (1)" xfId="16" xr:uid="{00000000-0005-0000-0000-000040000000}"/>
    <cellStyle name="Enter Units (1) 2" xfId="60" xr:uid="{98D0DBE3-C471-49BF-AA8F-0AAE0699D89B}"/>
    <cellStyle name="Enter Units (2)" xfId="17" xr:uid="{00000000-0005-0000-0000-000041000000}"/>
    <cellStyle name="Enter Units (2) 2" xfId="61" xr:uid="{5D3398CF-BD2A-40A2-8AE6-A4D10D832105}"/>
    <cellStyle name="Header1" xfId="18" xr:uid="{00000000-0005-0000-0000-000042000000}"/>
    <cellStyle name="Header1 2" xfId="62" xr:uid="{A22F0999-9CF9-4B5F-8177-A7AA338FA256}"/>
    <cellStyle name="Header2" xfId="19" xr:uid="{00000000-0005-0000-0000-000043000000}"/>
    <cellStyle name="Header2 2" xfId="63" xr:uid="{48FD99B1-169F-48C6-AF45-11681BE064D7}"/>
    <cellStyle name="Link Currency (0)" xfId="20" xr:uid="{00000000-0005-0000-0000-000044000000}"/>
    <cellStyle name="Link Currency (0) 2" xfId="64" xr:uid="{B6A4759D-EB28-44A4-BFD5-799929D10BD9}"/>
    <cellStyle name="Link Currency (2)" xfId="21" xr:uid="{00000000-0005-0000-0000-000045000000}"/>
    <cellStyle name="Link Currency (2) 2" xfId="65" xr:uid="{D8092260-AA1B-43E5-92A9-AB8565B29719}"/>
    <cellStyle name="Link Units (0)" xfId="22" xr:uid="{00000000-0005-0000-0000-000046000000}"/>
    <cellStyle name="Link Units (0) 2" xfId="66" xr:uid="{9C3D2869-2A67-4C2A-8AFE-935757D4413B}"/>
    <cellStyle name="Link Units (1)" xfId="23" xr:uid="{00000000-0005-0000-0000-000047000000}"/>
    <cellStyle name="Link Units (1) 2" xfId="67" xr:uid="{AC3E7CEC-2D2D-45C4-94B9-9A0849068005}"/>
    <cellStyle name="Link Units (2)" xfId="24" xr:uid="{00000000-0005-0000-0000-000048000000}"/>
    <cellStyle name="Link Units (2) 2" xfId="68" xr:uid="{F863D4F2-0DDA-47AB-ABC0-AC46B7CA198B}"/>
    <cellStyle name="Normal" xfId="0" builtinId="0"/>
    <cellStyle name="Normal - Style1" xfId="25" xr:uid="{00000000-0005-0000-0000-000049000000}"/>
    <cellStyle name="Normal - Style1 2" xfId="69" xr:uid="{E79CF8E2-3448-4E23-B825-891E0F99FEA5}"/>
    <cellStyle name="Normal 10" xfId="95" xr:uid="{6A35B24F-9E97-4677-8548-0DB2B1F40A46}"/>
    <cellStyle name="Normal 11" xfId="96" xr:uid="{5CBD54C5-AD22-4400-A1C2-385F9DFE5F21}"/>
    <cellStyle name="Normal 12" xfId="99" xr:uid="{DA390C22-2F83-4078-9F1F-5E8FBBC9A666}"/>
    <cellStyle name="Normal 13" xfId="102" xr:uid="{70F6B177-2D6A-4849-83BB-B1B95A2BA659}"/>
    <cellStyle name="Normal 2" xfId="26" xr:uid="{00000000-0005-0000-0000-00004A000000}"/>
    <cellStyle name="Normal 2 2" xfId="27" xr:uid="{00000000-0005-0000-0000-00004B000000}"/>
    <cellStyle name="Normal 2 2 2" xfId="71" xr:uid="{948CB3EE-7D4F-48CA-99FD-8CF020DEE8C1}"/>
    <cellStyle name="Normal 2 3" xfId="28" xr:uid="{00000000-0005-0000-0000-00004C000000}"/>
    <cellStyle name="Normal 2 3 2" xfId="85" xr:uid="{08CFB9BB-55A7-4EF6-AFF6-FB0154606B52}"/>
    <cellStyle name="Normal 2 3 3" xfId="89" xr:uid="{3FE62963-A95D-4170-B66A-C28B3C80264F}"/>
    <cellStyle name="Normal 2 3 4" xfId="93" xr:uid="{42FCEDA6-7606-4FB4-9C0F-EEF73679F582}"/>
    <cellStyle name="Normal 2 3 5" xfId="97" xr:uid="{2771DCE1-1C7B-4D4C-8CBA-91111FE9ACAF}"/>
    <cellStyle name="Normal 2 4" xfId="70" xr:uid="{7F545766-3034-4ED2-AACF-EF93CD4F6F82}"/>
    <cellStyle name="Normal 3" xfId="29" xr:uid="{00000000-0005-0000-0000-00004D000000}"/>
    <cellStyle name="Normal 3 2" xfId="30" xr:uid="{00000000-0005-0000-0000-00004E000000}"/>
    <cellStyle name="Normal 3 2 2" xfId="87" xr:uid="{0CC664D7-A7D3-404A-ACAC-B3E03FD4C0C4}"/>
    <cellStyle name="Normal 3 2 3" xfId="90" xr:uid="{71D56F9B-5C27-4DB3-A76E-80E85AEC5ECC}"/>
    <cellStyle name="Normal 3 2 4" xfId="94" xr:uid="{2403F1F3-3D73-4EDC-95F7-74364E96755D}"/>
    <cellStyle name="Normal 3 2 5" xfId="98" xr:uid="{1349F338-7A81-43F0-B043-E7228E6D26D7}"/>
    <cellStyle name="Normal 3 3" xfId="84" xr:uid="{E8F5631B-0BFA-4985-97E9-1FC317162C09}"/>
    <cellStyle name="Normal 4" xfId="31" xr:uid="{00000000-0005-0000-0000-00004F000000}"/>
    <cellStyle name="Normal 4 2" xfId="86" xr:uid="{90C83EC9-BE09-4D51-B454-B1D7DC1F7569}"/>
    <cellStyle name="Normal 4 3" xfId="100" xr:uid="{4DFE4B0F-D87E-4F02-A3B7-3D0D5C1D7A88}"/>
    <cellStyle name="Normal 4 4" xfId="103" xr:uid="{6EB3345C-FDC3-4649-B9E9-28990C547D49}"/>
    <cellStyle name="Normal 5" xfId="44" xr:uid="{04D391A7-4868-439D-B0DA-63B95A2C99DB}"/>
    <cellStyle name="Normal 6" xfId="54" xr:uid="{05A7BC02-B77E-498C-AB5D-04DAF045D2B8}"/>
    <cellStyle name="Normal 6 2" xfId="101" xr:uid="{74A458C7-319D-4586-8A96-52928B6379AB}"/>
    <cellStyle name="Normal 6 3" xfId="104" xr:uid="{1798EBB7-5C43-4F46-92B9-353947F673CC}"/>
    <cellStyle name="Normal 7" xfId="88" xr:uid="{210E42B8-BC22-4715-A327-86F31C691E37}"/>
    <cellStyle name="Normal 8" xfId="91" xr:uid="{2194254F-5E62-4CB3-8E98-B839C709ED8B}"/>
    <cellStyle name="Normal 9" xfId="92" xr:uid="{18CC71B9-3EDD-45CD-BB44-D98D12C6BB62}"/>
    <cellStyle name="Percent [0]" xfId="32" xr:uid="{00000000-0005-0000-0000-000050000000}"/>
    <cellStyle name="Percent [0] 2" xfId="72" xr:uid="{8CF6CDE4-794F-41A7-9DA4-8F85F9F36183}"/>
    <cellStyle name="Percent [00]" xfId="33" xr:uid="{00000000-0005-0000-0000-000051000000}"/>
    <cellStyle name="Percent [00] 2" xfId="73" xr:uid="{E9DDF235-2FD0-44E8-B322-DE55971E87F6}"/>
    <cellStyle name="PrePop Currency (0)" xfId="34" xr:uid="{00000000-0005-0000-0000-000052000000}"/>
    <cellStyle name="PrePop Currency (0) 2" xfId="74" xr:uid="{939A5C54-BD5C-467B-AC12-D73C9CE1F4ED}"/>
    <cellStyle name="PrePop Currency (2)" xfId="35" xr:uid="{00000000-0005-0000-0000-000053000000}"/>
    <cellStyle name="PrePop Currency (2) 2" xfId="75" xr:uid="{292E99C8-4B85-4618-9827-9CB13BBF5A2D}"/>
    <cellStyle name="PrePop Units (0)" xfId="36" xr:uid="{00000000-0005-0000-0000-000054000000}"/>
    <cellStyle name="PrePop Units (0) 2" xfId="76" xr:uid="{EDC1912C-34FF-4022-BE3F-E9E01E022579}"/>
    <cellStyle name="PrePop Units (1)" xfId="37" xr:uid="{00000000-0005-0000-0000-000055000000}"/>
    <cellStyle name="PrePop Units (1) 2" xfId="77" xr:uid="{01E98C32-6A87-4FEA-B50F-8B757588B1AA}"/>
    <cellStyle name="PrePop Units (2)" xfId="38" xr:uid="{00000000-0005-0000-0000-000056000000}"/>
    <cellStyle name="PrePop Units (2) 2" xfId="78" xr:uid="{0B8FFD5F-B79C-43E6-878C-84ED8316388D}"/>
    <cellStyle name="sbt2" xfId="39" xr:uid="{00000000-0005-0000-0000-000057000000}"/>
    <cellStyle name="sbt2 2" xfId="79" xr:uid="{9445FD2D-D36E-4F21-A827-03F82DE1B0B8}"/>
    <cellStyle name="subt1" xfId="40" xr:uid="{00000000-0005-0000-0000-000058000000}"/>
    <cellStyle name="subt1 2" xfId="80" xr:uid="{14010AD9-CD34-4C83-A6E8-FB1E9E2D02EA}"/>
    <cellStyle name="Text Indent A" xfId="41" xr:uid="{00000000-0005-0000-0000-000059000000}"/>
    <cellStyle name="Text Indent A 2" xfId="81" xr:uid="{8606F96E-B6DB-4AAC-BDEA-552A6FC7CA4B}"/>
    <cellStyle name="Text Indent B" xfId="42" xr:uid="{00000000-0005-0000-0000-00005A000000}"/>
    <cellStyle name="Text Indent B 2" xfId="82" xr:uid="{3F2F2A6C-2876-487A-B937-14591A9B93C3}"/>
    <cellStyle name="Text Indent C" xfId="43" xr:uid="{00000000-0005-0000-0000-00005B000000}"/>
    <cellStyle name="Text Indent C 2" xfId="83" xr:uid="{A8AAA4F1-F0A8-436F-A6CC-6BB9739DB714}"/>
  </cellStyles>
  <dxfs count="62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51170384838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78" formatCode="0.000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799951170384838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79" formatCode="0.00000"/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799951170384838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51170384838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30" formatCode="@"/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30" formatCode="@"/>
      <border>
        <left/>
        <right/>
        <top/>
        <bottom/>
        <vertical/>
        <horizontal/>
      </border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42" Type="http://www.wps.cn/officeDocument/2023/relationships/customStorage" Target="customStorage/customStorage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D$34" lockText="1" noThreeD="1"/>
</file>

<file path=xl/ctrlProps/ctrlProp2.xml><?xml version="1.0" encoding="utf-8"?>
<formControlPr xmlns="http://schemas.microsoft.com/office/spreadsheetml/2009/9/main" objectType="CheckBox" fmlaLink="$D$35" lockText="1" noThreeD="1"/>
</file>

<file path=xl/ctrlProps/ctrlProp3.xml><?xml version="1.0" encoding="utf-8"?>
<formControlPr xmlns="http://schemas.microsoft.com/office/spreadsheetml/2009/9/main" objectType="CheckBox" fmlaLink="$D$36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ustomStorage/customStorage.xml><?xml version="1.0" encoding="utf-8"?>
<customStorage xmlns="https://web.wps.cn/et/2018/main">
  <book/>
  <sheets/>
</customStorag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510540</xdr:colOff>
      <xdr:row>0</xdr:row>
      <xdr:rowOff>15240</xdr:rowOff>
    </xdr:from>
    <xdr:to>
      <xdr:col>5</xdr:col>
      <xdr:colOff>365760</xdr:colOff>
      <xdr:row>5</xdr:row>
      <xdr:rowOff>53340</xdr:rowOff>
    </xdr:to>
    <xdr:pic>
      <xdr:nvPicPr>
        <xdr:cNvPr id="4" name="Picture 3" descr="Balai Besar Standardisasi dan Pelayanan Jasa Industri Logam dan Mesin">
          <a:extLst>
            <a:ext uri="{FF2B5EF4-FFF2-40B4-BE49-F238E27FC236}">
              <a16:creationId xmlns:a16="http://schemas.microsoft.com/office/drawing/2014/main" id="{C2E6605D-BA6D-90AA-320D-D740ACF3C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7340" y="15240"/>
          <a:ext cx="4820920" cy="92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32</xdr:row>
          <xdr:rowOff>160020</xdr:rowOff>
        </xdr:from>
        <xdr:to>
          <xdr:col>4</xdr:col>
          <xdr:colOff>68580</xdr:colOff>
          <xdr:row>34</xdr:row>
          <xdr:rowOff>22860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Setengah Set,13 Anak Timbangan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33</xdr:row>
          <xdr:rowOff>182880</xdr:rowOff>
        </xdr:from>
        <xdr:to>
          <xdr:col>4</xdr:col>
          <xdr:colOff>68580</xdr:colOff>
          <xdr:row>35</xdr:row>
          <xdr:rowOff>38100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Full Set, 27 Anak Timbangan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35</xdr:row>
          <xdr:rowOff>0</xdr:rowOff>
        </xdr:from>
        <xdr:to>
          <xdr:col>3</xdr:col>
          <xdr:colOff>1287780</xdr:colOff>
          <xdr:row>36</xdr:row>
          <xdr:rowOff>30480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Custom, Input Jumlah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365760</xdr:colOff>
          <xdr:row>6</xdr:row>
          <xdr:rowOff>76200</xdr:rowOff>
        </xdr:from>
        <xdr:to>
          <xdr:col>5</xdr:col>
          <xdr:colOff>1211580</xdr:colOff>
          <xdr:row>7</xdr:row>
          <xdr:rowOff>99060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670560</xdr:colOff>
          <xdr:row>54</xdr:row>
          <xdr:rowOff>7620</xdr:rowOff>
        </xdr:from>
        <xdr:to>
          <xdr:col>4</xdr:col>
          <xdr:colOff>1257300</xdr:colOff>
          <xdr:row>56</xdr:row>
          <xdr:rowOff>83820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CETAK SERTIFIKAT POLOS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731241</xdr:colOff>
      <xdr:row>51</xdr:row>
      <xdr:rowOff>34993</xdr:rowOff>
    </xdr:from>
    <xdr:to>
      <xdr:col>4</xdr:col>
      <xdr:colOff>1239243</xdr:colOff>
      <xdr:row>52</xdr:row>
      <xdr:rowOff>1843</xdr:rowOff>
    </xdr:to>
    <xdr:sp macro="" textlink="">
      <xdr:nvSpPr>
        <xdr:cNvPr id="9" name="foto-1">
          <a:extLst>
            <a:ext uri="{FF2B5EF4-FFF2-40B4-BE49-F238E27FC236}">
              <a16:creationId xmlns:a16="http://schemas.microsoft.com/office/drawing/2014/main" id="{E4C3A309-C802-4324-873C-D6C8AED987CD}"/>
            </a:ext>
          </a:extLst>
        </xdr:cNvPr>
        <xdr:cNvSpPr/>
      </xdr:nvSpPr>
      <xdr:spPr>
        <a:xfrm>
          <a:off x="6719483" y="9232872"/>
          <a:ext cx="508002" cy="397880"/>
        </a:xfrm>
        <a:prstGeom prst="rect">
          <a:avLst/>
        </a:prstGeom>
        <a:solidFill>
          <a:srgbClr val="808080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1828800</xdr:colOff>
          <xdr:row>51</xdr:row>
          <xdr:rowOff>7620</xdr:rowOff>
        </xdr:from>
        <xdr:to>
          <xdr:col>3</xdr:col>
          <xdr:colOff>1028700</xdr:colOff>
          <xdr:row>51</xdr:row>
          <xdr:rowOff>441960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Masukkan QR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655320</xdr:colOff>
          <xdr:row>58</xdr:row>
          <xdr:rowOff>22860</xdr:rowOff>
        </xdr:from>
        <xdr:to>
          <xdr:col>4</xdr:col>
          <xdr:colOff>1257300</xdr:colOff>
          <xdr:row>60</xdr:row>
          <xdr:rowOff>99060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CETAK SERTIFIKAT DENGAN LOGO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76</xdr:row>
      <xdr:rowOff>0</xdr:rowOff>
    </xdr:from>
    <xdr:to>
      <xdr:col>14</xdr:col>
      <xdr:colOff>304800</xdr:colOff>
      <xdr:row>77</xdr:row>
      <xdr:rowOff>123826</xdr:rowOff>
    </xdr:to>
    <xdr:sp macro="" textlink="">
      <xdr:nvSpPr>
        <xdr:cNvPr id="3" name="AutoShape 1">
          <a:extLst>
            <a:ext uri="{FF2B5EF4-FFF2-40B4-BE49-F238E27FC236}">
              <a16:creationId xmlns:a16="http://schemas.microsoft.com/office/drawing/2014/main" id="{67C51131-6A4B-4937-A47B-0772DFA35CD1}"/>
            </a:ext>
          </a:extLst>
        </xdr:cNvPr>
        <xdr:cNvSpPr>
          <a:spLocks noChangeAspect="1" noChangeArrowheads="1"/>
        </xdr:cNvSpPr>
      </xdr:nvSpPr>
      <xdr:spPr>
        <a:xfrm>
          <a:off x="11168063" y="205216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442384</xdr:colOff>
      <xdr:row>43</xdr:row>
      <xdr:rowOff>139017</xdr:rowOff>
    </xdr:from>
    <xdr:to>
      <xdr:col>3</xdr:col>
      <xdr:colOff>403860</xdr:colOff>
      <xdr:row>47</xdr:row>
      <xdr:rowOff>60961</xdr:rowOff>
    </xdr:to>
    <xdr:sp macro="" textlink="">
      <xdr:nvSpPr>
        <xdr:cNvPr id="3" name="foto-2">
          <a:extLst>
            <a:ext uri="{FF2B5EF4-FFF2-40B4-BE49-F238E27FC236}">
              <a16:creationId xmlns:a16="http://schemas.microsoft.com/office/drawing/2014/main" id="{3F0D2813-02DC-1712-3705-FB037406C2F1}"/>
            </a:ext>
          </a:extLst>
        </xdr:cNvPr>
        <xdr:cNvSpPr/>
      </xdr:nvSpPr>
      <xdr:spPr>
        <a:xfrm>
          <a:off x="1730164" y="8140017"/>
          <a:ext cx="715856" cy="653464"/>
        </a:xfrm>
        <a:prstGeom prst="rect">
          <a:avLst/>
        </a:prstGeom>
        <a:solidFill>
          <a:srgbClr val="808080"/>
        </a:solidFill>
        <a:ln>
          <a:solidFill>
            <a:schemeClr val="bg1"/>
          </a:solidFill>
        </a:ln>
        <a:effectLst>
          <a:outerShdw blurRad="40000" dist="20000" dir="5400000" sx="1000" sy="1000" rotWithShape="0">
            <a:srgbClr val="000000">
              <a:alpha val="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518584</xdr:colOff>
      <xdr:row>43</xdr:row>
      <xdr:rowOff>32337</xdr:rowOff>
    </xdr:from>
    <xdr:to>
      <xdr:col>3</xdr:col>
      <xdr:colOff>296336</xdr:colOff>
      <xdr:row>45</xdr:row>
      <xdr:rowOff>168747</xdr:rowOff>
    </xdr:to>
    <xdr:sp macro="" textlink="">
      <xdr:nvSpPr>
        <xdr:cNvPr id="2" name="foto-3">
          <a:extLst>
            <a:ext uri="{FF2B5EF4-FFF2-40B4-BE49-F238E27FC236}">
              <a16:creationId xmlns:a16="http://schemas.microsoft.com/office/drawing/2014/main" id="{3638BFCB-4072-484A-968F-196E6CAD88EC}"/>
            </a:ext>
          </a:extLst>
        </xdr:cNvPr>
        <xdr:cNvSpPr/>
      </xdr:nvSpPr>
      <xdr:spPr>
        <a:xfrm>
          <a:off x="1766359" y="8519112"/>
          <a:ext cx="511177" cy="517410"/>
        </a:xfrm>
        <a:prstGeom prst="rect">
          <a:avLst/>
        </a:prstGeom>
        <a:solidFill>
          <a:srgbClr val="808080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F00ED-6757-4200-B2F1-75A5292DE9A1}" name="_E2" displayName="_E2" ref="U2:W20" totalsRowShown="0" headerRowDxfId="40" headerRowBorderDxfId="39" tableBorderDxfId="38" totalsRowBorderDxfId="37">
  <autoFilter ref="U2:W20" xr:uid="{AB9F00ED-6757-4200-B2F1-75A5292DE9A1}"/>
  <tableColumns count="3">
    <tableColumn id="1" xr3:uid="{CA5ADA1F-8D68-4063-88DF-41BC1E9A4A5F}" name="Nominal _x000a_(g)" dataDxfId="36" dataCellStyle="Normal 3 2"/>
    <tableColumn id="2" xr3:uid="{93B35FB8-F1B3-4A4D-BFF4-F162AD8E647D}" name="Massa konvensional _x000a_(g)" dataDxfId="35"/>
    <tableColumn id="3" xr3:uid="{C2427C81-B15C-442D-AD03-7844C83F75DC}" name="U95 _x000a_(mg)" dataDxfId="34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A6DFBD-7E2B-4D54-B709-16B5B951D4A2}" name="_F1" displayName="_F1" ref="Y2:AA20" totalsRowShown="0" headerRowDxfId="33" headerRowBorderDxfId="32" tableBorderDxfId="31" totalsRowBorderDxfId="30">
  <autoFilter ref="Y2:AA20" xr:uid="{DBA6DFBD-7E2B-4D54-B709-16B5B951D4A2}"/>
  <tableColumns count="3">
    <tableColumn id="1" xr3:uid="{28E06EA7-4ECB-4047-B73F-15D190713E5F}" name="Nominal _x000a_(g)" dataDxfId="29" dataCellStyle="Normal 3 2"/>
    <tableColumn id="2" xr3:uid="{902976CE-31C0-42F7-A3BC-3210EC2B280C}" name="Massa konvensional _x000a_(g)" dataDxfId="28" dataCellStyle="Normal 3 2"/>
    <tableColumn id="3" xr3:uid="{27AEA40C-A97A-472B-A500-81F5D30CF743}" name="U95 _x000a_(mg)" dataDxfId="27" dataCellStyle="Normal 3 2"/>
  </tableColumns>
  <tableStyleInfo name="TableStyleMedium2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9BDF8F-06B2-43F2-AC7A-86538CFF2026}" name="_M1" displayName="_M1" ref="AC2:AE31" totalsRowShown="0" headerRowDxfId="26" headerRowBorderDxfId="25" tableBorderDxfId="24" totalsRowBorderDxfId="23">
  <autoFilter ref="AC2:AE31" xr:uid="{B09BDF8F-06B2-43F2-AC7A-86538CFF2026}"/>
  <tableColumns count="3">
    <tableColumn id="1" xr3:uid="{9B2D1B3D-612A-41CC-B3AA-E6AFA784A554}" name="Identitas" dataDxfId="22"/>
    <tableColumn id="2" xr3:uid="{D93CF434-5B10-4EA1-BA15-6A2127BA00DE}" name="Massa konvensional _x000a_(g)" dataDxfId="21"/>
    <tableColumn id="3" xr3:uid="{5C4DD6B3-4AAC-415A-984F-2B6B5D0EA92A}" name="U95 _x000a_(mg)" dataDxfId="20"/>
  </tableColumns>
  <tableStyleInfo name="TableStyleMedium2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2F709B-9C10-4472-85C1-092D1ACA6BCB}" name="_E2MT" displayName="_E2MT" ref="AG2:AI28" totalsRowShown="0" headerRowDxfId="19" headerRowBorderDxfId="18" tableBorderDxfId="17" totalsRowBorderDxfId="16">
  <autoFilter ref="AG2:AI28" xr:uid="{A32F709B-9C10-4472-85C1-092D1ACA6BCB}"/>
  <tableColumns count="3">
    <tableColumn id="1" xr3:uid="{DF37DD17-DCBD-4A16-8A55-4BC8A2C4DFAF}" name="Nominal _x000a_(g)" dataDxfId="15"/>
    <tableColumn id="2" xr3:uid="{951F0105-FCAE-4F9D-B447-DF5B53F85051}" name="Massa konvensional _x000a_(g)" dataDxfId="14"/>
    <tableColumn id="3" xr3:uid="{4113755C-91DA-45D5-82A1-3A22E1C0FC2D}" name="U95 _x000a_(mg)" dataDxfId="13"/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3C7699B-DE5A-4F36-87CB-FB2EC6B116A1}" name="_MPE" displayName="_MPE" ref="AK2:AR26" totalsRowShown="0" headerRowDxfId="12" dataDxfId="10" headerRowBorderDxfId="11" tableBorderDxfId="9" totalsRowBorderDxfId="8" headerRowCellStyle="Normal 2" dataCellStyle="Normal 2">
  <autoFilter ref="AK2:AR26" xr:uid="{93C7699B-DE5A-4F36-87CB-FB2EC6B116A1}"/>
  <tableColumns count="8">
    <tableColumn id="1" xr3:uid="{2F0802B5-622B-4F7F-994F-E198545D1B9F}" name="Nominal Value (g)" dataDxfId="7" dataCellStyle="Normal 2"/>
    <tableColumn id="2" xr3:uid="{CA2E751D-084F-4600-A143-7BA7B74A3797}" name="Class E1" dataDxfId="6" dataCellStyle="Normal 2"/>
    <tableColumn id="3" xr3:uid="{1BB8087D-3BEC-4AA4-8C91-8FB052B10C28}" name="Class E2" dataDxfId="5" dataCellStyle="Normal 2"/>
    <tableColumn id="4" xr3:uid="{6EE64ADB-302E-4CFE-BF9B-21A497B01925}" name="Class F1" dataDxfId="4" dataCellStyle="Normal 2"/>
    <tableColumn id="5" xr3:uid="{A3C0BAC0-C5F0-44D1-826D-9BBAE02F36E9}" name="Class F2" dataDxfId="3" dataCellStyle="Normal 2"/>
    <tableColumn id="6" xr3:uid="{D0B44EBD-2C88-431B-A90D-C22452B9E65E}" name="Class M1" dataDxfId="2" dataCellStyle="Normal 2"/>
    <tableColumn id="7" xr3:uid="{F14443B7-C251-4672-831E-AEF312F68BA4}" name="Class M2" dataDxfId="1" dataCellStyle="Normal 2"/>
    <tableColumn id="8" xr3:uid="{F059E267-85E0-4543-A7FD-25193F99F958}" name="Class M3" dataDxfId="0" dataCellStyle="Normal 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31A6F-7FA7-4DEB-8E5B-97382BBB88E0}">
  <sheetPr codeName="Sheet8">
    <tabColor rgb="FFFFC000"/>
  </sheetPr>
  <dimension ref="A1:AK84"/>
  <sheetViews>
    <sheetView showGridLines="0" tabSelected="1" topLeftCell="A27" zoomScale="102" zoomScaleNormal="59" workbookViewId="0">
      <selection activeCell="D41" sqref="D41"/>
    </sheetView>
  </sheetViews>
  <sheetFormatPr defaultRowHeight="14.4"/>
  <cols>
    <col min="1" max="1" width="23.5546875" style="185" customWidth="1"/>
    <col min="2" max="2" width="10.5546875" customWidth="1"/>
    <col min="3" max="3" width="27.88671875" customWidth="1"/>
    <col min="4" max="4" width="25.33203125" customWidth="1"/>
    <col min="5" max="5" width="19" customWidth="1"/>
    <col min="6" max="6" width="22.33203125" style="117" customWidth="1"/>
    <col min="7" max="7" width="31.6640625" style="185" customWidth="1"/>
    <col min="8" max="31" width="8.88671875" style="185"/>
    <col min="34" max="34" width="19.33203125" bestFit="1" customWidth="1"/>
    <col min="35" max="35" width="12.33203125" customWidth="1"/>
    <col min="36" max="36" width="11.6640625" customWidth="1"/>
  </cols>
  <sheetData>
    <row r="1" spans="2:34">
      <c r="B1" s="184"/>
      <c r="C1" s="184"/>
      <c r="D1" s="184"/>
      <c r="E1" s="184"/>
      <c r="F1" s="184"/>
    </row>
    <row r="2" spans="2:34">
      <c r="B2" s="184"/>
      <c r="C2" s="184"/>
      <c r="D2" s="184"/>
      <c r="E2" s="184"/>
      <c r="F2" s="184"/>
    </row>
    <row r="3" spans="2:34">
      <c r="B3" s="184"/>
      <c r="C3" s="184"/>
      <c r="D3" s="184"/>
      <c r="E3" s="184"/>
      <c r="F3" s="184"/>
    </row>
    <row r="4" spans="2:34">
      <c r="B4" s="184"/>
      <c r="C4" s="184"/>
      <c r="D4" s="184"/>
      <c r="E4" s="184"/>
      <c r="F4" s="184"/>
    </row>
    <row r="5" spans="2:34">
      <c r="B5" s="184"/>
      <c r="C5" s="184"/>
      <c r="D5" s="184"/>
      <c r="E5" s="184"/>
      <c r="F5" s="184"/>
    </row>
    <row r="6" spans="2:34">
      <c r="B6" s="184"/>
      <c r="C6" s="184"/>
      <c r="D6" s="184"/>
      <c r="E6" s="184"/>
      <c r="F6" s="184"/>
    </row>
    <row r="7" spans="2:34" ht="25.95" customHeight="1">
      <c r="C7" s="189" t="s">
        <v>252</v>
      </c>
      <c r="AH7" s="218" t="s">
        <v>276</v>
      </c>
    </row>
    <row r="9" spans="2:34">
      <c r="C9" s="186" t="s">
        <v>251</v>
      </c>
      <c r="D9" s="294"/>
      <c r="E9" s="294"/>
      <c r="AH9" s="215">
        <f>D9</f>
        <v>0</v>
      </c>
    </row>
    <row r="10" spans="2:34">
      <c r="C10" s="186"/>
      <c r="AH10">
        <f t="shared" ref="AH10:AH50" si="0">D10</f>
        <v>0</v>
      </c>
    </row>
    <row r="11" spans="2:34">
      <c r="C11" s="186" t="s">
        <v>95</v>
      </c>
      <c r="D11" s="300"/>
      <c r="E11" s="301"/>
      <c r="AH11" s="215">
        <f t="shared" si="0"/>
        <v>0</v>
      </c>
    </row>
    <row r="12" spans="2:34">
      <c r="C12" s="186"/>
      <c r="AH12">
        <f t="shared" si="0"/>
        <v>0</v>
      </c>
    </row>
    <row r="13" spans="2:34">
      <c r="C13" s="186" t="s">
        <v>97</v>
      </c>
      <c r="D13" s="294"/>
      <c r="E13" s="295"/>
      <c r="AH13" s="215">
        <f t="shared" si="0"/>
        <v>0</v>
      </c>
    </row>
    <row r="14" spans="2:34">
      <c r="C14" s="186"/>
      <c r="D14" s="262"/>
      <c r="AH14">
        <f t="shared" si="0"/>
        <v>0</v>
      </c>
    </row>
    <row r="15" spans="2:34">
      <c r="C15" s="186" t="s">
        <v>56</v>
      </c>
      <c r="D15" s="300"/>
      <c r="E15" s="301"/>
      <c r="AH15" s="215">
        <f t="shared" si="0"/>
        <v>0</v>
      </c>
    </row>
    <row r="16" spans="2:34">
      <c r="C16" s="186"/>
      <c r="AH16">
        <f t="shared" si="0"/>
        <v>0</v>
      </c>
    </row>
    <row r="17" spans="3:34">
      <c r="C17" s="186" t="s">
        <v>100</v>
      </c>
      <c r="D17" s="294"/>
      <c r="E17" s="295"/>
      <c r="AH17" s="215">
        <f t="shared" si="0"/>
        <v>0</v>
      </c>
    </row>
    <row r="18" spans="3:34">
      <c r="C18" s="186"/>
      <c r="AH18">
        <f t="shared" si="0"/>
        <v>0</v>
      </c>
    </row>
    <row r="19" spans="3:34">
      <c r="C19" s="186" t="s">
        <v>102</v>
      </c>
      <c r="D19" s="294"/>
      <c r="E19" s="295"/>
      <c r="AH19" s="215">
        <f t="shared" si="0"/>
        <v>0</v>
      </c>
    </row>
    <row r="20" spans="3:34">
      <c r="C20" s="186"/>
      <c r="AH20">
        <f t="shared" si="0"/>
        <v>0</v>
      </c>
    </row>
    <row r="21" spans="3:34">
      <c r="C21" s="186" t="s">
        <v>23</v>
      </c>
      <c r="D21" s="294"/>
      <c r="E21" s="295"/>
      <c r="AH21" s="215">
        <f t="shared" si="0"/>
        <v>0</v>
      </c>
    </row>
    <row r="22" spans="3:34">
      <c r="C22" s="186"/>
      <c r="AH22">
        <f t="shared" si="0"/>
        <v>0</v>
      </c>
    </row>
    <row r="23" spans="3:34">
      <c r="C23" s="186" t="s">
        <v>253</v>
      </c>
      <c r="D23" s="294"/>
      <c r="E23" s="295"/>
      <c r="AH23" s="215">
        <f t="shared" si="0"/>
        <v>0</v>
      </c>
    </row>
    <row r="24" spans="3:34">
      <c r="C24" s="186"/>
      <c r="AH24">
        <f t="shared" si="0"/>
        <v>0</v>
      </c>
    </row>
    <row r="25" spans="3:34">
      <c r="C25" s="186" t="s">
        <v>229</v>
      </c>
      <c r="D25" s="294"/>
      <c r="E25" s="295"/>
      <c r="AH25" s="215">
        <f t="shared" si="0"/>
        <v>0</v>
      </c>
    </row>
    <row r="26" spans="3:34">
      <c r="C26" s="186"/>
      <c r="AH26">
        <f t="shared" si="0"/>
        <v>0</v>
      </c>
    </row>
    <row r="27" spans="3:34">
      <c r="C27" s="186" t="s">
        <v>25</v>
      </c>
      <c r="D27" s="294"/>
      <c r="E27" s="295"/>
      <c r="AH27" s="215">
        <f t="shared" si="0"/>
        <v>0</v>
      </c>
    </row>
    <row r="28" spans="3:34">
      <c r="C28" s="186"/>
      <c r="AH28">
        <f t="shared" si="0"/>
        <v>0</v>
      </c>
    </row>
    <row r="29" spans="3:34">
      <c r="C29" s="186" t="s">
        <v>53</v>
      </c>
      <c r="D29" s="294"/>
      <c r="E29" s="295"/>
      <c r="AH29" s="215">
        <f t="shared" si="0"/>
        <v>0</v>
      </c>
    </row>
    <row r="30" spans="3:34">
      <c r="C30" s="186"/>
      <c r="AH30">
        <f t="shared" si="0"/>
        <v>0</v>
      </c>
    </row>
    <row r="31" spans="3:34">
      <c r="C31" s="186" t="s">
        <v>54</v>
      </c>
      <c r="D31" s="294"/>
      <c r="E31" s="295"/>
      <c r="AH31" s="215">
        <f t="shared" si="0"/>
        <v>0</v>
      </c>
    </row>
    <row r="32" spans="3:34">
      <c r="C32" s="186"/>
      <c r="AH32">
        <f t="shared" si="0"/>
        <v>0</v>
      </c>
    </row>
    <row r="33" spans="3:37">
      <c r="C33" s="187" t="s">
        <v>257</v>
      </c>
      <c r="AH33">
        <f t="shared" si="0"/>
        <v>0</v>
      </c>
    </row>
    <row r="34" spans="3:37">
      <c r="C34" s="186" t="s">
        <v>254</v>
      </c>
      <c r="D34" s="188" t="b">
        <v>0</v>
      </c>
      <c r="F34" s="204"/>
      <c r="AH34" s="215" t="b">
        <f t="shared" si="0"/>
        <v>0</v>
      </c>
    </row>
    <row r="35" spans="3:37">
      <c r="C35" s="190" t="s">
        <v>255</v>
      </c>
      <c r="D35" s="188" t="b">
        <v>0</v>
      </c>
      <c r="AH35" s="215" t="b">
        <f t="shared" si="0"/>
        <v>0</v>
      </c>
    </row>
    <row r="36" spans="3:37">
      <c r="C36" s="191" t="s">
        <v>256</v>
      </c>
      <c r="D36" s="188" t="b">
        <v>0</v>
      </c>
      <c r="E36" s="203">
        <v>0</v>
      </c>
      <c r="AH36" s="215" t="b">
        <f t="shared" si="0"/>
        <v>0</v>
      </c>
      <c r="AI36">
        <f>E36</f>
        <v>0</v>
      </c>
    </row>
    <row r="37" spans="3:37">
      <c r="C37" s="186"/>
      <c r="AH37">
        <f t="shared" si="0"/>
        <v>0</v>
      </c>
    </row>
    <row r="38" spans="3:37">
      <c r="C38" s="186" t="s">
        <v>262</v>
      </c>
      <c r="D38" s="296"/>
      <c r="E38" s="297"/>
      <c r="AH38" s="215">
        <f t="shared" si="0"/>
        <v>0</v>
      </c>
    </row>
    <row r="39" spans="3:37">
      <c r="C39" s="186"/>
      <c r="AH39">
        <f t="shared" si="0"/>
        <v>0</v>
      </c>
    </row>
    <row r="40" spans="3:37">
      <c r="C40" s="186" t="s">
        <v>277</v>
      </c>
      <c r="D40" s="298"/>
      <c r="E40" s="299"/>
      <c r="G40" s="247"/>
      <c r="AH40" s="273">
        <f t="shared" si="0"/>
        <v>0</v>
      </c>
      <c r="AI40" s="256"/>
      <c r="AJ40" s="274" t="s">
        <v>274</v>
      </c>
      <c r="AK40" s="256"/>
    </row>
    <row r="41" spans="3:37">
      <c r="C41" s="186"/>
      <c r="D41" s="216"/>
      <c r="E41" s="213"/>
      <c r="AH41" s="256">
        <f t="shared" si="0"/>
        <v>0</v>
      </c>
      <c r="AI41" s="256"/>
      <c r="AJ41" s="275"/>
      <c r="AK41" s="256"/>
    </row>
    <row r="42" spans="3:37">
      <c r="C42" s="186" t="s">
        <v>278</v>
      </c>
      <c r="D42" s="298"/>
      <c r="E42" s="299"/>
      <c r="AH42" s="273">
        <f t="shared" si="0"/>
        <v>0</v>
      </c>
      <c r="AI42" s="256" t="str">
        <f>IF(AH42="-"," ",CONCATENATE(" &amp; ",AH42))</f>
        <v xml:space="preserve"> &amp; 0</v>
      </c>
      <c r="AJ42" s="275" t="str">
        <f>IF(AH42="-","","LK-001-IDN")</f>
        <v>LK-001-IDN</v>
      </c>
      <c r="AK42" s="256">
        <f>IF(AH42&lt;&gt;"-",2,0)</f>
        <v>2</v>
      </c>
    </row>
    <row r="43" spans="3:37">
      <c r="C43" s="186"/>
      <c r="AH43" s="256">
        <f t="shared" si="0"/>
        <v>0</v>
      </c>
      <c r="AI43" s="256"/>
      <c r="AJ43" s="256"/>
      <c r="AK43" s="256"/>
    </row>
    <row r="44" spans="3:37">
      <c r="C44" s="186" t="s">
        <v>121</v>
      </c>
      <c r="D44" s="298"/>
      <c r="E44" s="299"/>
      <c r="AH44" s="273">
        <f t="shared" si="0"/>
        <v>0</v>
      </c>
      <c r="AI44" s="256" t="e">
        <f>VLOOKUP(AH44,Database!P3:S7,3,FALSE)</f>
        <v>#N/A</v>
      </c>
      <c r="AJ44" s="256" t="e">
        <f>VLOOKUP(AH44,Database!P3:S7,4,)</f>
        <v>#N/A</v>
      </c>
      <c r="AK44" s="256">
        <f>IF(AH44="E2 METTLER TOLEDO ","E2",AH44)</f>
        <v>0</v>
      </c>
    </row>
    <row r="45" spans="3:37">
      <c r="C45" s="186"/>
      <c r="AH45">
        <f t="shared" si="0"/>
        <v>0</v>
      </c>
    </row>
    <row r="46" spans="3:37">
      <c r="C46" s="186" t="s">
        <v>258</v>
      </c>
      <c r="D46" s="294"/>
      <c r="E46" s="295"/>
      <c r="AH46" s="215">
        <f t="shared" si="0"/>
        <v>0</v>
      </c>
    </row>
    <row r="47" spans="3:37">
      <c r="C47" s="186"/>
      <c r="AH47">
        <f t="shared" si="0"/>
        <v>0</v>
      </c>
    </row>
    <row r="48" spans="3:37">
      <c r="C48" s="186" t="s">
        <v>259</v>
      </c>
      <c r="D48" s="305"/>
      <c r="E48" s="306"/>
      <c r="AH48">
        <f t="shared" si="0"/>
        <v>0</v>
      </c>
    </row>
    <row r="49" spans="3:34">
      <c r="C49" s="186"/>
      <c r="AH49">
        <f t="shared" si="0"/>
        <v>0</v>
      </c>
    </row>
    <row r="50" spans="3:34">
      <c r="C50" s="186" t="s">
        <v>260</v>
      </c>
      <c r="D50" s="305"/>
      <c r="E50" s="306"/>
      <c r="AH50">
        <f t="shared" si="0"/>
        <v>0</v>
      </c>
    </row>
    <row r="51" spans="3:34">
      <c r="C51" s="186"/>
    </row>
    <row r="52" spans="3:34" ht="34.5" customHeight="1">
      <c r="C52" s="191" t="s">
        <v>261</v>
      </c>
      <c r="D52" s="117"/>
      <c r="E52" s="117"/>
    </row>
    <row r="53" spans="3:34">
      <c r="C53" s="186"/>
    </row>
    <row r="54" spans="3:34">
      <c r="C54" s="186"/>
    </row>
    <row r="55" spans="3:34">
      <c r="C55" s="304" t="s">
        <v>263</v>
      </c>
      <c r="D55" s="304"/>
      <c r="E55" s="304"/>
    </row>
    <row r="56" spans="3:34">
      <c r="C56" s="304"/>
      <c r="D56" s="304"/>
      <c r="E56" s="304"/>
    </row>
    <row r="84" spans="2:9">
      <c r="B84" s="209"/>
      <c r="C84" s="302"/>
      <c r="D84" s="302"/>
      <c r="E84" s="302"/>
      <c r="F84" s="302"/>
      <c r="G84" s="303"/>
      <c r="H84" s="303"/>
      <c r="I84" s="303"/>
    </row>
  </sheetData>
  <mergeCells count="23">
    <mergeCell ref="C84:D84"/>
    <mergeCell ref="E84:F84"/>
    <mergeCell ref="G84:I84"/>
    <mergeCell ref="C55:E56"/>
    <mergeCell ref="D46:E46"/>
    <mergeCell ref="D48:E48"/>
    <mergeCell ref="D50:E50"/>
    <mergeCell ref="D9:E9"/>
    <mergeCell ref="D11:E11"/>
    <mergeCell ref="D13:E13"/>
    <mergeCell ref="D15:E15"/>
    <mergeCell ref="D17:E17"/>
    <mergeCell ref="D19:E19"/>
    <mergeCell ref="D21:E21"/>
    <mergeCell ref="D23:E23"/>
    <mergeCell ref="D25:E25"/>
    <mergeCell ref="D27:E27"/>
    <mergeCell ref="D29:E29"/>
    <mergeCell ref="D31:E31"/>
    <mergeCell ref="D38:E38"/>
    <mergeCell ref="D40:E40"/>
    <mergeCell ref="D44:E44"/>
    <mergeCell ref="D42:E42"/>
  </mergeCells>
  <conditionalFormatting sqref="E36">
    <cfRule type="expression" dxfId="61" priority="1">
      <formula>$D$36=FALSE</formula>
    </cfRule>
    <cfRule type="expression" dxfId="60" priority="2" stopIfTrue="1">
      <formula>$D$36=TRUE</formula>
    </cfRule>
  </conditionalFormatting>
  <dataValidations count="1">
    <dataValidation type="whole" allowBlank="1" showInputMessage="1" showErrorMessage="1" sqref="E36" xr:uid="{4E47E7DC-ED38-4814-9021-B35A2D25F0EA}">
      <formula1>0</formula1>
      <formula2>99</formula2>
    </dataValidation>
  </dataValidations>
  <pageMargins left="0.7" right="0.7" top="0.75" bottom="0.75" header="0.3" footer="0.3"/>
  <pageSetup scale="70" orientation="portrait" r:id="rId1"/>
  <colBreaks count="1" manualBreakCount="1">
    <brk id="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 macro="[0]!Ceklis_Cetak_13_Sheet_List">
                <anchor moveWithCells="1">
                  <from>
                    <xdr:col>3</xdr:col>
                    <xdr:colOff>22860</xdr:colOff>
                    <xdr:row>32</xdr:row>
                    <xdr:rowOff>160020</xdr:rowOff>
                  </from>
                  <to>
                    <xdr:col>4</xdr:col>
                    <xdr:colOff>68580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 macro="[0]!cetak26_ceklis">
                <anchor moveWithCells="1">
                  <from>
                    <xdr:col>3</xdr:col>
                    <xdr:colOff>22860</xdr:colOff>
                    <xdr:row>33</xdr:row>
                    <xdr:rowOff>182880</xdr:rowOff>
                  </from>
                  <to>
                    <xdr:col>4</xdr:col>
                    <xdr:colOff>68580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Check Box 6">
              <controlPr defaultSize="0" autoFill="0" autoLine="0" autoPict="0" macro="[0]!cetakcs_ceklis">
                <anchor moveWithCells="1">
                  <from>
                    <xdr:col>3</xdr:col>
                    <xdr:colOff>22860</xdr:colOff>
                    <xdr:row>35</xdr:row>
                    <xdr:rowOff>0</xdr:rowOff>
                  </from>
                  <to>
                    <xdr:col>3</xdr:col>
                    <xdr:colOff>1287780</xdr:colOff>
                    <xdr:row>36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efresh_form">
                <anchor moveWithCells="1">
                  <from>
                    <xdr:col>5</xdr:col>
                    <xdr:colOff>365760</xdr:colOff>
                    <xdr:row>6</xdr:row>
                    <xdr:rowOff>76200</xdr:rowOff>
                  </from>
                  <to>
                    <xdr:col>5</xdr:col>
                    <xdr:colOff>1211580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ceta_polos1">
                <anchor moveWithCells="1" sizeWithCells="1">
                  <from>
                    <xdr:col>1</xdr:col>
                    <xdr:colOff>670560</xdr:colOff>
                    <xdr:row>54</xdr:row>
                    <xdr:rowOff>7620</xdr:rowOff>
                  </from>
                  <to>
                    <xdr:col>4</xdr:col>
                    <xdr:colOff>1257300</xdr:colOff>
                    <xdr:row>56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AddFoto">
                <anchor moveWithCells="1" sizeWithCells="1">
                  <from>
                    <xdr:col>2</xdr:col>
                    <xdr:colOff>1828800</xdr:colOff>
                    <xdr:row>51</xdr:row>
                    <xdr:rowOff>7620</xdr:rowOff>
                  </from>
                  <to>
                    <xdr:col>3</xdr:col>
                    <xdr:colOff>1028700</xdr:colOff>
                    <xdr:row>51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Button 10">
              <controlPr defaultSize="0" print="0" autoFill="0" autoPict="0" macro="[0]!cetak_logo">
                <anchor moveWithCells="1" sizeWithCells="1">
                  <from>
                    <xdr:col>1</xdr:col>
                    <xdr:colOff>655320</xdr:colOff>
                    <xdr:row>58</xdr:row>
                    <xdr:rowOff>22860</xdr:rowOff>
                  </from>
                  <to>
                    <xdr:col>4</xdr:col>
                    <xdr:colOff>1257300</xdr:colOff>
                    <xdr:row>60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D1592C-6080-40F6-A37F-3DED96F9F3C0}">
          <x14:formula1>
            <xm:f>Database!$P$4:$P$7</xm:f>
          </x14:formula1>
          <xm:sqref>D44:E44</xm:sqref>
        </x14:dataValidation>
        <x14:dataValidation type="list" allowBlank="1" showInputMessage="1" showErrorMessage="1" xr:uid="{9E169C1D-0E47-4AD6-9589-82163247F6D9}">
          <x14:formula1>
            <xm:f>Database!$H$5:$H$7</xm:f>
          </x14:formula1>
          <xm:sqref>D40:E40</xm:sqref>
        </x14:dataValidation>
        <x14:dataValidation type="list" allowBlank="1" showInputMessage="1" showErrorMessage="1" xr:uid="{DE46D694-869D-401A-8112-FD42891280B7}">
          <x14:formula1>
            <xm:f>Database!$H$5:$H$8</xm:f>
          </x14:formula1>
          <xm:sqref>D42:E42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406F3-2085-4008-A0F8-B8726DCF5327}">
  <sheetPr codeName="Sheet4">
    <tabColor rgb="FFFF0000"/>
  </sheetPr>
  <dimension ref="A1:S78"/>
  <sheetViews>
    <sheetView topLeftCell="A63" zoomScale="65" zoomScaleNormal="65" workbookViewId="0">
      <selection activeCell="E12" sqref="E12"/>
    </sheetView>
  </sheetViews>
  <sheetFormatPr defaultColWidth="9.109375" defaultRowHeight="14.4"/>
  <cols>
    <col min="2" max="2" width="20.88671875" customWidth="1"/>
    <col min="3" max="3" width="15.6640625" bestFit="1" customWidth="1"/>
    <col min="4" max="4" width="13.6640625" customWidth="1"/>
    <col min="5" max="5" width="11.44140625" customWidth="1"/>
    <col min="6" max="6" width="12" customWidth="1"/>
    <col min="7" max="7" width="11.5546875" customWidth="1"/>
    <col min="9" max="9" width="9.33203125" customWidth="1"/>
    <col min="10" max="10" width="12.109375" customWidth="1"/>
    <col min="11" max="11" width="14.109375" customWidth="1"/>
    <col min="12" max="12" width="11.109375" customWidth="1"/>
    <col min="13" max="13" width="9.33203125" customWidth="1"/>
    <col min="14" max="14" width="12.33203125" customWidth="1"/>
    <col min="15" max="15" width="14.88671875" customWidth="1"/>
    <col min="17" max="17" width="13.88671875" customWidth="1"/>
    <col min="18" max="18" width="26" customWidth="1"/>
    <col min="19" max="19" width="11.88671875" customWidth="1"/>
    <col min="22" max="22" width="16" customWidth="1"/>
  </cols>
  <sheetData>
    <row r="1" spans="1:16">
      <c r="A1" s="237"/>
      <c r="B1" s="28" t="s">
        <v>90</v>
      </c>
      <c r="C1" s="117"/>
    </row>
    <row r="2" spans="1:16">
      <c r="B2" s="116" t="s">
        <v>105</v>
      </c>
      <c r="C2" s="31">
        <v>20.399999999999999</v>
      </c>
      <c r="D2" s="29" t="s">
        <v>106</v>
      </c>
      <c r="E2" s="137"/>
    </row>
    <row r="3" spans="1:16">
      <c r="B3" s="116" t="s">
        <v>107</v>
      </c>
      <c r="C3" s="31">
        <v>20.9</v>
      </c>
      <c r="D3" s="29" t="s">
        <v>106</v>
      </c>
    </row>
    <row r="4" spans="1:16">
      <c r="B4" s="29" t="s">
        <v>108</v>
      </c>
      <c r="C4" s="30">
        <f>AVERAGE(C2,C3)</f>
        <v>20.65</v>
      </c>
      <c r="D4" s="29" t="s">
        <v>106</v>
      </c>
    </row>
    <row r="5" spans="1:16">
      <c r="B5" s="116" t="s">
        <v>109</v>
      </c>
      <c r="C5" s="31">
        <v>64.3</v>
      </c>
      <c r="D5" s="29" t="s">
        <v>110</v>
      </c>
    </row>
    <row r="6" spans="1:16">
      <c r="B6" s="116" t="s">
        <v>111</v>
      </c>
      <c r="C6" s="31">
        <v>62.8</v>
      </c>
      <c r="D6" s="29" t="s">
        <v>110</v>
      </c>
    </row>
    <row r="7" spans="1:16">
      <c r="B7" s="29" t="s">
        <v>112</v>
      </c>
      <c r="C7" s="30">
        <f>AVERAGE(C5,C6)</f>
        <v>63.55</v>
      </c>
      <c r="D7" s="29" t="s">
        <v>110</v>
      </c>
    </row>
    <row r="8" spans="1:16">
      <c r="B8" s="116" t="s">
        <v>113</v>
      </c>
      <c r="C8" s="31">
        <v>924</v>
      </c>
      <c r="D8" s="29" t="s">
        <v>114</v>
      </c>
      <c r="E8" s="221">
        <f>C8*H8</f>
        <v>693.05913599999997</v>
      </c>
      <c r="F8" s="29" t="s">
        <v>115</v>
      </c>
      <c r="G8" s="29" t="s">
        <v>116</v>
      </c>
      <c r="H8" s="222">
        <v>0.75006399999999995</v>
      </c>
      <c r="I8" s="29" t="s">
        <v>115</v>
      </c>
    </row>
    <row r="9" spans="1:16">
      <c r="B9" s="116" t="s">
        <v>117</v>
      </c>
      <c r="C9" s="31">
        <v>923</v>
      </c>
      <c r="D9" s="29" t="s">
        <v>114</v>
      </c>
      <c r="E9" s="221">
        <f>C9*H9</f>
        <v>692.3090719999999</v>
      </c>
      <c r="F9" s="29" t="s">
        <v>115</v>
      </c>
      <c r="G9" s="29" t="s">
        <v>116</v>
      </c>
      <c r="H9" s="222">
        <v>0.75006399999999995</v>
      </c>
      <c r="I9" s="29" t="s">
        <v>115</v>
      </c>
    </row>
    <row r="10" spans="1:16">
      <c r="B10" s="29" t="s">
        <v>118</v>
      </c>
      <c r="C10" s="30">
        <f>AVERAGE(C8:C9)</f>
        <v>923.5</v>
      </c>
      <c r="D10" s="29" t="s">
        <v>114</v>
      </c>
      <c r="E10" s="221">
        <f>C10*H10</f>
        <v>692.68410399999993</v>
      </c>
      <c r="F10" s="29" t="s">
        <v>115</v>
      </c>
      <c r="G10" s="29" t="s">
        <v>116</v>
      </c>
      <c r="H10" s="222">
        <v>0.75006399999999995</v>
      </c>
      <c r="I10" s="29" t="s">
        <v>115</v>
      </c>
      <c r="P10" s="224"/>
    </row>
    <row r="11" spans="1:16">
      <c r="B11" s="112" t="s">
        <v>238</v>
      </c>
      <c r="C11" s="113">
        <v>5000</v>
      </c>
      <c r="D11" s="29" t="s">
        <v>119</v>
      </c>
      <c r="E11" s="137"/>
      <c r="M11" s="192"/>
    </row>
    <row r="12" spans="1:16">
      <c r="B12" s="112" t="s">
        <v>120</v>
      </c>
      <c r="C12" s="113">
        <v>90803270</v>
      </c>
      <c r="D12" s="29"/>
      <c r="M12" s="192"/>
      <c r="O12" s="243"/>
    </row>
    <row r="13" spans="1:16">
      <c r="B13" s="112" t="s">
        <v>239</v>
      </c>
      <c r="C13" s="113">
        <v>5.0000000000000002E-5</v>
      </c>
      <c r="D13" s="29" t="s">
        <v>119</v>
      </c>
      <c r="M13" s="192"/>
      <c r="O13" s="243"/>
    </row>
    <row r="14" spans="1:16">
      <c r="B14" s="112" t="s">
        <v>121</v>
      </c>
      <c r="C14" s="114" t="s">
        <v>219</v>
      </c>
      <c r="D14" s="29"/>
      <c r="E14" t="s">
        <v>122</v>
      </c>
      <c r="M14" s="192"/>
    </row>
    <row r="15" spans="1:16">
      <c r="B15" s="29" t="s">
        <v>123</v>
      </c>
      <c r="C15" s="115">
        <f>IFERROR(IF(C14=Database!U1,VLOOKUP(C11,Database!U2:W20,2,FALSE),IF(C14=Database!Y1,VLOOKUP(C11,Database!Y2:AA20,2,FALSE),IF(C14=Database!AC1,VLOOKUP(C11,Database!AC2:AE31,2,FALSE),IF(C14=Database!AG1,VLOOKUP(C11,Database!AG2:AI28,2,FALSE),0)))),"No range/Error")</f>
        <v>5000.0162799999998</v>
      </c>
      <c r="D15" s="29" t="s">
        <v>119</v>
      </c>
      <c r="E15" s="137"/>
    </row>
    <row r="16" spans="1:16">
      <c r="B16" s="29" t="s">
        <v>124</v>
      </c>
      <c r="C16" s="110">
        <f>IFERROR(IF(C14=Database!U1,VLOOKUP(C11,Database!U2:W20,3,FALSE),IF(C14=Database!Y1,VLOOKUP(C11,Database!Y2:AA20,3,FALSE),IF(C14=Database!AC1,VLOOKUP(C11,Database!AC2:AE31,3,FALSE),IF(C14=Database!AG1,VLOOKUP(C11,Database!AG2:AI28,3,FALSE),0)))),"No Range/error")</f>
        <v>2.6</v>
      </c>
      <c r="D16" s="29" t="s">
        <v>125</v>
      </c>
      <c r="E16" s="137"/>
    </row>
    <row r="18" spans="1:9">
      <c r="A18" s="237"/>
      <c r="B18" s="28" t="s">
        <v>295</v>
      </c>
    </row>
    <row r="19" spans="1:9">
      <c r="A19" s="194" t="s">
        <v>266</v>
      </c>
      <c r="B19" s="194" t="s">
        <v>264</v>
      </c>
      <c r="C19" s="194" t="s">
        <v>265</v>
      </c>
      <c r="D19" s="194" t="s">
        <v>126</v>
      </c>
    </row>
    <row r="20" spans="1:9">
      <c r="A20" s="32" t="s">
        <v>127</v>
      </c>
      <c r="B20" s="307" t="s">
        <v>268</v>
      </c>
      <c r="C20" s="195"/>
      <c r="D20" s="29"/>
    </row>
    <row r="21" spans="1:9">
      <c r="A21" s="32" t="s">
        <v>128</v>
      </c>
      <c r="B21" s="308"/>
      <c r="C21" s="116"/>
      <c r="D21" s="101">
        <f>C21-C20</f>
        <v>0</v>
      </c>
    </row>
    <row r="22" spans="1:9">
      <c r="A22" s="32" t="s">
        <v>129</v>
      </c>
      <c r="B22" s="308"/>
      <c r="C22" s="116"/>
      <c r="D22" s="29"/>
    </row>
    <row r="23" spans="1:9">
      <c r="A23" s="32" t="s">
        <v>130</v>
      </c>
      <c r="B23" s="308"/>
      <c r="C23" s="116"/>
      <c r="D23" s="196">
        <f>C22-C23</f>
        <v>0</v>
      </c>
      <c r="I23" s="249"/>
    </row>
    <row r="24" spans="1:9">
      <c r="A24" s="32" t="s">
        <v>131</v>
      </c>
      <c r="B24" s="309" t="s">
        <v>269</v>
      </c>
      <c r="C24" s="116"/>
      <c r="D24" s="29"/>
    </row>
    <row r="25" spans="1:9">
      <c r="A25" s="32" t="s">
        <v>132</v>
      </c>
      <c r="B25" s="310"/>
      <c r="C25" s="116"/>
      <c r="D25" s="196">
        <f>C25-C24</f>
        <v>0</v>
      </c>
      <c r="F25" s="197"/>
    </row>
    <row r="26" spans="1:9">
      <c r="A26" s="32" t="s">
        <v>133</v>
      </c>
      <c r="B26" s="310"/>
      <c r="C26" s="116"/>
      <c r="D26" s="29"/>
    </row>
    <row r="27" spans="1:9">
      <c r="A27" s="32" t="s">
        <v>134</v>
      </c>
      <c r="B27" s="310"/>
      <c r="C27" s="116"/>
      <c r="D27" s="196">
        <f>C26-C27</f>
        <v>0</v>
      </c>
    </row>
    <row r="28" spans="1:9">
      <c r="A28" s="32" t="s">
        <v>135</v>
      </c>
      <c r="B28" s="309" t="s">
        <v>270</v>
      </c>
      <c r="C28" s="116"/>
      <c r="D28" s="29"/>
    </row>
    <row r="29" spans="1:9">
      <c r="A29" s="32" t="s">
        <v>136</v>
      </c>
      <c r="B29" s="310"/>
      <c r="C29" s="116"/>
      <c r="D29" s="196">
        <f>C29-C28</f>
        <v>0</v>
      </c>
    </row>
    <row r="30" spans="1:9">
      <c r="A30" s="32" t="s">
        <v>137</v>
      </c>
      <c r="B30" s="310"/>
      <c r="C30" s="116"/>
      <c r="D30" s="29"/>
    </row>
    <row r="31" spans="1:9">
      <c r="A31" s="32" t="s">
        <v>138</v>
      </c>
      <c r="B31" s="310"/>
      <c r="C31" s="116"/>
      <c r="D31" s="196">
        <f>C30-C31</f>
        <v>0</v>
      </c>
    </row>
    <row r="32" spans="1:9">
      <c r="A32" s="32" t="s">
        <v>139</v>
      </c>
      <c r="B32" s="309" t="s">
        <v>271</v>
      </c>
      <c r="C32" s="116"/>
      <c r="D32" s="29"/>
    </row>
    <row r="33" spans="1:11">
      <c r="A33" s="32" t="s">
        <v>140</v>
      </c>
      <c r="B33" s="310"/>
      <c r="C33" s="116"/>
      <c r="D33" s="196">
        <f>C33-C32</f>
        <v>0</v>
      </c>
    </row>
    <row r="34" spans="1:11">
      <c r="A34" s="32" t="s">
        <v>141</v>
      </c>
      <c r="B34" s="310"/>
      <c r="C34" s="116"/>
      <c r="D34" s="29"/>
    </row>
    <row r="35" spans="1:11">
      <c r="A35" s="32" t="s">
        <v>142</v>
      </c>
      <c r="B35" s="310"/>
      <c r="C35" s="116"/>
      <c r="D35" s="196">
        <f>C34-C35</f>
        <v>0</v>
      </c>
    </row>
    <row r="36" spans="1:11">
      <c r="A36" s="32" t="s">
        <v>143</v>
      </c>
      <c r="B36" s="309" t="s">
        <v>272</v>
      </c>
      <c r="C36" s="116"/>
      <c r="D36" s="29"/>
    </row>
    <row r="37" spans="1:11">
      <c r="A37" s="32" t="s">
        <v>144</v>
      </c>
      <c r="B37" s="310"/>
      <c r="C37" s="116"/>
      <c r="D37" s="196">
        <f>C37-C36</f>
        <v>0</v>
      </c>
    </row>
    <row r="38" spans="1:11">
      <c r="A38" s="32" t="s">
        <v>145</v>
      </c>
      <c r="B38" s="310"/>
      <c r="C38" s="116"/>
      <c r="D38" s="29"/>
    </row>
    <row r="39" spans="1:11">
      <c r="A39" s="34" t="s">
        <v>146</v>
      </c>
      <c r="B39" s="310"/>
      <c r="C39" s="116"/>
      <c r="D39" s="196">
        <f>C38-C39</f>
        <v>0</v>
      </c>
    </row>
    <row r="40" spans="1:11">
      <c r="C40" s="29"/>
      <c r="D40" s="29"/>
    </row>
    <row r="41" spans="1:11">
      <c r="C41" s="194" t="s">
        <v>147</v>
      </c>
      <c r="D41" s="29">
        <f>AVERAGE(D20:D39)</f>
        <v>0</v>
      </c>
    </row>
    <row r="42" spans="1:11">
      <c r="C42" s="29"/>
      <c r="D42" s="29"/>
    </row>
    <row r="43" spans="1:11">
      <c r="C43" s="194" t="s">
        <v>267</v>
      </c>
      <c r="D43" s="29">
        <f>_xlfn.STDEV.P(D20:D39)</f>
        <v>0</v>
      </c>
      <c r="J43" s="66"/>
      <c r="K43" s="66"/>
    </row>
    <row r="44" spans="1:11">
      <c r="C44" s="29"/>
      <c r="D44" s="29"/>
      <c r="E44" s="66"/>
    </row>
    <row r="45" spans="1:11">
      <c r="C45" s="194" t="s">
        <v>148</v>
      </c>
      <c r="D45" s="29">
        <f>(0.82*C13)/2</f>
        <v>2.05E-5</v>
      </c>
    </row>
    <row r="46" spans="1:11">
      <c r="C46" s="29"/>
      <c r="D46" s="29"/>
    </row>
    <row r="47" spans="1:11">
      <c r="C47" s="194" t="s">
        <v>149</v>
      </c>
      <c r="D47" s="196">
        <f>C15+D41</f>
        <v>5000.0162799999998</v>
      </c>
    </row>
    <row r="48" spans="1:11">
      <c r="C48" s="29"/>
      <c r="D48" s="29"/>
    </row>
    <row r="49" spans="2:19">
      <c r="C49" s="194" t="s">
        <v>273</v>
      </c>
      <c r="D49" s="29">
        <f>IF(D43&gt;D45,D43,D45)</f>
        <v>2.05E-5</v>
      </c>
    </row>
    <row r="50" spans="2:19">
      <c r="C50" s="193"/>
    </row>
    <row r="52" spans="2:19">
      <c r="B52" s="37" t="s">
        <v>150</v>
      </c>
      <c r="C52" s="37"/>
      <c r="D52" s="37"/>
      <c r="E52" s="37"/>
      <c r="F52" s="37"/>
      <c r="G52" s="38"/>
      <c r="H52" s="38"/>
      <c r="I52" s="38"/>
      <c r="J52" s="38"/>
      <c r="K52" s="38"/>
      <c r="L52" s="38"/>
    </row>
    <row r="53" spans="2:19">
      <c r="B53" s="39" t="s">
        <v>151</v>
      </c>
      <c r="C53" s="39" t="s">
        <v>152</v>
      </c>
      <c r="D53" s="40"/>
      <c r="E53" s="41"/>
      <c r="F53" s="40"/>
      <c r="G53" s="38"/>
      <c r="H53" s="38"/>
      <c r="I53" s="38"/>
      <c r="J53" s="38"/>
      <c r="K53" s="38"/>
      <c r="L53" s="38"/>
    </row>
    <row r="54" spans="2:19">
      <c r="B54" s="38" t="s">
        <v>153</v>
      </c>
      <c r="C54" s="38" t="str">
        <f>CONCATENATE("Anak Timbangan ",C14)</f>
        <v xml:space="preserve">Anak Timbangan F1 </v>
      </c>
      <c r="D54" s="38"/>
      <c r="E54" s="42"/>
      <c r="F54" s="38"/>
      <c r="G54" s="38"/>
      <c r="H54" s="38"/>
      <c r="I54" s="38"/>
      <c r="J54" s="38"/>
      <c r="K54" s="68"/>
      <c r="L54" s="69"/>
    </row>
    <row r="55" spans="2:19">
      <c r="B55" s="38" t="s">
        <v>154</v>
      </c>
      <c r="C55" s="38" t="str">
        <f>CONCATENATE("Anak Timbangan ",C14)</f>
        <v xml:space="preserve">Anak Timbangan F1 </v>
      </c>
      <c r="D55" s="38"/>
      <c r="E55" s="42"/>
      <c r="F55" s="38"/>
      <c r="G55" s="38"/>
      <c r="H55" s="38"/>
      <c r="I55" s="38"/>
      <c r="J55" s="38"/>
      <c r="K55" s="68"/>
      <c r="L55" s="69"/>
    </row>
    <row r="56" spans="2:19" ht="16.2">
      <c r="B56" s="38" t="s">
        <v>155</v>
      </c>
      <c r="C56" s="38">
        <f>VALUE(IF(ISNUMBER(C11),C11,LEFT(C11,LEN(C11)-1)))</f>
        <v>5000</v>
      </c>
      <c r="D56" s="39" t="s">
        <v>119</v>
      </c>
      <c r="E56" s="107"/>
      <c r="F56" s="106" t="str">
        <f>CONCATENATE("MPE ",C56," g")</f>
        <v>MPE 5000 g</v>
      </c>
      <c r="G56" s="38">
        <f>IFERROR(VLOOKUP(CONCATENATE(IF(ISNUMBER(C11),C11,LEFT(C11,LEN(C11)-1))," g"),
Database!AK2:AR26,IF(LEFT(C14,2)="E2",3,IF(LEFT(C14,2)="F1",4,IF(LEFT(C14,2)="M1",6))),FALSE),0)</f>
        <v>25</v>
      </c>
      <c r="H56" s="38" t="s">
        <v>125</v>
      </c>
      <c r="I56" s="38"/>
      <c r="J56" s="38"/>
      <c r="K56" s="38"/>
      <c r="L56" s="38"/>
    </row>
    <row r="57" spans="2:19">
      <c r="B57" s="38" t="s">
        <v>156</v>
      </c>
      <c r="C57" s="38"/>
      <c r="D57" s="38"/>
      <c r="E57" s="42"/>
      <c r="F57" s="38"/>
      <c r="G57" s="38"/>
      <c r="H57" s="38"/>
      <c r="I57" s="38"/>
      <c r="J57" s="38"/>
      <c r="K57" s="38"/>
      <c r="L57" s="38"/>
    </row>
    <row r="58" spans="2:19" ht="24" customHeight="1">
      <c r="B58" s="118"/>
      <c r="C58" s="38"/>
      <c r="D58" s="38"/>
      <c r="E58" s="42"/>
      <c r="F58" s="38"/>
      <c r="G58" s="38"/>
      <c r="H58" s="38"/>
      <c r="I58" s="38"/>
      <c r="J58" s="38"/>
      <c r="K58" s="38"/>
      <c r="L58" s="38"/>
    </row>
    <row r="59" spans="2:19" ht="16.2">
      <c r="B59" s="43" t="s">
        <v>157</v>
      </c>
      <c r="C59" s="43" t="s">
        <v>92</v>
      </c>
      <c r="D59" s="43" t="s">
        <v>158</v>
      </c>
      <c r="E59" s="43" t="s">
        <v>159</v>
      </c>
      <c r="F59" s="43" t="s">
        <v>160</v>
      </c>
      <c r="G59" s="43" t="s">
        <v>161</v>
      </c>
      <c r="H59" s="44" t="s">
        <v>162</v>
      </c>
      <c r="I59" s="43" t="s">
        <v>163</v>
      </c>
      <c r="J59" s="44" t="s">
        <v>164</v>
      </c>
      <c r="K59" s="44" t="s">
        <v>165</v>
      </c>
      <c r="L59" s="43" t="s">
        <v>166</v>
      </c>
    </row>
    <row r="60" spans="2:19">
      <c r="B60" s="45">
        <v>1</v>
      </c>
      <c r="C60" s="45">
        <v>2</v>
      </c>
      <c r="D60" s="45">
        <v>3</v>
      </c>
      <c r="E60" s="45">
        <v>4</v>
      </c>
      <c r="F60" s="45">
        <v>5</v>
      </c>
      <c r="G60" s="45">
        <v>6</v>
      </c>
      <c r="H60" s="45">
        <v>7</v>
      </c>
      <c r="I60" s="45">
        <v>8</v>
      </c>
      <c r="J60" s="45">
        <v>9</v>
      </c>
      <c r="K60" s="45">
        <v>10</v>
      </c>
      <c r="L60" s="45">
        <v>11</v>
      </c>
      <c r="Q60" s="217" t="s">
        <v>280</v>
      </c>
    </row>
    <row r="61" spans="2:19">
      <c r="B61" s="46" t="s">
        <v>167</v>
      </c>
      <c r="C61" s="47" t="s">
        <v>125</v>
      </c>
      <c r="D61" s="47" t="s">
        <v>168</v>
      </c>
      <c r="E61" s="47">
        <f>$C$16</f>
        <v>2.6</v>
      </c>
      <c r="F61" s="47">
        <v>2</v>
      </c>
      <c r="G61" s="47">
        <v>60</v>
      </c>
      <c r="H61" s="47">
        <f>E61/F61</f>
        <v>1.3</v>
      </c>
      <c r="I61" s="47">
        <v>1</v>
      </c>
      <c r="J61" s="47">
        <f>H61*I61</f>
        <v>1.3</v>
      </c>
      <c r="K61" s="47">
        <f>J61^2</f>
        <v>1.6900000000000002</v>
      </c>
      <c r="L61" s="47">
        <f>J61^4/G61</f>
        <v>4.7601666666666674E-2</v>
      </c>
      <c r="P61" s="220" t="s">
        <v>279</v>
      </c>
      <c r="Q61" s="272" t="s">
        <v>310</v>
      </c>
      <c r="R61" s="272" t="s">
        <v>311</v>
      </c>
      <c r="S61" s="272" t="s">
        <v>312</v>
      </c>
    </row>
    <row r="62" spans="2:19">
      <c r="B62" s="48" t="s">
        <v>169</v>
      </c>
      <c r="C62" s="47" t="s">
        <v>125</v>
      </c>
      <c r="D62" s="49" t="s">
        <v>170</v>
      </c>
      <c r="E62" s="50">
        <f>(D49*1000)/SQRT(10)</f>
        <v>6.4826692033451774E-3</v>
      </c>
      <c r="F62" s="49">
        <v>1</v>
      </c>
      <c r="G62" s="49">
        <f>IF($D$43&gt;$D$45,9,1000)</f>
        <v>1000</v>
      </c>
      <c r="H62" s="49">
        <f>E62/F62</f>
        <v>6.4826692033451774E-3</v>
      </c>
      <c r="I62" s="49">
        <v>1</v>
      </c>
      <c r="J62" s="49">
        <f>H62*I62</f>
        <v>6.4826692033451774E-3</v>
      </c>
      <c r="K62" s="49">
        <f>J62^2</f>
        <v>4.2024999999999998E-5</v>
      </c>
      <c r="L62" s="49">
        <f>J62^4/G62</f>
        <v>1.7661006249999999E-12</v>
      </c>
      <c r="Q62" s="29">
        <f>IF(ISNUMBER(C11),C11,CONCATENATE(LEFT(C11,LEN(C11)-1),"*"))</f>
        <v>5000</v>
      </c>
      <c r="R62" s="29" t="str">
        <f>TEXT($D$47,"0,"&amp;REPT("0",IF(VALUE(S62)&gt;=10,0,LEN(TEXT(S62,"0,0########"))-FIND(",",TEXT(S62,"0,0#########")))+3))</f>
        <v>5000,0163</v>
      </c>
      <c r="S62" s="29" t="str">
        <f>IF(MAX(K75,K76)=0,"0",TEXT(ROUND(MAX(K75,K76),2-INT(LOG10(ABS(MAX(K75,K76))))-1),"0," &amp; REPT("0",2-INT(LOG10(ABS(MAX(K75,K76))))-1)))</f>
        <v>5,5</v>
      </c>
    </row>
    <row r="63" spans="2:19">
      <c r="B63" s="51" t="s">
        <v>172</v>
      </c>
      <c r="C63" s="47" t="s">
        <v>125</v>
      </c>
      <c r="D63" s="52" t="s">
        <v>168</v>
      </c>
      <c r="E63" s="52">
        <f>0.08*$G$56</f>
        <v>2</v>
      </c>
      <c r="F63" s="52">
        <v>1</v>
      </c>
      <c r="G63" s="52">
        <v>4</v>
      </c>
      <c r="H63" s="52">
        <f>E63/F63</f>
        <v>2</v>
      </c>
      <c r="I63" s="52">
        <v>1</v>
      </c>
      <c r="J63" s="52">
        <f>H63*I63</f>
        <v>2</v>
      </c>
      <c r="K63" s="52">
        <f>J63^2</f>
        <v>4</v>
      </c>
      <c r="L63" s="52">
        <f>J63^4/G63</f>
        <v>4</v>
      </c>
    </row>
    <row r="64" spans="2:19">
      <c r="B64" s="53" t="s">
        <v>173</v>
      </c>
      <c r="C64" s="47" t="s">
        <v>125</v>
      </c>
      <c r="D64" s="54" t="s">
        <v>170</v>
      </c>
      <c r="E64" s="54">
        <f>4.5*10^-9*8000*0.114*$C$56</f>
        <v>2.0520000000000004E-2</v>
      </c>
      <c r="F64" s="54">
        <v>1</v>
      </c>
      <c r="G64" s="54">
        <v>1000</v>
      </c>
      <c r="H64" s="54">
        <f>E64/F64</f>
        <v>2.0520000000000004E-2</v>
      </c>
      <c r="I64" s="54">
        <v>1</v>
      </c>
      <c r="J64" s="54">
        <f>H64*I64</f>
        <v>2.0520000000000004E-2</v>
      </c>
      <c r="K64" s="54">
        <f>J64^2</f>
        <v>4.2107040000000014E-4</v>
      </c>
      <c r="L64" s="54">
        <f>J64^4/G64</f>
        <v>1.7730028175616012E-10</v>
      </c>
    </row>
    <row r="65" spans="2:12">
      <c r="B65" s="51" t="s">
        <v>171</v>
      </c>
      <c r="C65" s="47" t="s">
        <v>125</v>
      </c>
      <c r="D65" s="52" t="s">
        <v>170</v>
      </c>
      <c r="E65" s="52">
        <f>IF($K$74&gt;=1,0.1/2,
IF(AND($K$74&lt;1,$K$74&gt;=0.1),0.01/2,
IF(AND($K$74&lt;0.1,$K$74&gt;=0.01),0.001/2,
IF(AND($K$74&lt;0.01,$K$74&gt;=0.001),0.0001/2,0))))</f>
        <v>0.05</v>
      </c>
      <c r="F65" s="52">
        <f>SQRT(3)</f>
        <v>1.7320508075688772</v>
      </c>
      <c r="G65" s="52">
        <v>1000</v>
      </c>
      <c r="H65" s="52">
        <f>E65/F65</f>
        <v>2.8867513459481291E-2</v>
      </c>
      <c r="I65" s="52">
        <v>1</v>
      </c>
      <c r="J65" s="52">
        <f>H65*I65</f>
        <v>2.8867513459481291E-2</v>
      </c>
      <c r="K65" s="52">
        <f>J65^2</f>
        <v>8.333333333333335E-4</v>
      </c>
      <c r="L65" s="52">
        <f>J65^4/G65</f>
        <v>6.944444444444447E-10</v>
      </c>
    </row>
    <row r="66" spans="2:12">
      <c r="B66" s="64" t="s">
        <v>174</v>
      </c>
      <c r="C66" s="128"/>
      <c r="D66" s="128"/>
      <c r="E66" s="129"/>
      <c r="F66" s="128"/>
      <c r="G66" s="128"/>
      <c r="H66" s="128"/>
      <c r="I66" s="130"/>
      <c r="J66" s="131"/>
      <c r="K66" s="132">
        <f>SUM(K61:K64)</f>
        <v>5.6904630954000002</v>
      </c>
      <c r="L66" s="133">
        <f>SUM(L61:L64)</f>
        <v>4.0476016668457326</v>
      </c>
    </row>
    <row r="67" spans="2:12">
      <c r="B67" s="55" t="s">
        <v>174</v>
      </c>
      <c r="C67" s="56"/>
      <c r="D67" s="56"/>
      <c r="E67" s="57"/>
      <c r="F67" s="56"/>
      <c r="G67" s="56"/>
      <c r="H67" s="56"/>
      <c r="I67" s="70"/>
      <c r="J67" s="71"/>
      <c r="K67" s="72">
        <f>SUM(K61:K65)</f>
        <v>5.6912964287333336</v>
      </c>
      <c r="L67" s="47">
        <f>SUM(L61:L65)</f>
        <v>4.0476016675401771</v>
      </c>
    </row>
    <row r="68" spans="2:12">
      <c r="B68" s="121" t="s">
        <v>175</v>
      </c>
      <c r="C68" s="122"/>
      <c r="D68" s="122"/>
      <c r="E68" s="123"/>
      <c r="F68" s="122"/>
      <c r="G68" s="122"/>
      <c r="H68" s="122"/>
      <c r="I68" s="124"/>
      <c r="J68" s="125"/>
      <c r="K68" s="126">
        <f>SQRT(K66)</f>
        <v>2.3854691562457897</v>
      </c>
      <c r="L68" s="127"/>
    </row>
    <row r="69" spans="2:12">
      <c r="B69" s="58" t="s">
        <v>175</v>
      </c>
      <c r="C69" s="59"/>
      <c r="D69" s="59"/>
      <c r="E69" s="60"/>
      <c r="F69" s="59"/>
      <c r="G69" s="59"/>
      <c r="H69" s="59"/>
      <c r="I69" s="73"/>
      <c r="J69" s="74"/>
      <c r="K69" s="75">
        <f>SQRT(K67)</f>
        <v>2.3856438184970812</v>
      </c>
      <c r="L69" s="52"/>
    </row>
    <row r="70" spans="2:12">
      <c r="B70" s="58" t="s">
        <v>176</v>
      </c>
      <c r="C70" s="59"/>
      <c r="D70" s="59"/>
      <c r="E70" s="60"/>
      <c r="F70" s="59"/>
      <c r="G70" s="59"/>
      <c r="H70" s="59"/>
      <c r="I70" s="73"/>
      <c r="J70" s="74"/>
      <c r="K70" s="75">
        <f>(K68^4)/L66</f>
        <v>8.0001375889697961</v>
      </c>
      <c r="L70" s="52"/>
    </row>
    <row r="71" spans="2:12">
      <c r="B71" s="58" t="s">
        <v>176</v>
      </c>
      <c r="C71" s="59"/>
      <c r="D71" s="59"/>
      <c r="E71" s="60"/>
      <c r="F71" s="59"/>
      <c r="G71" s="59"/>
      <c r="H71" s="59"/>
      <c r="I71" s="73"/>
      <c r="J71" s="74"/>
      <c r="K71" s="75">
        <f>(K69^4)/L67</f>
        <v>8.0024809010906193</v>
      </c>
      <c r="L71" s="52"/>
    </row>
    <row r="72" spans="2:12">
      <c r="B72" s="58" t="s">
        <v>177</v>
      </c>
      <c r="C72" s="59"/>
      <c r="D72" s="59"/>
      <c r="E72" s="60"/>
      <c r="F72" s="59"/>
      <c r="G72" s="59"/>
      <c r="H72" s="59"/>
      <c r="I72" s="73"/>
      <c r="J72" s="74"/>
      <c r="K72" s="76">
        <f>TINV(0.05,K70)</f>
        <v>2.3060041352041671</v>
      </c>
      <c r="L72" s="52"/>
    </row>
    <row r="73" spans="2:12" ht="15.6" customHeight="1">
      <c r="B73" s="58" t="s">
        <v>177</v>
      </c>
      <c r="C73" s="59"/>
      <c r="D73" s="59"/>
      <c r="E73" s="60"/>
      <c r="F73" s="59"/>
      <c r="G73" s="59"/>
      <c r="H73" s="59"/>
      <c r="I73" s="73"/>
      <c r="J73" s="74"/>
      <c r="K73" s="76">
        <f>TINV(0.05,K71)</f>
        <v>2.3060041352041671</v>
      </c>
      <c r="L73" s="52"/>
    </row>
    <row r="74" spans="2:12">
      <c r="B74" s="58" t="s">
        <v>178</v>
      </c>
      <c r="C74" s="59"/>
      <c r="D74" s="59"/>
      <c r="E74" s="60"/>
      <c r="F74" s="59"/>
      <c r="G74" s="59"/>
      <c r="H74" s="59"/>
      <c r="I74" s="73"/>
      <c r="J74" s="74"/>
      <c r="K74" s="144">
        <f>K72*K68</f>
        <v>5.5009017387047869</v>
      </c>
      <c r="L74" s="52"/>
    </row>
    <row r="75" spans="2:12">
      <c r="B75" s="61" t="s">
        <v>221</v>
      </c>
      <c r="C75" s="62"/>
      <c r="D75" s="62"/>
      <c r="E75" s="63"/>
      <c r="F75" s="62"/>
      <c r="G75" s="62"/>
      <c r="H75" s="62"/>
      <c r="I75" s="77"/>
      <c r="J75" s="78"/>
      <c r="K75" s="143">
        <f>K73*K69</f>
        <v>5.501304510578529</v>
      </c>
      <c r="L75" s="54"/>
    </row>
    <row r="76" spans="2:12">
      <c r="B76" s="64" t="s">
        <v>179</v>
      </c>
      <c r="C76" s="65"/>
      <c r="D76" s="65"/>
      <c r="E76" s="65"/>
      <c r="F76" s="65"/>
      <c r="G76" s="65"/>
      <c r="H76" s="65"/>
      <c r="I76" s="65"/>
      <c r="J76" s="65"/>
      <c r="K76" s="79">
        <f>IFERROR(VLOOKUP(C56,Database!M3:N27,2,FALSE),0)</f>
        <v>2.6</v>
      </c>
      <c r="L76" s="80"/>
    </row>
    <row r="78" spans="2:12" ht="22.8">
      <c r="B78" s="118"/>
      <c r="C78" s="38"/>
      <c r="D78" s="38"/>
      <c r="K78" s="67"/>
    </row>
  </sheetData>
  <mergeCells count="5">
    <mergeCell ref="B20:B23"/>
    <mergeCell ref="B24:B27"/>
    <mergeCell ref="B28:B31"/>
    <mergeCell ref="B32:B35"/>
    <mergeCell ref="B36:B39"/>
  </mergeCells>
  <conditionalFormatting sqref="B20:B23">
    <cfRule type="expression" dxfId="59" priority="9">
      <formula>OR($C$20=0,$C$21=0,$C$22=0,$C$23=0)</formula>
    </cfRule>
    <cfRule type="expression" dxfId="58" priority="11">
      <formula>AND($C$20&lt;&gt;0,$C$21&lt;&gt;0,$C$22&lt;&gt;0,$C$23&lt;&gt;0)</formula>
    </cfRule>
  </conditionalFormatting>
  <conditionalFormatting sqref="B24">
    <cfRule type="expression" dxfId="57" priority="4">
      <formula>OR($C$24=0,$C$25=0,$C$26=0,$C$27=0)</formula>
    </cfRule>
    <cfRule type="expression" dxfId="56" priority="8">
      <formula>AND($C$24&lt;&gt;0,$C$25&lt;&gt;0,$C$26&lt;&gt;0,$C$27&lt;&gt;0)</formula>
    </cfRule>
  </conditionalFormatting>
  <conditionalFormatting sqref="B28">
    <cfRule type="expression" dxfId="55" priority="3">
      <formula>OR($C$28=0,$C$29=0,$C$30=0,$C$31=0)</formula>
    </cfRule>
    <cfRule type="expression" dxfId="54" priority="7">
      <formula>AND($C$28&lt;&gt;0,$C$29&lt;&gt;0,$C$30&lt;&gt;0,$C$31&lt;&gt;0)</formula>
    </cfRule>
  </conditionalFormatting>
  <conditionalFormatting sqref="B32">
    <cfRule type="expression" dxfId="53" priority="2">
      <formula>OR($C$32=0,$C$33=0,$C$34=0,$C$35=0)</formula>
    </cfRule>
    <cfRule type="expression" dxfId="52" priority="6">
      <formula>AND($C$32&lt;&gt;0,$C$33&lt;&gt;0,$C$34&lt;&gt;0,$C$35&lt;&gt;0)</formula>
    </cfRule>
  </conditionalFormatting>
  <conditionalFormatting sqref="B36">
    <cfRule type="expression" dxfId="51" priority="1">
      <formula>OR($C$36=0,$C$37=0,$C$38=0,$C$39=0)</formula>
    </cfRule>
    <cfRule type="expression" dxfId="50" priority="5">
      <formula>AND($C$36&lt;&gt;0,$C$37&lt;&gt;0,$C$38&lt;&gt;0,$C$39&lt;&gt;0)</formula>
    </cfRule>
  </conditionalFormatting>
  <dataValidations count="2">
    <dataValidation type="custom" allowBlank="1" showInputMessage="1" showErrorMessage="1" errorTitle="SALAH INPUT DATA" error="Mohon gunakan angka_x000a__x000a_contoh: _x000a_24_x000a_24,1_x000a_25,025" sqref="C20:C24 C26 C28:C39" xr:uid="{A9AD7FEA-93E3-4BF4-8A7C-6BF150CF03FD}">
      <formula1>ISNUMBER(C20)</formula1>
    </dataValidation>
    <dataValidation type="custom" allowBlank="1" showInputMessage="1" showErrorMessage="1" errorTitle="Mohon gunakan angka" error="Mohon gunakan angka_x000a__x000a_contoh: _x000a_24_x000a_24,1_x000a_25,025" sqref="C25 C27" xr:uid="{C9FD7243-4D0A-40A9-85DB-17A2DBCD2540}">
      <formula1>ISNUMBER(C25)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showInputMessage="1" showErrorMessage="1" errorTitle="Need Input " xr:uid="{E4594074-82DC-4F7B-9F9E-C8E745DA9020}">
          <x14:formula1>
            <xm:f>Database!$C$4:$C$33</xm:f>
          </x14:formula1>
          <xm:sqref>C11</xm:sqref>
        </x14:dataValidation>
        <x14:dataValidation type="list" allowBlank="1" showInputMessage="1" showErrorMessage="1" xr:uid="{7A589435-E902-4623-86CA-FC689F8447F0}">
          <x14:formula1>
            <xm:f>Database!$E$4:$E$7</xm:f>
          </x14:formula1>
          <xm:sqref>C14</xm:sqref>
        </x14:dataValidation>
        <x14:dataValidation type="list" allowBlank="1" showInputMessage="1" showErrorMessage="1" xr:uid="{D61D07B1-96AE-4562-97EB-C107D14DBE57}">
          <x14:formula1>
            <xm:f>Database!$H$5:$H$7</xm:f>
          </x14:formula1>
          <xm:sqref>C12</xm:sqref>
        </x14:dataValidation>
        <x14:dataValidation type="list" allowBlank="1" showInputMessage="1" showErrorMessage="1" xr:uid="{CF9BCEB8-A4C9-4479-84BF-A23F1D3569BB}">
          <x14:formula1>
            <xm:f>Database!$K$4:$K$7</xm:f>
          </x14:formula1>
          <xm:sqref>C13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1CD0E-020A-458D-91C7-CE7FE15BEBF7}">
  <sheetPr codeName="Sheet3">
    <tabColor rgb="FF00B050"/>
  </sheetPr>
  <dimension ref="A1:R20"/>
  <sheetViews>
    <sheetView workbookViewId="0">
      <selection activeCell="F20" sqref="F20"/>
    </sheetView>
  </sheetViews>
  <sheetFormatPr defaultRowHeight="14.4"/>
  <cols>
    <col min="2" max="2" width="11.109375" customWidth="1"/>
    <col min="3" max="3" width="11.5546875" customWidth="1"/>
    <col min="4" max="4" width="10.33203125" customWidth="1"/>
    <col min="5" max="5" width="9.5546875" customWidth="1"/>
    <col min="6" max="6" width="11.33203125" bestFit="1" customWidth="1"/>
    <col min="9" max="9" width="11" customWidth="1"/>
    <col min="10" max="10" width="9.5546875" bestFit="1" customWidth="1"/>
    <col min="13" max="13" width="10.33203125" bestFit="1" customWidth="1"/>
    <col min="17" max="17" width="18.44140625" bestFit="1" customWidth="1"/>
  </cols>
  <sheetData>
    <row r="1" spans="1:18">
      <c r="A1" s="237"/>
      <c r="B1" s="239" t="s">
        <v>281</v>
      </c>
      <c r="C1" s="223"/>
      <c r="D1" s="261" t="s">
        <v>304</v>
      </c>
      <c r="E1" s="224">
        <f>'FORM Baru'!AH40</f>
        <v>0</v>
      </c>
      <c r="F1" s="224" t="e">
        <f>VLOOKUP(E1,Database!H3:K7,4,FALSE)</f>
        <v>#N/A</v>
      </c>
      <c r="H1" s="240"/>
      <c r="I1" s="239" t="s">
        <v>282</v>
      </c>
      <c r="J1" s="224"/>
      <c r="K1" s="224"/>
      <c r="L1" s="224"/>
      <c r="M1" s="224"/>
    </row>
    <row r="2" spans="1:18">
      <c r="B2" s="224" t="s">
        <v>283</v>
      </c>
      <c r="C2" s="224" t="e">
        <f>INT(VLOOKUP('FORM Baru'!AH40,Database!H3:K7,2,FALSE))</f>
        <v>#N/A</v>
      </c>
      <c r="D2" s="224" t="s">
        <v>284</v>
      </c>
      <c r="E2" s="224" t="s">
        <v>119</v>
      </c>
      <c r="F2" s="224"/>
      <c r="G2" s="224"/>
      <c r="H2" s="224"/>
      <c r="I2" s="224" t="s">
        <v>283</v>
      </c>
      <c r="J2" s="238" t="e">
        <f>C2</f>
        <v>#N/A</v>
      </c>
      <c r="K2" s="224" t="s">
        <v>284</v>
      </c>
      <c r="L2" s="224"/>
      <c r="M2" s="224"/>
    </row>
    <row r="3" spans="1:18">
      <c r="B3" s="224" t="s">
        <v>285</v>
      </c>
      <c r="C3" s="225" t="e">
        <f>VLOOKUP('FORM Baru'!AH40,Database!H3:K7,3,FALSE)</f>
        <v>#N/A</v>
      </c>
      <c r="D3" s="226" t="s">
        <v>286</v>
      </c>
      <c r="E3" s="224"/>
      <c r="F3" s="227"/>
      <c r="G3" s="224"/>
      <c r="H3" s="224"/>
      <c r="I3" s="224" t="s">
        <v>285</v>
      </c>
      <c r="J3" s="228" t="e">
        <f>C3</f>
        <v>#N/A</v>
      </c>
      <c r="K3" s="226" t="s">
        <v>286</v>
      </c>
      <c r="L3" s="224"/>
      <c r="M3" s="227"/>
      <c r="P3" s="262" t="s">
        <v>305</v>
      </c>
    </row>
    <row r="4" spans="1:18">
      <c r="B4" s="263" t="s">
        <v>287</v>
      </c>
      <c r="C4" s="264" t="s">
        <v>288</v>
      </c>
      <c r="D4" s="264" t="s">
        <v>289</v>
      </c>
      <c r="E4" s="264" t="s">
        <v>290</v>
      </c>
      <c r="F4" s="265" t="s">
        <v>291</v>
      </c>
      <c r="G4" s="224"/>
      <c r="H4" s="224"/>
      <c r="I4" s="263" t="s">
        <v>287</v>
      </c>
      <c r="J4" s="264" t="s">
        <v>288</v>
      </c>
      <c r="K4" s="264" t="s">
        <v>289</v>
      </c>
      <c r="L4" s="264" t="s">
        <v>290</v>
      </c>
      <c r="M4" s="265" t="s">
        <v>291</v>
      </c>
      <c r="P4" s="269" t="s">
        <v>306</v>
      </c>
      <c r="Q4" s="269" t="s">
        <v>307</v>
      </c>
      <c r="R4" s="269" t="s">
        <v>308</v>
      </c>
    </row>
    <row r="5" spans="1:18">
      <c r="B5" s="266"/>
      <c r="C5" s="267"/>
      <c r="D5" s="267"/>
      <c r="E5" s="267" t="s">
        <v>292</v>
      </c>
      <c r="F5" s="268" t="s">
        <v>293</v>
      </c>
      <c r="G5" s="224"/>
      <c r="H5" s="224"/>
      <c r="I5" s="266"/>
      <c r="J5" s="267"/>
      <c r="K5" s="267"/>
      <c r="L5" s="267" t="s">
        <v>292</v>
      </c>
      <c r="M5" s="268" t="s">
        <v>293</v>
      </c>
      <c r="P5" s="256" t="e">
        <f>LEN(F1)-FIND(",",F1)</f>
        <v>#N/A</v>
      </c>
      <c r="Q5" s="256" t="e">
        <f xml:space="preserve"> TEXT(F8,"0,"&amp;REPT("0",$P$5))</f>
        <v>#N/A</v>
      </c>
      <c r="R5" s="256" t="e">
        <f>C2</f>
        <v>#N/A</v>
      </c>
    </row>
    <row r="6" spans="1:18">
      <c r="B6" s="229">
        <v>0</v>
      </c>
      <c r="C6" s="270">
        <v>0</v>
      </c>
      <c r="D6" s="231"/>
      <c r="E6" s="231"/>
      <c r="F6" s="231"/>
      <c r="G6" s="224"/>
      <c r="H6" s="224"/>
      <c r="I6" s="229">
        <v>0</v>
      </c>
      <c r="J6" s="230">
        <v>0</v>
      </c>
      <c r="K6" s="231"/>
      <c r="L6" s="231"/>
      <c r="M6" s="231"/>
    </row>
    <row r="7" spans="1:18">
      <c r="B7" s="232" t="e">
        <f>C3</f>
        <v>#N/A</v>
      </c>
      <c r="C7" s="270">
        <v>200.00205</v>
      </c>
      <c r="D7" s="231"/>
      <c r="E7" s="231"/>
      <c r="F7" s="231"/>
      <c r="G7" s="224"/>
      <c r="H7" s="224"/>
      <c r="I7" s="232" t="e">
        <f>J3</f>
        <v>#N/A</v>
      </c>
      <c r="J7" s="233">
        <v>200.00004999999999</v>
      </c>
      <c r="K7" s="231">
        <f>(J6+J7)/2</f>
        <v>100.00002499999999</v>
      </c>
      <c r="L7" s="231"/>
      <c r="M7" s="231"/>
    </row>
    <row r="8" spans="1:18">
      <c r="B8" s="232" t="e">
        <f>B7</f>
        <v>#N/A</v>
      </c>
      <c r="C8" s="270">
        <v>200.00200000000001</v>
      </c>
      <c r="D8" s="231">
        <f>(C7+C8)/2</f>
        <v>200.002025</v>
      </c>
      <c r="E8" s="231">
        <f>D8-D9</f>
        <v>200.002025</v>
      </c>
      <c r="F8" s="271" t="e">
        <f>C3-(E8)</f>
        <v>#N/A</v>
      </c>
      <c r="G8" s="224"/>
      <c r="H8" s="224"/>
      <c r="I8" s="232" t="e">
        <f>I7</f>
        <v>#N/A</v>
      </c>
      <c r="J8" s="233">
        <v>200.00004999999999</v>
      </c>
      <c r="K8" s="231">
        <f>(J7+J8)/2</f>
        <v>200.00004999999999</v>
      </c>
      <c r="L8" s="231">
        <f>K8-K9</f>
        <v>200.00004999999999</v>
      </c>
      <c r="M8" s="271" t="e">
        <f>J3-(L8)</f>
        <v>#N/A</v>
      </c>
    </row>
    <row r="9" spans="1:18">
      <c r="B9" s="229">
        <v>0</v>
      </c>
      <c r="C9" s="270">
        <v>0</v>
      </c>
      <c r="D9" s="231">
        <f>(C6+C9)/2</f>
        <v>0</v>
      </c>
      <c r="E9" s="231"/>
      <c r="F9" s="231"/>
      <c r="G9" s="224"/>
      <c r="H9" s="224"/>
      <c r="I9" s="229" t="s">
        <v>294</v>
      </c>
      <c r="J9" s="233">
        <v>0</v>
      </c>
      <c r="K9" s="231">
        <f>(J6+J9)/2</f>
        <v>0</v>
      </c>
      <c r="L9" s="231"/>
      <c r="M9" s="231"/>
    </row>
    <row r="12" spans="1:18">
      <c r="A12" s="237"/>
      <c r="B12" s="239" t="s">
        <v>281</v>
      </c>
      <c r="C12" s="223"/>
      <c r="D12" s="224" t="s">
        <v>304</v>
      </c>
      <c r="E12" s="224">
        <f>'FORM Baru'!AH42</f>
        <v>0</v>
      </c>
      <c r="F12" s="224" t="str">
        <f>IFERROR(VLOOKUP(E12,Database!$H$3:$K$7,4,FALSE),"")</f>
        <v/>
      </c>
      <c r="H12" s="240"/>
      <c r="I12" s="239" t="s">
        <v>282</v>
      </c>
      <c r="J12" s="224"/>
      <c r="K12" s="224"/>
      <c r="L12" s="224"/>
      <c r="M12" s="224"/>
    </row>
    <row r="13" spans="1:18">
      <c r="B13" s="224" t="s">
        <v>283</v>
      </c>
      <c r="C13" s="224" t="str">
        <f>IFERROR(INT(VLOOKUP('FORM Baru'!AH42,Database!H3:K7,2,FALSE)),"")</f>
        <v/>
      </c>
      <c r="D13" s="224" t="s">
        <v>284</v>
      </c>
      <c r="E13" s="224" t="s">
        <v>119</v>
      </c>
      <c r="F13" s="224"/>
      <c r="G13" s="224"/>
      <c r="H13" s="224"/>
      <c r="I13" s="224" t="s">
        <v>283</v>
      </c>
      <c r="J13" s="238" t="str">
        <f>C13</f>
        <v/>
      </c>
      <c r="K13" s="224" t="s">
        <v>284</v>
      </c>
      <c r="L13" s="224"/>
      <c r="M13" s="224"/>
    </row>
    <row r="14" spans="1:18">
      <c r="B14" s="224" t="s">
        <v>285</v>
      </c>
      <c r="C14" s="225" t="str">
        <f>IFERROR(VLOOKUP('FORM Baru'!AH42,Database!H3:K7,3,FALSE),"")</f>
        <v/>
      </c>
      <c r="D14" s="226" t="s">
        <v>286</v>
      </c>
      <c r="E14" s="224"/>
      <c r="F14" s="227"/>
      <c r="G14" s="224"/>
      <c r="H14" s="224"/>
      <c r="I14" s="224" t="s">
        <v>285</v>
      </c>
      <c r="J14" s="228" t="str">
        <f>C14</f>
        <v/>
      </c>
      <c r="K14" s="226" t="s">
        <v>286</v>
      </c>
      <c r="L14" s="224"/>
      <c r="M14" s="227"/>
      <c r="P14" s="262" t="s">
        <v>305</v>
      </c>
    </row>
    <row r="15" spans="1:18">
      <c r="B15" s="263" t="s">
        <v>287</v>
      </c>
      <c r="C15" s="264" t="s">
        <v>288</v>
      </c>
      <c r="D15" s="264" t="s">
        <v>289</v>
      </c>
      <c r="E15" s="264" t="s">
        <v>290</v>
      </c>
      <c r="F15" s="265" t="s">
        <v>291</v>
      </c>
      <c r="G15" s="224"/>
      <c r="H15" s="224"/>
      <c r="I15" s="263" t="s">
        <v>287</v>
      </c>
      <c r="J15" s="264" t="s">
        <v>288</v>
      </c>
      <c r="K15" s="264" t="s">
        <v>289</v>
      </c>
      <c r="L15" s="264" t="s">
        <v>290</v>
      </c>
      <c r="M15" s="265" t="s">
        <v>291</v>
      </c>
      <c r="P15" s="269" t="s">
        <v>306</v>
      </c>
      <c r="Q15" s="269" t="s">
        <v>307</v>
      </c>
      <c r="R15" s="269" t="s">
        <v>308</v>
      </c>
    </row>
    <row r="16" spans="1:18">
      <c r="B16" s="266"/>
      <c r="C16" s="267"/>
      <c r="D16" s="267"/>
      <c r="E16" s="267" t="s">
        <v>292</v>
      </c>
      <c r="F16" s="268" t="s">
        <v>293</v>
      </c>
      <c r="G16" s="224"/>
      <c r="H16" s="224"/>
      <c r="I16" s="266"/>
      <c r="J16" s="267"/>
      <c r="K16" s="267"/>
      <c r="L16" s="267" t="s">
        <v>292</v>
      </c>
      <c r="M16" s="268" t="s">
        <v>293</v>
      </c>
      <c r="P16" s="256" t="e">
        <f>LEN(F12)-FIND(",",F12)</f>
        <v>#VALUE!</v>
      </c>
      <c r="Q16" s="256" t="e">
        <f xml:space="preserve"> TEXT(F19,"0,"&amp;REPT("0",$P$16))</f>
        <v>#VALUE!</v>
      </c>
      <c r="R16" s="256" t="str">
        <f>C13</f>
        <v/>
      </c>
    </row>
    <row r="17" spans="2:13">
      <c r="B17" s="229">
        <v>0</v>
      </c>
      <c r="C17" s="230">
        <v>0</v>
      </c>
      <c r="D17" s="231"/>
      <c r="E17" s="231"/>
      <c r="F17" s="231"/>
      <c r="G17" s="224"/>
      <c r="H17" s="224"/>
      <c r="I17" s="229">
        <v>0</v>
      </c>
      <c r="J17" s="230">
        <v>0</v>
      </c>
      <c r="K17" s="231"/>
      <c r="L17" s="231"/>
      <c r="M17" s="231"/>
    </row>
    <row r="18" spans="2:13">
      <c r="B18" s="234" t="str">
        <f>C14</f>
        <v/>
      </c>
      <c r="C18" s="233">
        <v>5000.01</v>
      </c>
      <c r="D18" s="231"/>
      <c r="E18" s="231"/>
      <c r="F18" s="231"/>
      <c r="G18" s="224"/>
      <c r="H18" s="224"/>
      <c r="I18" s="232" t="str">
        <f>J14</f>
        <v/>
      </c>
      <c r="J18" s="233">
        <v>5000.0029999999997</v>
      </c>
      <c r="K18" s="231">
        <f>(J17+J18)/2</f>
        <v>2500.0014999999999</v>
      </c>
      <c r="L18" s="231"/>
      <c r="M18" s="231"/>
    </row>
    <row r="19" spans="2:13">
      <c r="B19" s="234" t="str">
        <f>B18</f>
        <v/>
      </c>
      <c r="C19" s="233">
        <v>5000.01</v>
      </c>
      <c r="D19" s="231">
        <f>(C18+C19)/2</f>
        <v>5000.01</v>
      </c>
      <c r="E19" s="231">
        <f>D19-D20</f>
        <v>5000.01</v>
      </c>
      <c r="F19" s="235" t="e">
        <f>C14-(E19)</f>
        <v>#VALUE!</v>
      </c>
      <c r="G19" s="224"/>
      <c r="H19" s="224"/>
      <c r="I19" s="232" t="str">
        <f>I18</f>
        <v/>
      </c>
      <c r="J19" s="233">
        <v>5000.0039999999999</v>
      </c>
      <c r="K19" s="231">
        <f>(J18+J19)/2</f>
        <v>5000.0034999999998</v>
      </c>
      <c r="L19" s="231">
        <f>K19-K20</f>
        <v>5000.0034999999998</v>
      </c>
      <c r="M19" s="236" t="e">
        <f>J14-(L19)</f>
        <v>#VALUE!</v>
      </c>
    </row>
    <row r="20" spans="2:13">
      <c r="B20" s="229">
        <v>0</v>
      </c>
      <c r="C20" s="230">
        <v>0</v>
      </c>
      <c r="D20" s="231">
        <f>(C17+C20)/2</f>
        <v>0</v>
      </c>
      <c r="E20" s="231"/>
      <c r="F20" s="231"/>
      <c r="G20" s="224"/>
      <c r="H20" s="224"/>
      <c r="I20" s="229" t="s">
        <v>294</v>
      </c>
      <c r="J20" s="233">
        <v>0</v>
      </c>
      <c r="K20" s="231">
        <f>(J17+J20)/2</f>
        <v>0</v>
      </c>
      <c r="L20" s="231"/>
      <c r="M20" s="231"/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C14E4A-58C4-42CA-8A3D-51123664BF49}">
            <xm:f>'FORM Baru'!$AK$42&lt;2</xm:f>
            <x14:dxf>
              <font>
                <color theme="0"/>
              </font>
              <numFmt numFmtId="30" formatCode="@"/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A12:E12 G12:M12 A13:M20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C000"/>
  </sheetPr>
  <dimension ref="A1:M174"/>
  <sheetViews>
    <sheetView view="pageBreakPreview" topLeftCell="A77" zoomScaleNormal="100" zoomScaleSheetLayoutView="100" workbookViewId="0">
      <selection activeCell="E101" sqref="E101"/>
    </sheetView>
  </sheetViews>
  <sheetFormatPr defaultColWidth="9" defaultRowHeight="14.4"/>
  <cols>
    <col min="1" max="1" width="10.33203125" customWidth="1"/>
    <col min="2" max="2" width="8.44140625" customWidth="1"/>
    <col min="3" max="3" width="11" customWidth="1"/>
    <col min="4" max="4" width="9" customWidth="1"/>
    <col min="5" max="5" width="13" customWidth="1"/>
    <col min="6" max="7" width="9.5546875" customWidth="1"/>
    <col min="9" max="9" width="10.33203125" customWidth="1"/>
    <col min="10" max="10" width="8.33203125" customWidth="1"/>
  </cols>
  <sheetData>
    <row r="1" spans="1:11" s="1" customFormat="1"/>
    <row r="2" spans="1:11" s="1" customFormat="1"/>
    <row r="3" spans="1:11" s="1" customFormat="1"/>
    <row r="4" spans="1:11" s="1" customFormat="1"/>
    <row r="5" spans="1:11" s="1" customFormat="1"/>
    <row r="6" spans="1:11" s="1" customFormat="1"/>
    <row r="7" spans="1:11" s="1" customFormat="1" ht="22.8">
      <c r="A7" s="279" t="s">
        <v>15</v>
      </c>
      <c r="B7" s="279"/>
      <c r="C7" s="279"/>
      <c r="D7" s="279"/>
      <c r="E7" s="279"/>
      <c r="F7" s="279"/>
      <c r="G7" s="279"/>
      <c r="H7" s="279"/>
      <c r="I7" s="279"/>
      <c r="J7" s="279"/>
      <c r="K7" s="279"/>
    </row>
    <row r="8" spans="1:11" s="1" customFormat="1" ht="18">
      <c r="A8" s="280" t="s">
        <v>16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</row>
    <row r="9" spans="1:11" s="1" customFormat="1">
      <c r="A9" s="281" t="str">
        <f>CONCATENATE("Nomor / Number : ",'FORM Baru'!AH38)</f>
        <v>Nomor / Number : 0</v>
      </c>
      <c r="B9" s="281"/>
      <c r="C9" s="281"/>
      <c r="D9" s="281"/>
      <c r="E9" s="281"/>
      <c r="F9" s="281"/>
      <c r="G9" s="281"/>
      <c r="H9" s="281"/>
      <c r="I9" s="281"/>
      <c r="J9" s="281"/>
      <c r="K9" s="281"/>
    </row>
    <row r="10" spans="1:11" s="1" customFormat="1"/>
    <row r="11" spans="1:11" s="1" customFormat="1"/>
    <row r="12" spans="1:11" s="1" customFormat="1"/>
    <row r="13" spans="1:11" s="1" customFormat="1"/>
    <row r="14" spans="1:11" s="1" customFormat="1">
      <c r="B14" s="83" t="s">
        <v>17</v>
      </c>
      <c r="C14" s="84"/>
      <c r="D14" s="84"/>
    </row>
    <row r="15" spans="1:11" s="1" customFormat="1">
      <c r="B15" s="85" t="s">
        <v>18</v>
      </c>
    </row>
    <row r="16" spans="1:11" s="1" customFormat="1"/>
    <row r="17" spans="2:7" s="1" customFormat="1">
      <c r="B17" s="81" t="s">
        <v>19</v>
      </c>
      <c r="D17" s="145" t="s">
        <v>248</v>
      </c>
      <c r="E17" s="81" t="s">
        <v>195</v>
      </c>
    </row>
    <row r="18" spans="2:7" s="1" customFormat="1">
      <c r="B18" s="86" t="s">
        <v>20</v>
      </c>
      <c r="D18" s="81"/>
      <c r="E18" s="81"/>
    </row>
    <row r="19" spans="2:7" s="1" customFormat="1">
      <c r="B19" s="87" t="s">
        <v>21</v>
      </c>
      <c r="D19" s="145" t="s">
        <v>248</v>
      </c>
      <c r="E19" s="81" t="str">
        <f>CONCATENATE('FORM Baru'!AH19)</f>
        <v>0</v>
      </c>
    </row>
    <row r="20" spans="2:7" s="1" customFormat="1">
      <c r="B20" s="88" t="s">
        <v>22</v>
      </c>
      <c r="D20" s="81"/>
      <c r="E20" s="81"/>
    </row>
    <row r="21" spans="2:7" s="1" customFormat="1">
      <c r="B21" s="87" t="s">
        <v>23</v>
      </c>
      <c r="D21" s="145" t="s">
        <v>248</v>
      </c>
      <c r="E21" s="81" t="str">
        <f>CONCATENATE('FORM Baru'!AH21)</f>
        <v>0</v>
      </c>
    </row>
    <row r="22" spans="2:7" s="1" customFormat="1">
      <c r="B22" s="88" t="s">
        <v>24</v>
      </c>
      <c r="D22" s="81"/>
      <c r="E22" s="81"/>
    </row>
    <row r="23" spans="2:7" s="1" customFormat="1">
      <c r="B23" s="81" t="s">
        <v>25</v>
      </c>
      <c r="D23" s="145" t="s">
        <v>248</v>
      </c>
      <c r="E23" s="81" t="str">
        <f>CONCATENATE('FORM Baru'!AH27)</f>
        <v>0</v>
      </c>
    </row>
    <row r="24" spans="2:7" s="1" customFormat="1">
      <c r="B24" s="86" t="s">
        <v>26</v>
      </c>
      <c r="D24" s="81"/>
      <c r="E24" s="81"/>
    </row>
    <row r="25" spans="2:7" s="1" customFormat="1">
      <c r="B25" s="81" t="s">
        <v>27</v>
      </c>
      <c r="D25" s="145" t="s">
        <v>248</v>
      </c>
      <c r="E25" s="81" t="str">
        <f>CONCATENATE('FORM Baru'!AH23)</f>
        <v>0</v>
      </c>
    </row>
    <row r="26" spans="2:7" s="1" customFormat="1">
      <c r="B26" s="86" t="s">
        <v>28</v>
      </c>
      <c r="D26" s="81"/>
      <c r="E26" s="81"/>
    </row>
    <row r="27" spans="2:7" s="1" customFormat="1">
      <c r="B27" s="81" t="s">
        <v>29</v>
      </c>
      <c r="D27" s="145" t="s">
        <v>248</v>
      </c>
      <c r="E27" s="81" t="s">
        <v>47</v>
      </c>
      <c r="F27" s="145" t="s">
        <v>248</v>
      </c>
      <c r="G27" s="95" t="str">
        <f>CONCATENATE('FORM Baru'!AH25)</f>
        <v>0</v>
      </c>
    </row>
    <row r="28" spans="2:7" s="1" customFormat="1">
      <c r="B28" s="88" t="s">
        <v>30</v>
      </c>
      <c r="D28" s="81"/>
      <c r="E28" s="81" t="s">
        <v>250</v>
      </c>
      <c r="F28" s="145" t="s">
        <v>248</v>
      </c>
      <c r="G28" s="1" t="s">
        <v>249</v>
      </c>
    </row>
    <row r="29" spans="2:7" s="1" customFormat="1"/>
    <row r="30" spans="2:7" s="1" customFormat="1" ht="14.25" customHeight="1">
      <c r="B30" s="89" t="s">
        <v>31</v>
      </c>
      <c r="C30" s="89"/>
      <c r="D30" s="89"/>
    </row>
    <row r="31" spans="2:7" s="1" customFormat="1" ht="14.25" customHeight="1">
      <c r="B31" s="90" t="s">
        <v>32</v>
      </c>
      <c r="C31" s="90"/>
      <c r="D31" s="90"/>
    </row>
    <row r="32" spans="2:7" s="1" customFormat="1">
      <c r="B32" s="91"/>
      <c r="C32" s="91"/>
      <c r="D32" s="91"/>
    </row>
    <row r="33" spans="2:11" s="1" customFormat="1" ht="15.45" customHeight="1">
      <c r="B33" s="81" t="s">
        <v>33</v>
      </c>
      <c r="D33" s="147" t="s">
        <v>248</v>
      </c>
      <c r="E33" s="146" t="str">
        <f>CONCATENATE('FORM Baru'!AH11)</f>
        <v>0</v>
      </c>
      <c r="F33" s="146"/>
      <c r="G33" s="146"/>
      <c r="H33" s="146"/>
      <c r="I33" s="146"/>
      <c r="J33" s="146"/>
      <c r="K33" s="146"/>
    </row>
    <row r="34" spans="2:11" s="1" customFormat="1" ht="14.25" customHeight="1">
      <c r="B34" s="86" t="s">
        <v>34</v>
      </c>
      <c r="D34" s="146"/>
      <c r="E34" s="146"/>
      <c r="F34" s="146"/>
      <c r="G34" s="146"/>
      <c r="H34" s="146"/>
      <c r="I34" s="146"/>
      <c r="J34" s="146"/>
      <c r="K34" s="146"/>
    </row>
    <row r="35" spans="2:11" s="1" customFormat="1" ht="15.45" customHeight="1">
      <c r="B35" s="81" t="s">
        <v>35</v>
      </c>
      <c r="D35" s="147" t="s">
        <v>248</v>
      </c>
      <c r="E35" s="278" t="str">
        <f>CONCATENATE('FORM Baru'!AH13)</f>
        <v>0</v>
      </c>
      <c r="F35" s="278"/>
      <c r="G35" s="278"/>
      <c r="H35" s="278"/>
      <c r="I35" s="278"/>
      <c r="J35" s="278"/>
      <c r="K35" s="104"/>
    </row>
    <row r="36" spans="2:11" s="1" customFormat="1" ht="14.25" customHeight="1">
      <c r="B36" s="86" t="s">
        <v>36</v>
      </c>
      <c r="D36" s="146"/>
      <c r="E36" s="278"/>
      <c r="F36" s="278"/>
      <c r="G36" s="278"/>
      <c r="H36" s="278"/>
      <c r="I36" s="278"/>
      <c r="J36" s="278"/>
      <c r="K36" s="104"/>
    </row>
    <row r="37" spans="2:11" s="1" customFormat="1">
      <c r="E37" s="278"/>
      <c r="F37" s="278"/>
      <c r="G37" s="278"/>
      <c r="H37" s="278"/>
      <c r="I37" s="278"/>
      <c r="J37" s="278"/>
    </row>
    <row r="38" spans="2:11" s="1" customFormat="1"/>
    <row r="39" spans="2:11" s="1" customFormat="1"/>
    <row r="40" spans="2:11" s="1" customFormat="1">
      <c r="H40" s="82" t="str">
        <f>IF(OR('FORM Baru'!AH35= TRUE,'FORM Baru'!AI36&gt; 17),CONCATENATE("Halaman 1 dari 3 halaman"),CONCATENATE("Halaman 1 dari 2 halaman"))</f>
        <v>Halaman 1 dari 2 halaman</v>
      </c>
    </row>
    <row r="41" spans="2:11" s="1" customFormat="1">
      <c r="H41" s="96" t="s">
        <v>37</v>
      </c>
    </row>
    <row r="42" spans="2:11" s="1" customFormat="1">
      <c r="B42"/>
      <c r="H42" s="97"/>
    </row>
    <row r="43" spans="2:11" s="1" customFormat="1">
      <c r="H43" s="98" t="str">
        <f>CONCATENATE("Diterbitkan Tanggal ",'FORM Baru'!AH46)</f>
        <v>Diterbitkan Tanggal 0</v>
      </c>
    </row>
    <row r="44" spans="2:11" s="1" customFormat="1">
      <c r="C44"/>
      <c r="H44" s="96" t="s">
        <v>38</v>
      </c>
    </row>
    <row r="45" spans="2:11" s="1" customFormat="1">
      <c r="B45"/>
      <c r="C45"/>
      <c r="E45" s="92" t="s">
        <v>298</v>
      </c>
    </row>
    <row r="46" spans="2:11" s="1" customFormat="1">
      <c r="B46"/>
      <c r="C46"/>
      <c r="E46" s="89" t="s">
        <v>299</v>
      </c>
    </row>
    <row r="47" spans="2:11" s="1" customFormat="1">
      <c r="E47" s="246" t="s">
        <v>300</v>
      </c>
      <c r="G47" s="94"/>
    </row>
    <row r="48" spans="2:11" s="1" customFormat="1">
      <c r="G48" s="94"/>
    </row>
    <row r="49" spans="5:6" s="1" customFormat="1"/>
    <row r="50" spans="5:6" s="1" customFormat="1"/>
    <row r="51" spans="5:6" s="1" customFormat="1"/>
    <row r="52" spans="5:6" s="1" customFormat="1"/>
    <row r="53" spans="5:6" s="1" customFormat="1"/>
    <row r="54" spans="5:6" s="1" customFormat="1"/>
    <row r="55" spans="5:6" s="1" customFormat="1"/>
    <row r="56" spans="5:6" s="1" customFormat="1"/>
    <row r="57" spans="5:6" s="1" customFormat="1"/>
    <row r="58" spans="5:6" s="1" customFormat="1"/>
    <row r="59" spans="5:6" s="1" customFormat="1"/>
    <row r="60" spans="5:6" s="1" customFormat="1"/>
    <row r="61" spans="5:6" s="1" customFormat="1"/>
    <row r="62" spans="5:6" s="1" customFormat="1">
      <c r="E62" s="95" t="s">
        <v>39</v>
      </c>
      <c r="F62" s="95" t="str">
        <f>CONCATENATE(": ",MID(A9,18,33))</f>
        <v>: 0</v>
      </c>
    </row>
    <row r="63" spans="5:6" s="1" customFormat="1">
      <c r="E63" s="95" t="s">
        <v>40</v>
      </c>
      <c r="F63" s="95" t="str">
        <f>CONCATENATE(": ",'FORM Baru'!AH9)</f>
        <v>: 0</v>
      </c>
    </row>
    <row r="64" spans="5:6" s="1" customFormat="1">
      <c r="E64" s="95" t="s">
        <v>41</v>
      </c>
      <c r="F64" s="95" t="str">
        <f>IF(OR('FORM Baru'!AH35= TRUE,'FORM Baru'!AI36&gt; 17),CONCATENATE(": 2 dari 3 "),CONCATENATE(": 2 dari 2"))</f>
        <v>: 2 dari 2</v>
      </c>
    </row>
    <row r="65" spans="2:9" s="1" customFormat="1" ht="17.399999999999999" customHeight="1"/>
    <row r="66" spans="2:9" s="1" customFormat="1" ht="5.4" customHeight="1"/>
    <row r="67" spans="2:9" s="1" customFormat="1">
      <c r="B67" s="282" t="s">
        <v>42</v>
      </c>
      <c r="C67" s="282"/>
      <c r="D67" s="282"/>
      <c r="E67" s="282"/>
      <c r="F67" s="282"/>
    </row>
    <row r="68" spans="2:9" s="1" customFormat="1">
      <c r="B68" s="81" t="s">
        <v>43</v>
      </c>
      <c r="D68" s="81" t="str">
        <f>CONCATENATE(": ",E17)</f>
        <v>: Anak Timbangan</v>
      </c>
      <c r="E68" s="81"/>
      <c r="F68" s="81"/>
      <c r="G68" s="81"/>
    </row>
    <row r="69" spans="2:9" s="1" customFormat="1">
      <c r="B69" s="81" t="s">
        <v>44</v>
      </c>
      <c r="D69" s="81" t="str">
        <f>CONCATENATE(":"," ",'FORM Baru'!AH19," ","/"," ",'FORM Baru'!AH21)</f>
        <v>: 0 / 0</v>
      </c>
      <c r="E69" s="81"/>
      <c r="F69" s="81"/>
      <c r="G69" s="81"/>
    </row>
    <row r="70" spans="2:9" s="1" customFormat="1">
      <c r="B70" s="81" t="s">
        <v>45</v>
      </c>
      <c r="D70" s="81" t="str">
        <f>CONCATENATE(":"," ",'FORM Baru'!AH27)</f>
        <v>: 0</v>
      </c>
      <c r="E70" s="81"/>
      <c r="F70" s="81"/>
      <c r="G70" s="81"/>
    </row>
    <row r="71" spans="2:9" s="1" customFormat="1">
      <c r="B71" s="81" t="s">
        <v>46</v>
      </c>
      <c r="D71" s="81" t="str">
        <f>CONCATENATE(": ",$E$25)</f>
        <v>: 0</v>
      </c>
      <c r="E71" s="81"/>
      <c r="F71" s="81"/>
      <c r="G71" s="81"/>
    </row>
    <row r="72" spans="2:9" s="1" customFormat="1">
      <c r="B72" s="81" t="s">
        <v>47</v>
      </c>
      <c r="D72" s="81" t="str">
        <f>CONCATENATE(": ",$G$27)</f>
        <v>: 0</v>
      </c>
      <c r="E72" s="81"/>
    </row>
    <row r="73" spans="2:9" s="1" customFormat="1">
      <c r="B73" s="81" t="s">
        <v>48</v>
      </c>
      <c r="D73" s="81" t="str">
        <f>CONCATENATE(": ",$G$28)</f>
        <v>:  -</v>
      </c>
      <c r="E73" s="81"/>
      <c r="G73" s="81" t="s">
        <v>49</v>
      </c>
      <c r="I73" s="93"/>
    </row>
    <row r="74" spans="2:9" s="1" customFormat="1">
      <c r="B74" s="81" t="s">
        <v>50</v>
      </c>
      <c r="D74" s="81" t="s">
        <v>51</v>
      </c>
      <c r="E74" s="81"/>
      <c r="G74" s="81" t="s">
        <v>52</v>
      </c>
      <c r="I74" s="81" t="str">
        <f>CONCATENATE(":"," ","(",'Koreksi themohygro rotronic 202'!C10,")"," ºC")</f>
        <v>: (20,7 ± 0,3) ºC</v>
      </c>
    </row>
    <row r="75" spans="2:9" s="1" customFormat="1">
      <c r="B75" s="81" t="s">
        <v>53</v>
      </c>
      <c r="D75" s="81" t="str">
        <f>CONCATENATE(":"," ",'FORM Baru'!AH29)</f>
        <v>: 0</v>
      </c>
      <c r="E75" s="81"/>
      <c r="G75" s="105" t="s">
        <v>196</v>
      </c>
      <c r="I75" s="81" t="str">
        <f>CONCATENATE(":"," ","(",'Koreksi themohygro rotronic 202'!D10,")"," %RH")</f>
        <v>: (63,3 ± 0,8) %RH</v>
      </c>
    </row>
    <row r="76" spans="2:9" s="1" customFormat="1">
      <c r="B76" s="81" t="s">
        <v>54</v>
      </c>
      <c r="D76" s="81" t="str">
        <f>CONCATENATE(":"," ",'FORM Baru'!AH31)</f>
        <v>: 0</v>
      </c>
      <c r="E76" s="99"/>
      <c r="G76" s="81" t="s">
        <v>55</v>
      </c>
      <c r="I76" s="81" t="str">
        <f>CONCATENATE(":"," ","(",FIXED('U95'!E10,0)," ","± 1",")"," mmHg")</f>
        <v>: (693 ± 1) mmHg</v>
      </c>
    </row>
    <row r="77" spans="2:9" s="1" customFormat="1">
      <c r="B77" s="207" t="s">
        <v>56</v>
      </c>
      <c r="C77" s="206"/>
      <c r="D77" s="207" t="str">
        <f>CONCATENATE(":"," ",'FORM Baru'!AH15)</f>
        <v>: 0</v>
      </c>
      <c r="E77" s="205"/>
      <c r="F77" s="206"/>
      <c r="G77" s="206"/>
      <c r="H77" s="206"/>
      <c r="I77" s="206"/>
    </row>
    <row r="78" spans="2:9" s="1" customFormat="1">
      <c r="B78" s="207"/>
      <c r="C78" s="206"/>
      <c r="D78" s="207"/>
      <c r="E78" s="205"/>
      <c r="F78" s="206"/>
      <c r="G78" s="206"/>
      <c r="H78" s="206"/>
      <c r="I78" s="206"/>
    </row>
    <row r="79" spans="2:9" s="1" customFormat="1">
      <c r="B79" s="241" t="s">
        <v>297</v>
      </c>
      <c r="C79" s="241"/>
      <c r="D79" s="241" t="str">
        <f>CONCATENATE(": Koreksi pembacaan timbangan dengan ns: ",'FORM Baru'!AH40, " dilakukan")</f>
        <v>: Koreksi pembacaan timbangan dengan ns: 0 dilakukan</v>
      </c>
      <c r="F79" s="206"/>
      <c r="G79" s="206"/>
      <c r="H79" s="206"/>
      <c r="I79" s="206"/>
    </row>
    <row r="80" spans="2:9" s="1" customFormat="1">
      <c r="B80" s="244" t="s">
        <v>302</v>
      </c>
      <c r="C80" s="224"/>
      <c r="D80" s="241" t="e">
        <f>CONCATENATE("  pada beban ", Adjustment!C2," g ","sebesar ",Adjustment!Q5," g ", "dan timbangan dengan ns:")</f>
        <v>#N/A</v>
      </c>
      <c r="F80" s="206"/>
      <c r="G80" s="206"/>
      <c r="H80" s="206"/>
      <c r="I80" s="206"/>
    </row>
    <row r="81" spans="2:9" s="1" customFormat="1">
      <c r="B81" s="244"/>
      <c r="C81" s="224"/>
      <c r="D81" s="241" t="e">
        <f>CONCATENATE("  ",'FORM Baru'!AH42, " dilakukan pada beban ",Adjustment!C13," g ","sebesar ",Adjustment!Q16," g.")</f>
        <v>#VALUE!</v>
      </c>
      <c r="F81" s="206"/>
      <c r="G81" s="206"/>
      <c r="H81" s="206"/>
      <c r="I81" s="206"/>
    </row>
    <row r="82" spans="2:9" s="1" customFormat="1">
      <c r="B82" s="241"/>
      <c r="D82" s="241"/>
    </row>
    <row r="83" spans="2:9" s="1" customFormat="1">
      <c r="B83" s="241" t="s">
        <v>296</v>
      </c>
      <c r="C83" s="241"/>
      <c r="D83" s="241" t="s">
        <v>301</v>
      </c>
      <c r="F83" s="206"/>
      <c r="G83" s="206"/>
      <c r="H83" s="206"/>
      <c r="I83" s="206"/>
    </row>
    <row r="84" spans="2:9" s="1" customFormat="1">
      <c r="B84" s="241"/>
      <c r="C84" s="241"/>
      <c r="D84" s="95" t="s">
        <v>309</v>
      </c>
      <c r="F84" s="206"/>
      <c r="G84" s="206"/>
      <c r="H84" s="206"/>
      <c r="I84" s="206"/>
    </row>
    <row r="85" spans="2:9" s="1" customFormat="1">
      <c r="B85"/>
      <c r="C85"/>
      <c r="D85"/>
      <c r="E85"/>
      <c r="F85"/>
      <c r="G85"/>
      <c r="H85"/>
      <c r="I85"/>
    </row>
    <row r="86" spans="2:9" s="1" customFormat="1">
      <c r="E86" s="100" t="s">
        <v>57</v>
      </c>
    </row>
    <row r="87" spans="2:9" s="1" customFormat="1" ht="7.5" customHeight="1"/>
    <row r="88" spans="2:9" s="1" customFormat="1" ht="33" customHeight="1">
      <c r="B88" s="283" t="s">
        <v>58</v>
      </c>
      <c r="C88" s="285" t="s">
        <v>59</v>
      </c>
      <c r="D88" s="286"/>
      <c r="E88" s="287" t="s">
        <v>60</v>
      </c>
      <c r="F88" s="288"/>
      <c r="G88" s="285" t="s">
        <v>61</v>
      </c>
      <c r="H88" s="289"/>
      <c r="I88" s="286"/>
    </row>
    <row r="89" spans="2:9" s="1" customFormat="1" ht="14.7" customHeight="1">
      <c r="B89" s="284"/>
      <c r="C89" s="284" t="s">
        <v>62</v>
      </c>
      <c r="D89" s="290"/>
      <c r="E89" s="291" t="s">
        <v>62</v>
      </c>
      <c r="F89" s="292"/>
      <c r="G89" s="293" t="s">
        <v>63</v>
      </c>
      <c r="H89" s="293"/>
      <c r="I89" s="292"/>
    </row>
    <row r="90" spans="2:9" s="1" customFormat="1" ht="19.5" customHeight="1">
      <c r="B90"/>
      <c r="C90"/>
      <c r="D90"/>
      <c r="E90"/>
      <c r="F90"/>
      <c r="G90"/>
      <c r="H90"/>
      <c r="I90"/>
    </row>
    <row r="91" spans="2:9" s="1" customFormat="1" ht="19.5" customHeight="1">
      <c r="B91"/>
      <c r="C91"/>
      <c r="D91"/>
      <c r="E91"/>
      <c r="F91"/>
      <c r="G91"/>
      <c r="H91"/>
      <c r="I91"/>
    </row>
    <row r="92" spans="2:9" s="1" customFormat="1" ht="19.5" customHeight="1">
      <c r="B92"/>
      <c r="C92"/>
      <c r="D92"/>
      <c r="E92"/>
      <c r="F92"/>
      <c r="G92"/>
      <c r="H92"/>
      <c r="I92"/>
    </row>
    <row r="93" spans="2:9" s="1" customFormat="1" ht="19.5" customHeight="1">
      <c r="B93"/>
      <c r="C93"/>
      <c r="D93"/>
      <c r="E93"/>
      <c r="F93"/>
      <c r="G93"/>
      <c r="H93"/>
      <c r="I93"/>
    </row>
    <row r="94" spans="2:9" s="1" customFormat="1" ht="19.5" customHeight="1">
      <c r="B94"/>
      <c r="C94"/>
      <c r="D94"/>
      <c r="E94"/>
      <c r="F94"/>
      <c r="G94"/>
      <c r="H94"/>
      <c r="I94"/>
    </row>
    <row r="95" spans="2:9" s="1" customFormat="1" ht="19.5" customHeight="1">
      <c r="B95"/>
      <c r="C95"/>
      <c r="D95"/>
      <c r="E95"/>
      <c r="F95"/>
      <c r="G95"/>
      <c r="H95"/>
      <c r="I95"/>
    </row>
    <row r="96" spans="2:9" s="1" customFormat="1" ht="19.5" customHeight="1">
      <c r="B96"/>
      <c r="C96"/>
      <c r="D96"/>
      <c r="E96"/>
      <c r="F96"/>
      <c r="G96"/>
      <c r="H96"/>
      <c r="I96"/>
    </row>
    <row r="97" spans="2:13" s="1" customFormat="1" ht="19.5" customHeight="1">
      <c r="B97"/>
      <c r="C97"/>
      <c r="D97"/>
      <c r="E97"/>
      <c r="F97"/>
      <c r="G97"/>
      <c r="H97"/>
      <c r="I97"/>
    </row>
    <row r="98" spans="2:13" s="1" customFormat="1" ht="19.5" customHeight="1">
      <c r="B98"/>
      <c r="C98"/>
      <c r="D98"/>
      <c r="E98"/>
      <c r="F98"/>
      <c r="G98"/>
      <c r="H98"/>
      <c r="I98"/>
    </row>
    <row r="99" spans="2:13" s="1" customFormat="1" ht="19.5" customHeight="1">
      <c r="B99"/>
      <c r="C99"/>
      <c r="D99"/>
      <c r="E99"/>
      <c r="F99"/>
      <c r="G99"/>
      <c r="H99"/>
      <c r="I99"/>
    </row>
    <row r="100" spans="2:13" s="1" customFormat="1" ht="19.5" customHeight="1">
      <c r="B100"/>
      <c r="C100"/>
      <c r="D100"/>
      <c r="E100"/>
      <c r="F100"/>
      <c r="G100"/>
      <c r="H100"/>
      <c r="I100"/>
    </row>
    <row r="101" spans="2:13" s="1" customFormat="1" ht="19.5" customHeight="1">
      <c r="B101"/>
      <c r="C101"/>
      <c r="D101"/>
      <c r="E101"/>
      <c r="F101"/>
      <c r="G101"/>
      <c r="H101"/>
      <c r="I101"/>
    </row>
    <row r="102" spans="2:13" s="1" customFormat="1" ht="19.5" customHeight="1">
      <c r="B102"/>
      <c r="C102"/>
      <c r="D102"/>
      <c r="E102"/>
      <c r="F102"/>
      <c r="G102"/>
      <c r="H102"/>
      <c r="I102"/>
    </row>
    <row r="103" spans="2:13" s="1" customFormat="1" ht="19.5" customHeight="1">
      <c r="B103"/>
      <c r="C103"/>
      <c r="D103"/>
      <c r="E103"/>
      <c r="F103"/>
      <c r="G103"/>
      <c r="H103"/>
      <c r="I103"/>
    </row>
    <row r="104" spans="2:13" s="1" customFormat="1" ht="19.5" customHeight="1">
      <c r="B104" s="207" t="str">
        <f>IF(OR('FORM Baru'!$AH$35= TRUE,'FORM Baru'!$AI$36&gt; 13),"","Catatan :")</f>
        <v>Catatan :</v>
      </c>
      <c r="C104"/>
      <c r="D104"/>
      <c r="E104"/>
      <c r="F104"/>
      <c r="G104"/>
      <c r="H104"/>
      <c r="I104"/>
    </row>
    <row r="105" spans="2:13" s="1" customFormat="1" ht="19.5" customHeight="1">
      <c r="B105" s="277" t="str">
        <f>IFERROR(IF(OR('FORM Baru'!$AH$35= TRUE,'FORM Baru'!$AI$36&gt; 13)," ",CONCATENATE("Alat ini dikalibrasi dengan Massa Standar ",'FORM Baru'!$AK$44," dengan ns : ",'FORM Baru'!$AI$44," yang tertelusure ke SI melalui ",'FORM Baru'!$AJ$44, " dan Mass Comparator ns : ",'FORM Baru'!AH40,'FORM Baru'!$AI$42," yang tertelusur ke SI melalui  ", 'FORM Baru'!$AJ$40,".")),"Form belum diisi/Error")</f>
        <v>Form belum diisi/Error</v>
      </c>
      <c r="C105" s="277"/>
      <c r="D105" s="277"/>
      <c r="E105" s="277"/>
      <c r="F105" s="277"/>
      <c r="G105" s="277"/>
      <c r="H105" s="277"/>
      <c r="I105" s="277"/>
      <c r="J105" s="277"/>
    </row>
    <row r="106" spans="2:13" s="1" customFormat="1" ht="19.5" customHeight="1">
      <c r="B106" s="277"/>
      <c r="C106" s="277"/>
      <c r="D106" s="277"/>
      <c r="E106" s="277"/>
      <c r="F106" s="277"/>
      <c r="G106" s="277"/>
      <c r="H106" s="277"/>
      <c r="I106" s="277"/>
      <c r="J106" s="277"/>
    </row>
    <row r="107" spans="2:13" s="1" customFormat="1" ht="19.5" customHeight="1">
      <c r="B107" s="277"/>
      <c r="C107" s="277"/>
      <c r="D107" s="277"/>
      <c r="E107" s="277"/>
      <c r="F107" s="277"/>
      <c r="G107" s="277"/>
      <c r="H107" s="277"/>
      <c r="I107" s="277"/>
      <c r="J107" s="277"/>
    </row>
    <row r="108" spans="2:13" s="1" customFormat="1">
      <c r="B108" s="245"/>
      <c r="C108" s="245"/>
      <c r="D108" s="245"/>
      <c r="E108" s="245"/>
      <c r="F108" s="245"/>
      <c r="G108" s="245"/>
      <c r="H108" s="245"/>
      <c r="I108" s="245"/>
      <c r="J108" s="245"/>
    </row>
    <row r="109" spans="2:13" s="1" customFormat="1">
      <c r="M109"/>
    </row>
    <row r="110" spans="2:13" s="1" customFormat="1">
      <c r="B110"/>
      <c r="C110"/>
      <c r="D110"/>
      <c r="E110"/>
      <c r="F110"/>
      <c r="G110"/>
      <c r="H110"/>
      <c r="I110"/>
    </row>
    <row r="111" spans="2:13" s="1" customFormat="1">
      <c r="B111"/>
      <c r="C111"/>
      <c r="D111"/>
      <c r="E111"/>
      <c r="F111"/>
      <c r="G111"/>
      <c r="H111"/>
      <c r="I111"/>
    </row>
    <row r="112" spans="2:13" s="1" customFormat="1">
      <c r="B112"/>
      <c r="C112"/>
      <c r="D112"/>
      <c r="E112" s="242"/>
      <c r="F112"/>
      <c r="G112"/>
      <c r="H112"/>
      <c r="I112"/>
    </row>
    <row r="113" spans="2:9" s="1" customFormat="1">
      <c r="B113"/>
      <c r="C113"/>
      <c r="D113"/>
      <c r="E113" s="242" t="str">
        <f>IF(OR('FORM Baru'!AH35= TRUE,'FORM Baru'!AI36&gt; 13),E62,"")</f>
        <v/>
      </c>
      <c r="F113" s="95" t="str">
        <f>IF(OR('FORM Baru'!AH35= TRUE,'FORM Baru'!AI36&gt; 13),CONCATENATE(": ",MID(A63,18,33)),"")</f>
        <v/>
      </c>
      <c r="G113"/>
      <c r="H113"/>
      <c r="I113"/>
    </row>
    <row r="114" spans="2:9" s="1" customFormat="1">
      <c r="B114"/>
      <c r="C114"/>
      <c r="D114"/>
      <c r="E114" s="242" t="str">
        <f>IF(OR('FORM Baru'!AH35= TRUE,'FORM Baru'!AI36&gt; 13),E63,"")</f>
        <v/>
      </c>
      <c r="F114" s="95" t="str">
        <f>IF(OR('FORM Baru'!AH35= TRUE,'FORM Baru'!AI36&gt; 13),CONCATENATE(": ",'FORM Baru'!AH63),"")</f>
        <v/>
      </c>
      <c r="G114"/>
      <c r="H114"/>
      <c r="I114"/>
    </row>
    <row r="115" spans="2:9" s="1" customFormat="1">
      <c r="B115"/>
      <c r="C115"/>
      <c r="D115"/>
      <c r="E115" s="242" t="str">
        <f>IF(OR('FORM Baru'!AH35= TRUE,'FORM Baru'!AI36&gt; 13),E64,"")</f>
        <v/>
      </c>
      <c r="F115" s="95" t="str">
        <f>IF(OR('FORM Baru'!AH35= TRUE,'FORM Baru'!AI36&gt; 13),": Halaman 3 dari 3","")</f>
        <v/>
      </c>
      <c r="G115"/>
      <c r="H115"/>
      <c r="I115"/>
    </row>
    <row r="116" spans="2:9" s="1" customFormat="1"/>
    <row r="117" spans="2:9" s="1" customFormat="1" ht="36.75" customHeight="1">
      <c r="B117"/>
      <c r="C117"/>
      <c r="D117"/>
      <c r="E117"/>
      <c r="F117"/>
      <c r="G117"/>
      <c r="H117"/>
      <c r="I117"/>
    </row>
    <row r="118" spans="2:9" s="1" customFormat="1">
      <c r="B118"/>
      <c r="C118"/>
      <c r="D118"/>
      <c r="E118"/>
      <c r="F118"/>
      <c r="G118"/>
      <c r="H118"/>
      <c r="I118"/>
    </row>
    <row r="119" spans="2:9" s="1" customFormat="1" ht="19.2" customHeight="1">
      <c r="B119"/>
      <c r="C119"/>
      <c r="D119"/>
      <c r="E119"/>
      <c r="F119"/>
      <c r="G119"/>
      <c r="H119"/>
      <c r="I119"/>
    </row>
    <row r="120" spans="2:9" s="1" customFormat="1" ht="19.2" customHeight="1">
      <c r="B120"/>
      <c r="C120"/>
      <c r="D120"/>
      <c r="E120"/>
      <c r="F120"/>
      <c r="G120"/>
      <c r="H120"/>
      <c r="I120"/>
    </row>
    <row r="121" spans="2:9" s="1" customFormat="1" ht="19.5" customHeight="1">
      <c r="B121"/>
      <c r="C121"/>
      <c r="D121"/>
      <c r="E121"/>
      <c r="F121"/>
      <c r="G121"/>
      <c r="H121"/>
      <c r="I121"/>
    </row>
    <row r="122" spans="2:9" s="1" customFormat="1" ht="19.5" customHeight="1">
      <c r="B122"/>
      <c r="C122"/>
      <c r="D122"/>
      <c r="E122"/>
      <c r="F122"/>
      <c r="G122"/>
      <c r="H122"/>
      <c r="I122"/>
    </row>
    <row r="123" spans="2:9" s="1" customFormat="1" ht="19.5" customHeight="1">
      <c r="B123"/>
      <c r="C123"/>
      <c r="D123"/>
      <c r="E123"/>
      <c r="F123"/>
      <c r="G123"/>
      <c r="H123"/>
      <c r="I123"/>
    </row>
    <row r="124" spans="2:9" s="1" customFormat="1" ht="19.5" customHeight="1">
      <c r="B124"/>
      <c r="C124"/>
      <c r="D124"/>
      <c r="E124"/>
      <c r="F124"/>
      <c r="G124"/>
      <c r="H124"/>
      <c r="I124"/>
    </row>
    <row r="125" spans="2:9" s="1" customFormat="1" ht="19.5" customHeight="1">
      <c r="B125"/>
      <c r="C125"/>
      <c r="D125"/>
      <c r="E125"/>
      <c r="F125"/>
      <c r="G125"/>
      <c r="H125"/>
      <c r="I125"/>
    </row>
    <row r="126" spans="2:9" s="1" customFormat="1" ht="19.5" customHeight="1">
      <c r="B126"/>
      <c r="C126"/>
      <c r="D126"/>
      <c r="E126"/>
      <c r="F126"/>
      <c r="G126"/>
      <c r="H126"/>
      <c r="I126"/>
    </row>
    <row r="127" spans="2:9" s="1" customFormat="1" ht="19.5" customHeight="1">
      <c r="B127"/>
      <c r="C127"/>
      <c r="D127"/>
      <c r="E127"/>
      <c r="F127"/>
      <c r="G127"/>
      <c r="H127"/>
      <c r="I127"/>
    </row>
    <row r="128" spans="2:9" s="1" customFormat="1" ht="19.5" customHeight="1">
      <c r="B128"/>
      <c r="C128"/>
      <c r="D128"/>
      <c r="E128"/>
      <c r="F128"/>
      <c r="G128"/>
      <c r="H128"/>
      <c r="I128"/>
    </row>
    <row r="129" spans="2:10" s="1" customFormat="1" ht="19.5" customHeight="1">
      <c r="B129"/>
      <c r="C129"/>
      <c r="D129"/>
      <c r="E129"/>
      <c r="F129"/>
      <c r="G129"/>
      <c r="H129"/>
      <c r="I129"/>
    </row>
    <row r="130" spans="2:10" s="1" customFormat="1" ht="19.5" customHeight="1">
      <c r="B130"/>
      <c r="C130"/>
      <c r="D130"/>
      <c r="E130"/>
      <c r="F130"/>
      <c r="G130"/>
      <c r="H130"/>
      <c r="I130"/>
    </row>
    <row r="131" spans="2:10" s="1" customFormat="1" ht="19.5" customHeight="1">
      <c r="B131"/>
      <c r="C131"/>
      <c r="D131"/>
      <c r="E131"/>
      <c r="F131"/>
      <c r="G131"/>
      <c r="H131"/>
      <c r="I131"/>
    </row>
    <row r="132" spans="2:10" s="1" customFormat="1" ht="19.5" customHeight="1">
      <c r="B132"/>
      <c r="C132"/>
      <c r="D132"/>
      <c r="E132"/>
      <c r="F132"/>
      <c r="G132"/>
      <c r="H132"/>
      <c r="I132"/>
    </row>
    <row r="133" spans="2:10" s="1" customFormat="1" ht="19.5" customHeight="1">
      <c r="B133"/>
      <c r="C133"/>
      <c r="D133"/>
      <c r="E133"/>
      <c r="F133"/>
      <c r="G133"/>
      <c r="H133"/>
      <c r="I133"/>
      <c r="J133"/>
    </row>
    <row r="134" spans="2:10" s="1" customFormat="1" ht="19.5" customHeight="1">
      <c r="B134"/>
      <c r="C134"/>
      <c r="D134"/>
      <c r="E134"/>
      <c r="F134"/>
      <c r="G134"/>
      <c r="H134"/>
      <c r="I134"/>
    </row>
    <row r="135" spans="2:10" s="1" customFormat="1" ht="19.5" customHeight="1">
      <c r="B135"/>
      <c r="C135"/>
      <c r="D135"/>
      <c r="E135"/>
      <c r="F135"/>
      <c r="G135"/>
      <c r="H135"/>
      <c r="I135"/>
    </row>
    <row r="136" spans="2:10" s="1" customFormat="1" ht="18" customHeight="1">
      <c r="B136" s="277" t="str">
        <f>IFERROR(IF(OR('FORM Baru'!AH35= FALSE,'FORM Baru'!AI36&gt; 17)," ",CONCATENATE("Alat ini dikalibrasi dengan Massa Standar ",'FORM Baru'!AK44," dengan ns : ",'FORM Baru'!AI44," yang tertelusur ke SI melalui ",'FORM Baru'!AJ44, " dan Mass Comparator ns : ",'FORM Baru'!AH40,'FORM Baru'!AI42," yang tertelusur ke SI melalui  ", 'FORM Baru'!AJ40,".")),"Form belum diisi/Error")</f>
        <v xml:space="preserve"> </v>
      </c>
      <c r="C136" s="277"/>
      <c r="D136" s="277"/>
      <c r="E136" s="277"/>
      <c r="F136" s="277"/>
      <c r="G136" s="277"/>
      <c r="H136" s="277"/>
      <c r="I136" s="277"/>
      <c r="J136" s="277"/>
    </row>
    <row r="137" spans="2:10" s="1" customFormat="1" ht="18" customHeight="1">
      <c r="B137" s="277"/>
      <c r="C137" s="277"/>
      <c r="D137" s="277"/>
      <c r="E137" s="277"/>
      <c r="F137" s="277"/>
      <c r="G137" s="277"/>
      <c r="H137" s="277"/>
      <c r="I137" s="277"/>
      <c r="J137" s="277"/>
    </row>
    <row r="138" spans="2:10" s="1" customFormat="1" ht="18" customHeight="1">
      <c r="B138" s="277"/>
      <c r="C138" s="277"/>
      <c r="D138" s="277"/>
      <c r="E138" s="277"/>
      <c r="F138" s="277"/>
      <c r="G138" s="277"/>
      <c r="H138" s="277"/>
      <c r="I138" s="277"/>
      <c r="J138" s="277"/>
    </row>
    <row r="139" spans="2:10" s="1" customFormat="1" ht="18" customHeight="1"/>
    <row r="140" spans="2:10" ht="18" customHeight="1"/>
    <row r="141" spans="2:10" ht="18" customHeight="1"/>
    <row r="142" spans="2:10" ht="18" customHeight="1"/>
    <row r="143" spans="2:10" ht="18" customHeight="1"/>
    <row r="144" spans="2:10" ht="16.95" customHeight="1"/>
    <row r="145" ht="16.95" customHeight="1"/>
    <row r="153" ht="23.7" customHeight="1"/>
    <row r="170" ht="18.45" customHeight="1"/>
    <row r="171" ht="18.45" customHeight="1"/>
    <row r="172" ht="18.45" customHeight="1"/>
    <row r="173" ht="18.45" customHeight="1"/>
    <row r="174" ht="18.45" customHeight="1"/>
  </sheetData>
  <mergeCells count="14">
    <mergeCell ref="B136:J138"/>
    <mergeCell ref="E35:J37"/>
    <mergeCell ref="B105:J107"/>
    <mergeCell ref="A7:K7"/>
    <mergeCell ref="A8:K8"/>
    <mergeCell ref="A9:K9"/>
    <mergeCell ref="B67:F67"/>
    <mergeCell ref="B88:B89"/>
    <mergeCell ref="C88:D88"/>
    <mergeCell ref="E88:F88"/>
    <mergeCell ref="G88:I88"/>
    <mergeCell ref="C89:D89"/>
    <mergeCell ref="E89:F89"/>
    <mergeCell ref="G89:I89"/>
  </mergeCells>
  <pageMargins left="0" right="0" top="0.35433070866141703" bottom="3.9370078740157501E-2" header="0" footer="0"/>
  <pageSetup paperSize="9" scale="97" orientation="portrait" horizontalDpi="360" verticalDpi="360" r:id="rId1"/>
  <rowBreaks count="2" manualBreakCount="2">
    <brk id="56" max="10" man="1"/>
    <brk id="107" max="10" man="1"/>
  </rowBreaks>
  <colBreaks count="1" manualBreakCount="1">
    <brk id="11" max="1048575" man="1"/>
  </col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C3BB-7CB4-4B45-BD89-491642CB5480}">
  <sheetPr codeName="Sheet1">
    <tabColor rgb="FFFFC000"/>
  </sheetPr>
  <dimension ref="A1:AA191"/>
  <sheetViews>
    <sheetView showGridLines="0" view="pageLayout" topLeftCell="A71" zoomScale="68" zoomScaleNormal="100" zoomScaleSheetLayoutView="100" zoomScalePageLayoutView="68" workbookViewId="0">
      <selection activeCell="B88" sqref="B88:I91"/>
    </sheetView>
  </sheetViews>
  <sheetFormatPr defaultColWidth="9" defaultRowHeight="14.4"/>
  <cols>
    <col min="1" max="1" width="17.6640625" style="1" customWidth="1"/>
    <col min="2" max="2" width="8.44140625" style="1" customWidth="1"/>
    <col min="3" max="3" width="11" style="1" customWidth="1"/>
    <col min="4" max="4" width="9" style="1" customWidth="1"/>
    <col min="5" max="5" width="13" style="1" customWidth="1"/>
    <col min="6" max="6" width="10.5546875" style="1" bestFit="1" customWidth="1"/>
    <col min="7" max="7" width="9.5546875" style="1" customWidth="1"/>
    <col min="8" max="8" width="10.109375" style="1" customWidth="1"/>
    <col min="9" max="9" width="9" style="1" customWidth="1"/>
    <col min="10" max="10" width="8.33203125" style="1" customWidth="1"/>
    <col min="11" max="11" width="8.6640625" style="1" customWidth="1"/>
    <col min="12" max="16384" width="9" style="1"/>
  </cols>
  <sheetData>
    <row r="1" spans="1:27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</row>
    <row r="2" spans="1:27">
      <c r="A2"/>
      <c r="B2"/>
      <c r="C2"/>
      <c r="D2"/>
      <c r="E2"/>
      <c r="F2"/>
      <c r="G2"/>
      <c r="H2"/>
      <c r="I2"/>
      <c r="J2"/>
      <c r="K2"/>
    </row>
    <row r="3" spans="1:27">
      <c r="A3"/>
      <c r="B3"/>
      <c r="C3"/>
      <c r="D3"/>
      <c r="E3"/>
      <c r="F3"/>
      <c r="G3"/>
      <c r="H3"/>
      <c r="I3"/>
      <c r="J3"/>
      <c r="K3"/>
    </row>
    <row r="4" spans="1:27">
      <c r="A4"/>
      <c r="B4"/>
      <c r="C4"/>
      <c r="D4"/>
      <c r="E4"/>
      <c r="F4"/>
      <c r="G4"/>
      <c r="H4"/>
      <c r="I4"/>
      <c r="J4"/>
      <c r="K4"/>
    </row>
    <row r="5" spans="1:27" ht="30.75" customHeight="1">
      <c r="A5"/>
      <c r="B5"/>
      <c r="C5"/>
      <c r="D5"/>
      <c r="E5"/>
      <c r="F5"/>
      <c r="G5"/>
      <c r="H5"/>
      <c r="I5"/>
      <c r="J5"/>
      <c r="K5"/>
    </row>
    <row r="6" spans="1:27" ht="22.8">
      <c r="A6" s="210"/>
      <c r="B6" s="279" t="s">
        <v>15</v>
      </c>
      <c r="C6" s="279"/>
      <c r="D6" s="279"/>
      <c r="E6" s="279"/>
      <c r="F6" s="279"/>
      <c r="G6" s="279"/>
      <c r="H6" s="279"/>
      <c r="I6" s="210"/>
      <c r="J6" s="210"/>
      <c r="K6" s="210"/>
    </row>
    <row r="7" spans="1:27" ht="18" customHeight="1">
      <c r="A7" s="211"/>
      <c r="B7" s="280" t="s">
        <v>16</v>
      </c>
      <c r="C7" s="280"/>
      <c r="D7" s="280"/>
      <c r="E7" s="280"/>
      <c r="F7" s="280"/>
      <c r="G7" s="280"/>
      <c r="H7" s="280"/>
      <c r="I7" s="211"/>
      <c r="J7" s="211"/>
      <c r="K7" s="211"/>
    </row>
    <row r="8" spans="1:27">
      <c r="A8" s="81"/>
      <c r="B8" s="281" t="str">
        <f>CONCATENATE("Nomor / Number : ",'FORM Baru'!AH38)</f>
        <v>Nomor / Number : 0</v>
      </c>
      <c r="C8" s="281"/>
      <c r="D8" s="281"/>
      <c r="E8" s="281"/>
      <c r="F8" s="281"/>
      <c r="G8" s="281"/>
      <c r="H8" s="281"/>
      <c r="I8" s="81"/>
      <c r="J8" s="81"/>
      <c r="K8" s="81"/>
    </row>
    <row r="13" spans="1:27">
      <c r="B13" s="83" t="s">
        <v>17</v>
      </c>
      <c r="C13" s="84"/>
      <c r="D13" s="84"/>
    </row>
    <row r="14" spans="1:27">
      <c r="B14" s="85" t="s">
        <v>18</v>
      </c>
    </row>
    <row r="16" spans="1:27">
      <c r="B16" s="81" t="s">
        <v>19</v>
      </c>
      <c r="D16" s="145" t="s">
        <v>248</v>
      </c>
      <c r="E16" s="81" t="s">
        <v>195</v>
      </c>
    </row>
    <row r="17" spans="2:11">
      <c r="B17" s="86" t="s">
        <v>20</v>
      </c>
      <c r="D17" s="81"/>
      <c r="E17" s="81"/>
    </row>
    <row r="18" spans="2:11">
      <c r="B18" s="87" t="s">
        <v>21</v>
      </c>
      <c r="D18" s="145" t="s">
        <v>248</v>
      </c>
      <c r="E18" s="81" t="str">
        <f>CONCATENATE('FORM Baru'!AH19)</f>
        <v>0</v>
      </c>
    </row>
    <row r="19" spans="2:11">
      <c r="B19" s="88" t="s">
        <v>22</v>
      </c>
      <c r="D19" s="81"/>
      <c r="E19" s="81"/>
    </row>
    <row r="20" spans="2:11">
      <c r="B20" s="87" t="s">
        <v>23</v>
      </c>
      <c r="D20" s="145" t="s">
        <v>248</v>
      </c>
      <c r="E20" s="81" t="str">
        <f>CONCATENATE('FORM Baru'!AH21)</f>
        <v>0</v>
      </c>
    </row>
    <row r="21" spans="2:11">
      <c r="B21" s="88" t="s">
        <v>24</v>
      </c>
      <c r="D21" s="81"/>
      <c r="E21" s="81"/>
    </row>
    <row r="22" spans="2:11">
      <c r="B22" s="81" t="s">
        <v>25</v>
      </c>
      <c r="D22" s="145" t="s">
        <v>248</v>
      </c>
      <c r="E22" s="81" t="str">
        <f>CONCATENATE('FORM Baru'!AH28)</f>
        <v>0</v>
      </c>
    </row>
    <row r="23" spans="2:11">
      <c r="B23" s="86" t="s">
        <v>26</v>
      </c>
      <c r="D23" s="81"/>
      <c r="E23" s="81"/>
    </row>
    <row r="24" spans="2:11">
      <c r="B24" s="81" t="s">
        <v>27</v>
      </c>
      <c r="D24" s="145" t="s">
        <v>248</v>
      </c>
      <c r="E24" s="81" t="str">
        <f>CONCATENATE('FORM Baru'!AH23)</f>
        <v>0</v>
      </c>
    </row>
    <row r="25" spans="2:11">
      <c r="B25" s="86" t="s">
        <v>28</v>
      </c>
      <c r="D25" s="81"/>
      <c r="E25" s="81"/>
    </row>
    <row r="26" spans="2:11">
      <c r="B26" s="81" t="s">
        <v>29</v>
      </c>
      <c r="D26" s="145" t="s">
        <v>248</v>
      </c>
      <c r="E26" s="81" t="s">
        <v>47</v>
      </c>
      <c r="F26" s="145" t="s">
        <v>248</v>
      </c>
      <c r="G26" s="1" t="str">
        <f>CONCATENATE('FORM Baru'!AH25)</f>
        <v>0</v>
      </c>
    </row>
    <row r="27" spans="2:11">
      <c r="B27" s="88" t="s">
        <v>30</v>
      </c>
      <c r="D27" s="81"/>
      <c r="E27" s="81" t="s">
        <v>250</v>
      </c>
      <c r="F27" s="145" t="s">
        <v>248</v>
      </c>
      <c r="G27" s="1" t="s">
        <v>249</v>
      </c>
    </row>
    <row r="29" spans="2:11" ht="14.25" customHeight="1">
      <c r="B29" s="89" t="s">
        <v>31</v>
      </c>
      <c r="C29" s="89"/>
      <c r="D29" s="89"/>
    </row>
    <row r="30" spans="2:11" ht="14.25" customHeight="1">
      <c r="B30" s="90" t="s">
        <v>32</v>
      </c>
      <c r="C30" s="90"/>
      <c r="D30" s="90"/>
    </row>
    <row r="31" spans="2:11">
      <c r="B31" s="91"/>
      <c r="C31" s="91"/>
      <c r="D31" s="91"/>
    </row>
    <row r="32" spans="2:11" ht="15.45" customHeight="1">
      <c r="B32" s="81" t="s">
        <v>33</v>
      </c>
      <c r="D32" s="147" t="s">
        <v>248</v>
      </c>
      <c r="E32" s="146" t="str">
        <f>CONCATENATE('FORM Baru'!AH11)</f>
        <v>0</v>
      </c>
      <c r="F32" s="146"/>
      <c r="G32" s="146"/>
      <c r="H32" s="146"/>
      <c r="I32" s="146"/>
      <c r="J32" s="146"/>
      <c r="K32" s="146"/>
    </row>
    <row r="33" spans="2:11" ht="14.25" customHeight="1">
      <c r="B33" s="86" t="s">
        <v>34</v>
      </c>
      <c r="D33" s="146"/>
      <c r="E33" s="146"/>
      <c r="F33" s="146"/>
      <c r="G33" s="146"/>
      <c r="H33" s="146"/>
      <c r="I33" s="146"/>
      <c r="J33" s="146"/>
      <c r="K33" s="146"/>
    </row>
    <row r="34" spans="2:11" ht="15.45" customHeight="1">
      <c r="B34" s="81" t="s">
        <v>35</v>
      </c>
      <c r="D34" s="147" t="s">
        <v>248</v>
      </c>
      <c r="E34" s="278" t="str">
        <f>CONCATENATE('FORM Baru'!AH13)</f>
        <v>0</v>
      </c>
      <c r="F34" s="278"/>
      <c r="G34" s="278"/>
      <c r="H34" s="278"/>
      <c r="I34" s="278"/>
      <c r="J34" s="212"/>
      <c r="K34" s="104"/>
    </row>
    <row r="35" spans="2:11" ht="14.25" customHeight="1">
      <c r="B35" s="86" t="s">
        <v>36</v>
      </c>
      <c r="D35" s="146"/>
      <c r="E35" s="278"/>
      <c r="F35" s="278"/>
      <c r="G35" s="278"/>
      <c r="H35" s="278"/>
      <c r="I35" s="278"/>
      <c r="J35" s="212"/>
      <c r="K35" s="104"/>
    </row>
    <row r="36" spans="2:11">
      <c r="E36" s="278"/>
      <c r="F36" s="278"/>
      <c r="G36" s="278"/>
      <c r="H36" s="278"/>
      <c r="I36" s="278"/>
      <c r="J36" s="212"/>
    </row>
    <row r="37" spans="2:11">
      <c r="E37" s="219"/>
    </row>
    <row r="39" spans="2:11">
      <c r="H39" s="82" t="str">
        <f>"Halaman 1 dari 3 halaman"</f>
        <v>Halaman 1 dari 3 halaman</v>
      </c>
    </row>
    <row r="40" spans="2:11">
      <c r="H40" s="96" t="s">
        <v>37</v>
      </c>
    </row>
    <row r="41" spans="2:11">
      <c r="B41"/>
      <c r="H41" s="97"/>
    </row>
    <row r="42" spans="2:11">
      <c r="H42" s="208" t="str">
        <f>CONCATENATE("Diterbitkan Tanggal ",'FORM Baru'!AH46)</f>
        <v>Diterbitkan Tanggal 0</v>
      </c>
    </row>
    <row r="43" spans="2:11">
      <c r="C43"/>
      <c r="H43" s="96" t="s">
        <v>38</v>
      </c>
    </row>
    <row r="44" spans="2:11">
      <c r="B44"/>
      <c r="C44"/>
      <c r="E44" s="92" t="s">
        <v>245</v>
      </c>
    </row>
    <row r="45" spans="2:11">
      <c r="B45"/>
      <c r="C45"/>
      <c r="E45" s="102" t="s">
        <v>246</v>
      </c>
    </row>
    <row r="46" spans="2:11">
      <c r="E46" s="103" t="s">
        <v>247</v>
      </c>
      <c r="G46" s="94"/>
    </row>
    <row r="52" spans="2:9" ht="88.2" customHeight="1"/>
    <row r="53" spans="2:9">
      <c r="E53" s="95" t="s">
        <v>39</v>
      </c>
      <c r="F53" s="95" t="str">
        <f>CONCATENATE(": ",MID(B8,18,33))</f>
        <v>: 0</v>
      </c>
    </row>
    <row r="54" spans="2:9">
      <c r="E54" s="95" t="s">
        <v>40</v>
      </c>
      <c r="F54" s="95" t="str">
        <f>CONCATENATE(": ",'FORM Baru'!AH9)</f>
        <v>: 0</v>
      </c>
    </row>
    <row r="55" spans="2:9">
      <c r="E55" s="95" t="s">
        <v>41</v>
      </c>
      <c r="F55" s="95" t="str">
        <f>IF(OR('FORM Baru'!AH35= TRUE,'FORM Baru'!AI36&gt; 13),CONCATENATE(": 2 dari 3 "),CONCATENATE(": 2 dari 2"))</f>
        <v>: 2 dari 2</v>
      </c>
    </row>
    <row r="57" spans="2:9">
      <c r="B57" s="93" t="s">
        <v>42</v>
      </c>
      <c r="C57" s="93"/>
      <c r="D57" s="93"/>
      <c r="E57" s="93"/>
      <c r="F57" s="93"/>
    </row>
    <row r="58" spans="2:9">
      <c r="B58" s="81" t="s">
        <v>43</v>
      </c>
      <c r="D58" s="81" t="str">
        <f>CONCATENATE(": ",E16)</f>
        <v>: Anak Timbangan</v>
      </c>
      <c r="E58" s="81"/>
      <c r="F58" s="81"/>
      <c r="G58" s="81"/>
    </row>
    <row r="59" spans="2:9">
      <c r="B59" s="81" t="s">
        <v>44</v>
      </c>
      <c r="D59" s="81" t="str">
        <f>CONCATENATE(":"," ",'FORM Baru'!AH19," ","/"," ",'FORM Baru'!AH21)</f>
        <v>: 0 / 0</v>
      </c>
      <c r="E59" s="81"/>
      <c r="F59" s="81"/>
      <c r="G59" s="81"/>
    </row>
    <row r="60" spans="2:9">
      <c r="B60" s="81" t="s">
        <v>45</v>
      </c>
      <c r="D60" s="81" t="str">
        <f>CONCATENATE(":"," ",'FORM Baru'!AH27)</f>
        <v>: 0</v>
      </c>
      <c r="E60" s="81"/>
      <c r="F60" s="81"/>
      <c r="G60" s="81"/>
    </row>
    <row r="61" spans="2:9">
      <c r="B61" s="81" t="s">
        <v>46</v>
      </c>
      <c r="D61" s="81" t="str">
        <f>CONCATENATE(": ",E24)</f>
        <v>: 0</v>
      </c>
      <c r="E61" s="81"/>
      <c r="F61" s="81"/>
      <c r="G61" s="81"/>
    </row>
    <row r="62" spans="2:9">
      <c r="B62" s="81" t="s">
        <v>47</v>
      </c>
      <c r="D62" s="81" t="str">
        <f>CONCATENATE(": ",G26)</f>
        <v>: 0</v>
      </c>
      <c r="E62" s="81"/>
    </row>
    <row r="63" spans="2:9">
      <c r="B63" s="81" t="s">
        <v>48</v>
      </c>
      <c r="D63" s="81" t="str">
        <f>CONCATENATE(": ",G27)</f>
        <v>:  -</v>
      </c>
      <c r="E63" s="81"/>
      <c r="F63" s="81" t="s">
        <v>49</v>
      </c>
      <c r="I63" s="93"/>
    </row>
    <row r="64" spans="2:9">
      <c r="B64" s="81" t="s">
        <v>50</v>
      </c>
      <c r="D64" s="81" t="s">
        <v>51</v>
      </c>
      <c r="E64" s="81"/>
      <c r="F64" s="81" t="s">
        <v>52</v>
      </c>
      <c r="H64" s="81" t="str">
        <f>CONCATENATE(":"," ","(",'Koreksi themohygro rotronic 202'!C10,")"," ºC")</f>
        <v>: (20,7 ± 0,3) ºC</v>
      </c>
    </row>
    <row r="65" spans="2:9">
      <c r="B65" s="81" t="s">
        <v>53</v>
      </c>
      <c r="D65" s="81" t="str">
        <f>CONCATENATE(":"," ",'FORM Baru'!AH29)</f>
        <v>: 0</v>
      </c>
      <c r="E65" s="81"/>
      <c r="F65" s="105" t="s">
        <v>196</v>
      </c>
      <c r="H65" s="81" t="str">
        <f>CONCATENATE(":"," ","(",'Koreksi themohygro rotronic 202'!D10,")"," %RH")</f>
        <v>: (63,3 ± 0,8) %RH</v>
      </c>
    </row>
    <row r="66" spans="2:9">
      <c r="B66" s="81" t="s">
        <v>54</v>
      </c>
      <c r="D66" s="81" t="str">
        <f>CONCATENATE(":"," ",'FORM Baru'!AH31)</f>
        <v>: 0</v>
      </c>
      <c r="E66" s="99"/>
      <c r="F66" s="81" t="s">
        <v>55</v>
      </c>
      <c r="H66" s="81" t="str">
        <f>CONCATENATE(":"," ","(",FIXED('U95'!E10,0)," ","± 1",")"," mmHg")</f>
        <v>: (693 ± 1) mmHg</v>
      </c>
    </row>
    <row r="67" spans="2:9">
      <c r="B67" s="81" t="s">
        <v>56</v>
      </c>
      <c r="D67" s="81" t="str">
        <f>CONCATENATE(":"," ",'FORM Baru'!AH15)</f>
        <v>: 0</v>
      </c>
      <c r="E67" s="81"/>
    </row>
    <row r="68" spans="2:9">
      <c r="B68" s="81"/>
      <c r="D68" s="81"/>
      <c r="E68" s="81"/>
      <c r="F68" s="81"/>
      <c r="G68" s="81"/>
    </row>
    <row r="69" spans="2:9">
      <c r="E69" s="100" t="s">
        <v>57</v>
      </c>
    </row>
    <row r="71" spans="2:9" ht="37.5" customHeight="1">
      <c r="B71" s="283" t="s">
        <v>58</v>
      </c>
      <c r="C71" s="285" t="s">
        <v>59</v>
      </c>
      <c r="D71" s="286"/>
      <c r="E71" s="287" t="s">
        <v>60</v>
      </c>
      <c r="F71" s="288"/>
      <c r="G71" s="285" t="s">
        <v>61</v>
      </c>
      <c r="H71" s="289"/>
      <c r="I71" s="286"/>
    </row>
    <row r="72" spans="2:9" ht="13.5" customHeight="1">
      <c r="B72" s="284"/>
      <c r="C72" s="284" t="s">
        <v>62</v>
      </c>
      <c r="D72" s="290"/>
      <c r="E72" s="291" t="s">
        <v>62</v>
      </c>
      <c r="F72" s="292"/>
      <c r="G72" s="293" t="s">
        <v>63</v>
      </c>
      <c r="H72" s="293"/>
      <c r="I72" s="292"/>
    </row>
    <row r="73" spans="2:9" ht="19.649999999999999" customHeight="1">
      <c r="B73" s="248" t="str">
        <f>IF(Sertifikat!B90&lt;&gt;0,Sertifikat!B90,"")</f>
        <v/>
      </c>
      <c r="C73" s="312" t="str">
        <f>IF(Sertifikat!C90&lt;&gt;0,Sertifikat!C90,"")</f>
        <v/>
      </c>
      <c r="D73" s="312"/>
      <c r="E73" s="312" t="str">
        <f>IF(Sertifikat!E90&lt;&gt;0,Sertifikat!E90,"")</f>
        <v/>
      </c>
      <c r="F73" s="312"/>
      <c r="G73" s="312" t="str">
        <f>IF(Sertifikat!G90&lt;&gt;0,Sertifikat!G90,"")</f>
        <v/>
      </c>
      <c r="H73" s="312"/>
      <c r="I73" s="312"/>
    </row>
    <row r="74" spans="2:9" ht="19.649999999999999" customHeight="1">
      <c r="B74" s="248" t="str">
        <f>IF(Sertifikat!B91&lt;&gt;0,Sertifikat!B91,"")</f>
        <v/>
      </c>
      <c r="C74" s="312" t="str">
        <f>IF(Sertifikat!C91&lt;&gt;0,Sertifikat!C91,"")</f>
        <v/>
      </c>
      <c r="D74" s="312"/>
      <c r="E74" s="312" t="str">
        <f>IF(Sertifikat!E91&lt;&gt;0,Sertifikat!E91,"")</f>
        <v/>
      </c>
      <c r="F74" s="312"/>
      <c r="G74" s="312" t="str">
        <f>IF(Sertifikat!G91&lt;&gt;0,Sertifikat!G91,"")</f>
        <v/>
      </c>
      <c r="H74" s="312"/>
      <c r="I74" s="312"/>
    </row>
    <row r="75" spans="2:9" ht="19.649999999999999" customHeight="1">
      <c r="B75" s="248" t="str">
        <f>IF(Sertifikat!B92&lt;&gt;0,Sertifikat!B92,"")</f>
        <v/>
      </c>
      <c r="C75" s="312" t="str">
        <f>IF(Sertifikat!C92&lt;&gt;0,Sertifikat!C92,"")</f>
        <v/>
      </c>
      <c r="D75" s="312"/>
      <c r="E75" s="312" t="str">
        <f>IF(Sertifikat!E92&lt;&gt;0,Sertifikat!E92,"")</f>
        <v/>
      </c>
      <c r="F75" s="312"/>
      <c r="G75" s="312" t="str">
        <f>IF(Sertifikat!G92&lt;&gt;0,Sertifikat!G92,"")</f>
        <v/>
      </c>
      <c r="H75" s="312"/>
      <c r="I75" s="312"/>
    </row>
    <row r="76" spans="2:9" ht="19.649999999999999" customHeight="1">
      <c r="B76" s="248" t="str">
        <f>IF(Sertifikat!B93&lt;&gt;0,Sertifikat!B93,"")</f>
        <v/>
      </c>
      <c r="C76" s="312" t="str">
        <f>IF(Sertifikat!C93&lt;&gt;0,Sertifikat!C93,"")</f>
        <v/>
      </c>
      <c r="D76" s="312"/>
      <c r="E76" s="312" t="str">
        <f>IF(Sertifikat!E93&lt;&gt;0,Sertifikat!E93,"")</f>
        <v/>
      </c>
      <c r="F76" s="312"/>
      <c r="G76" s="312" t="str">
        <f>IF(Sertifikat!G93&lt;&gt;0,Sertifikat!G93,"")</f>
        <v/>
      </c>
      <c r="H76" s="312"/>
      <c r="I76" s="312"/>
    </row>
    <row r="77" spans="2:9" ht="19.649999999999999" customHeight="1">
      <c r="B77" s="248" t="str">
        <f>IF(Sertifikat!B94&lt;&gt;0,Sertifikat!B94,"")</f>
        <v/>
      </c>
      <c r="C77" s="312" t="str">
        <f>IF(Sertifikat!C94&lt;&gt;0,Sertifikat!C94,"")</f>
        <v/>
      </c>
      <c r="D77" s="312"/>
      <c r="E77" s="312" t="str">
        <f>IF(Sertifikat!E94&lt;&gt;0,Sertifikat!E94,"")</f>
        <v/>
      </c>
      <c r="F77" s="312"/>
      <c r="G77" s="312" t="str">
        <f>IF(Sertifikat!G94&lt;&gt;0,Sertifikat!G94,"")</f>
        <v/>
      </c>
      <c r="H77" s="312"/>
      <c r="I77" s="312"/>
    </row>
    <row r="78" spans="2:9" ht="19.649999999999999" customHeight="1">
      <c r="B78" s="248" t="str">
        <f>IF(Sertifikat!B95&lt;&gt;0,Sertifikat!B95,"")</f>
        <v/>
      </c>
      <c r="C78" s="312" t="str">
        <f>IF(Sertifikat!C95&lt;&gt;0,Sertifikat!C95,"")</f>
        <v/>
      </c>
      <c r="D78" s="312"/>
      <c r="E78" s="312" t="str">
        <f>IF(Sertifikat!E95&lt;&gt;0,Sertifikat!E95,"")</f>
        <v/>
      </c>
      <c r="F78" s="312"/>
      <c r="G78" s="312" t="str">
        <f>IF(Sertifikat!G95&lt;&gt;0,Sertifikat!G95,"")</f>
        <v/>
      </c>
      <c r="H78" s="312"/>
      <c r="I78" s="312"/>
    </row>
    <row r="79" spans="2:9" ht="19.649999999999999" customHeight="1">
      <c r="B79" s="248" t="str">
        <f>IF(Sertifikat!B96&lt;&gt;0,Sertifikat!B96,"")</f>
        <v/>
      </c>
      <c r="C79" s="312" t="str">
        <f>IF(Sertifikat!C96&lt;&gt;0,Sertifikat!C96,"")</f>
        <v/>
      </c>
      <c r="D79" s="312"/>
      <c r="E79" s="312" t="str">
        <f>IF(Sertifikat!E96&lt;&gt;0,Sertifikat!E96,"")</f>
        <v/>
      </c>
      <c r="F79" s="312"/>
      <c r="G79" s="312" t="str">
        <f>IF(Sertifikat!G96&lt;&gt;0,Sertifikat!G96,"")</f>
        <v/>
      </c>
      <c r="H79" s="312"/>
      <c r="I79" s="312"/>
    </row>
    <row r="80" spans="2:9" ht="19.649999999999999" customHeight="1">
      <c r="B80" s="248" t="str">
        <f>IF(Sertifikat!B97&lt;&gt;0,Sertifikat!B97,"")</f>
        <v/>
      </c>
      <c r="C80" s="312" t="str">
        <f>IF(Sertifikat!C97&lt;&gt;0,Sertifikat!C97,"")</f>
        <v/>
      </c>
      <c r="D80" s="312"/>
      <c r="E80" s="312" t="str">
        <f>IF(Sertifikat!E97&lt;&gt;0,Sertifikat!E97,"")</f>
        <v/>
      </c>
      <c r="F80" s="312"/>
      <c r="G80" s="312" t="str">
        <f>IF(Sertifikat!G97&lt;&gt;0,Sertifikat!G97,"")</f>
        <v/>
      </c>
      <c r="H80" s="312"/>
      <c r="I80" s="312"/>
    </row>
    <row r="81" spans="2:9" ht="19.649999999999999" customHeight="1">
      <c r="B81" s="248" t="str">
        <f>IF(Sertifikat!B98&lt;&gt;0,Sertifikat!B98,"")</f>
        <v/>
      </c>
      <c r="C81" s="312" t="str">
        <f>IF(Sertifikat!C98&lt;&gt;0,Sertifikat!C98,"")</f>
        <v/>
      </c>
      <c r="D81" s="312"/>
      <c r="E81" s="312" t="str">
        <f>IF(Sertifikat!E98&lt;&gt;0,Sertifikat!E98,"")</f>
        <v/>
      </c>
      <c r="F81" s="312"/>
      <c r="G81" s="312" t="str">
        <f>IF(Sertifikat!G98&lt;&gt;0,Sertifikat!G98,"")</f>
        <v/>
      </c>
      <c r="H81" s="312"/>
      <c r="I81" s="312"/>
    </row>
    <row r="82" spans="2:9" ht="19.649999999999999" customHeight="1">
      <c r="B82" s="248" t="str">
        <f>IF(Sertifikat!B99&lt;&gt;0,Sertifikat!B99,"")</f>
        <v/>
      </c>
      <c r="C82" s="312" t="str">
        <f>IF(Sertifikat!C99&lt;&gt;0,Sertifikat!C99,"")</f>
        <v/>
      </c>
      <c r="D82" s="312"/>
      <c r="E82" s="312" t="str">
        <f>IF(Sertifikat!E99&lt;&gt;0,Sertifikat!E99,"")</f>
        <v/>
      </c>
      <c r="F82" s="312"/>
      <c r="G82" s="312" t="str">
        <f>IF(Sertifikat!G99&lt;&gt;0,Sertifikat!G99,"")</f>
        <v/>
      </c>
      <c r="H82" s="312"/>
      <c r="I82" s="312"/>
    </row>
    <row r="83" spans="2:9" ht="19.649999999999999" customHeight="1">
      <c r="B83" s="248" t="str">
        <f>IF(Sertifikat!B100&lt;&gt;0,Sertifikat!B100,"")</f>
        <v/>
      </c>
      <c r="C83" s="312" t="str">
        <f>IF(Sertifikat!C100&lt;&gt;0,Sertifikat!C100,"")</f>
        <v/>
      </c>
      <c r="D83" s="312"/>
      <c r="E83" s="312" t="str">
        <f>IF(Sertifikat!E100&lt;&gt;0,Sertifikat!E100,"")</f>
        <v/>
      </c>
      <c r="F83" s="312"/>
      <c r="G83" s="312" t="str">
        <f>IF(Sertifikat!G100&lt;&gt;0,Sertifikat!G100,"")</f>
        <v/>
      </c>
      <c r="H83" s="312"/>
      <c r="I83" s="312"/>
    </row>
    <row r="84" spans="2:9" ht="19.649999999999999" customHeight="1">
      <c r="B84" s="248" t="str">
        <f>IF(Sertifikat!B101&lt;&gt;0,Sertifikat!B101,"")</f>
        <v/>
      </c>
      <c r="C84" s="312" t="str">
        <f>IF(Sertifikat!C101&lt;&gt;0,Sertifikat!C101,"")</f>
        <v/>
      </c>
      <c r="D84" s="312"/>
      <c r="E84" s="312" t="str">
        <f>IF(Sertifikat!E101&lt;&gt;0,Sertifikat!E101,"")</f>
        <v/>
      </c>
      <c r="F84" s="312"/>
      <c r="G84" s="312" t="str">
        <f>IF(Sertifikat!G101&lt;&gt;0,Sertifikat!G101,"")</f>
        <v/>
      </c>
      <c r="H84" s="312"/>
      <c r="I84" s="312"/>
    </row>
    <row r="85" spans="2:9" ht="19.649999999999999" customHeight="1">
      <c r="B85" s="248" t="str">
        <f>IF(Sertifikat!B102&lt;&gt;0,Sertifikat!B102,"")</f>
        <v/>
      </c>
      <c r="C85" s="312" t="str">
        <f>IF(Sertifikat!C102&lt;&gt;0,Sertifikat!C102,"")</f>
        <v/>
      </c>
      <c r="D85" s="312"/>
      <c r="E85" s="312" t="str">
        <f>IF(Sertifikat!E102&lt;&gt;0,Sertifikat!E102,"")</f>
        <v/>
      </c>
      <c r="F85" s="312"/>
      <c r="G85" s="312" t="str">
        <f>IF(Sertifikat!G102&lt;&gt;0,Sertifikat!G102,"")</f>
        <v/>
      </c>
      <c r="H85" s="312"/>
      <c r="I85" s="312"/>
    </row>
    <row r="86" spans="2:9" ht="19.5" customHeight="1">
      <c r="B86" s="251"/>
      <c r="C86" s="314"/>
      <c r="D86" s="314"/>
      <c r="E86" s="314"/>
      <c r="F86" s="314"/>
      <c r="G86" s="314"/>
      <c r="H86" s="314"/>
      <c r="I86" s="314"/>
    </row>
    <row r="87" spans="2:9">
      <c r="B87" s="207" t="str">
        <f>IF(C$103&lt;&gt;"","","Catatan :")</f>
        <v>Catatan :</v>
      </c>
      <c r="C87" s="251"/>
      <c r="D87" s="251"/>
      <c r="E87" s="251"/>
      <c r="F87" s="251"/>
      <c r="G87" s="251"/>
      <c r="H87" s="251"/>
      <c r="I87" s="251"/>
    </row>
    <row r="88" spans="2:9">
      <c r="B88" s="278" t="str">
        <f>IFERROR(IF(OR('FORM Baru'!AH35= TRUE,'FORM Baru'!AI36&gt; 13)," ",CONCATENATE("Alat ini dikalibrasi dengan Massa Standar ",'FORM Baru'!AH44," dengan ns : ",'FORM Baru'!AI44," yang tertelusure ke SI melalui ",'FORM Baru'!AJ44, " dan Mass Comparator ns : ",'FORM Baru'!AH40,'FORM Baru'!AI42," yang tertelusur ke SI melalui  ", 'FORM Baru'!AJ40)),"Form belum diisi/Error")</f>
        <v>Form belum diisi/Error</v>
      </c>
      <c r="C88" s="278"/>
      <c r="D88" s="278"/>
      <c r="E88" s="278"/>
      <c r="F88" s="278"/>
      <c r="G88" s="278"/>
      <c r="H88" s="278"/>
      <c r="I88" s="278"/>
    </row>
    <row r="89" spans="2:9">
      <c r="B89" s="278"/>
      <c r="C89" s="278"/>
      <c r="D89" s="278"/>
      <c r="E89" s="278"/>
      <c r="F89" s="278"/>
      <c r="G89" s="278"/>
      <c r="H89" s="278"/>
      <c r="I89" s="278"/>
    </row>
    <row r="90" spans="2:9">
      <c r="B90" s="278"/>
      <c r="C90" s="278"/>
      <c r="D90" s="278"/>
      <c r="E90" s="278"/>
      <c r="F90" s="278"/>
      <c r="G90" s="278"/>
      <c r="H90" s="278"/>
      <c r="I90" s="278"/>
    </row>
    <row r="91" spans="2:9" ht="19.5" customHeight="1">
      <c r="B91" s="278"/>
      <c r="C91" s="278"/>
      <c r="D91" s="278"/>
      <c r="E91" s="278"/>
      <c r="F91" s="278"/>
      <c r="G91" s="278"/>
      <c r="H91" s="278"/>
      <c r="I91" s="278"/>
    </row>
    <row r="92" spans="2:9" ht="19.5" customHeight="1">
      <c r="B92" s="206"/>
      <c r="C92" s="206"/>
      <c r="D92" s="206"/>
      <c r="E92" s="206"/>
      <c r="F92" s="206"/>
      <c r="G92" s="206"/>
      <c r="H92" s="206"/>
      <c r="I92" s="206"/>
    </row>
    <row r="93" spans="2:9" ht="19.5" customHeight="1">
      <c r="B93" s="206"/>
      <c r="C93" s="206"/>
      <c r="D93" s="206"/>
      <c r="E93" s="206"/>
      <c r="F93" s="206"/>
      <c r="G93" s="206"/>
      <c r="H93" s="206"/>
      <c r="I93" s="206"/>
    </row>
    <row r="94" spans="2:9" ht="19.5" customHeight="1">
      <c r="B94" s="206"/>
      <c r="C94" s="206"/>
      <c r="D94" s="206"/>
      <c r="E94" s="206"/>
      <c r="F94" s="206"/>
      <c r="G94" s="206"/>
      <c r="H94" s="206"/>
      <c r="I94" s="206"/>
    </row>
    <row r="95" spans="2:9" ht="19.5" customHeight="1"/>
    <row r="96" spans="2:9" ht="27.6" customHeight="1"/>
    <row r="97" spans="2:9">
      <c r="B97" s="250"/>
      <c r="C97" s="250"/>
      <c r="D97" s="250"/>
      <c r="E97" s="252" t="str">
        <f>IF(AND($B$105&lt;&gt;"",$B$105&lt;&gt;0),E53,"")</f>
        <v/>
      </c>
      <c r="F97" s="252" t="str">
        <f>IF(AND($B$105&lt;&gt;"",$B$105&lt;&gt;0),F53,"")</f>
        <v/>
      </c>
      <c r="G97" s="250"/>
      <c r="H97" s="250"/>
      <c r="I97" s="250"/>
    </row>
    <row r="98" spans="2:9" ht="15.75" customHeight="1">
      <c r="B98" s="250"/>
      <c r="C98" s="250"/>
      <c r="D98" s="250"/>
      <c r="E98" s="252" t="str">
        <f>IF(AND($B$105&lt;&gt;"",$B$105&lt;&gt;0),E54,"")</f>
        <v/>
      </c>
      <c r="F98" s="252" t="str">
        <f>IF(OR('FORM Baru'!AH35=TRUE,'FORM Baru'!AI36&gt;13),F54,"")</f>
        <v/>
      </c>
      <c r="G98" s="250"/>
      <c r="H98" s="250"/>
      <c r="I98" s="250"/>
    </row>
    <row r="99" spans="2:9" ht="19.649999999999999" customHeight="1">
      <c r="B99"/>
      <c r="C99"/>
      <c r="D99"/>
      <c r="E99" s="252" t="str">
        <f>IF(AND($B$105&lt;&gt;"",$B$105&lt;&gt;0),E55,"")</f>
        <v/>
      </c>
      <c r="F99" s="252" t="str">
        <f>IF(OR('FORM Baru'!AH35=TRUE,'FORM Baru'!AI36&gt;13),": 3 dari 3","")</f>
        <v/>
      </c>
      <c r="G99"/>
      <c r="H99"/>
      <c r="I99"/>
    </row>
    <row r="100" spans="2:9" ht="19.649999999999999" customHeight="1">
      <c r="B100"/>
      <c r="C100"/>
      <c r="D100"/>
      <c r="E100"/>
      <c r="F100"/>
      <c r="G100"/>
      <c r="H100"/>
      <c r="I100"/>
    </row>
    <row r="101" spans="2:9" ht="19.649999999999999" customHeight="1">
      <c r="B101" s="313" t="str">
        <f>IF(Sertifikat!B123&lt;&gt;0,"No.","")</f>
        <v/>
      </c>
      <c r="C101" s="313" t="str">
        <f>IF(Sertifikat!B123&lt;&gt;0,"Nilai Nominal","")</f>
        <v/>
      </c>
      <c r="D101" s="313"/>
      <c r="E101" s="313" t="str">
        <f>IF(Sertifikat!B123&lt;&gt;0,"Massa konvensional","")</f>
        <v/>
      </c>
      <c r="F101" s="313"/>
      <c r="G101" s="313" t="str">
        <f>IF(Sertifikat!B123&lt;&gt;0,"Ketidakpastian U95% (k=2) ","")</f>
        <v/>
      </c>
      <c r="H101" s="313"/>
      <c r="I101" s="313"/>
    </row>
    <row r="102" spans="2:9" ht="24.75" customHeight="1">
      <c r="B102" s="313"/>
      <c r="C102" s="313" t="str">
        <f>IF(Sertifikat!B123&lt;&gt;0,"( g )","")</f>
        <v/>
      </c>
      <c r="D102" s="313"/>
      <c r="E102" s="313" t="str">
        <f>IF(Sertifikat!B123&lt;&gt;0,"( g )","")</f>
        <v/>
      </c>
      <c r="F102" s="313"/>
      <c r="G102" s="313" t="str">
        <f>IF(Sertifikat!B123&lt;&gt;0,"( mg )","")</f>
        <v/>
      </c>
      <c r="H102" s="313"/>
      <c r="I102" s="313"/>
    </row>
    <row r="103" spans="2:9" ht="19.649999999999999" customHeight="1">
      <c r="B103" s="250" t="str">
        <f>IF(Sertifikat!B119&lt;&gt;"",Sertifikat!B119,"")</f>
        <v/>
      </c>
      <c r="C103" s="313" t="str">
        <f>IF(Sertifikat!C119&lt;&gt;"",Sertifikat!C119,"")</f>
        <v/>
      </c>
      <c r="D103" s="313"/>
      <c r="E103" s="313" t="str">
        <f>IF(Sertifikat!E119&lt;&gt;"",Sertifikat!E119,"")</f>
        <v/>
      </c>
      <c r="F103" s="313"/>
      <c r="G103" s="313" t="str">
        <f>IF(Sertifikat!G119&lt;&gt;"",Sertifikat!G119,"")</f>
        <v/>
      </c>
      <c r="H103" s="313"/>
      <c r="I103" s="313"/>
    </row>
    <row r="104" spans="2:9" ht="19.649999999999999" customHeight="1">
      <c r="B104" s="250" t="str">
        <f>IF(Sertifikat!B120&lt;&gt;"",Sertifikat!B120,"")</f>
        <v/>
      </c>
      <c r="C104" s="313" t="str">
        <f>IF(Sertifikat!C120&lt;&gt;"",Sertifikat!C120,"")</f>
        <v/>
      </c>
      <c r="D104" s="313"/>
      <c r="E104" s="313" t="str">
        <f>IF(Sertifikat!E120&lt;&gt;"",Sertifikat!E120,"")</f>
        <v/>
      </c>
      <c r="F104" s="313"/>
      <c r="G104" s="313" t="str">
        <f>IF(Sertifikat!G120&lt;&gt;"",Sertifikat!G120,"")</f>
        <v/>
      </c>
      <c r="H104" s="313"/>
      <c r="I104" s="313"/>
    </row>
    <row r="105" spans="2:9" ht="19.649999999999999" customHeight="1">
      <c r="B105" s="250" t="str">
        <f>IF(Sertifikat!B121&lt;&gt;"",Sertifikat!B121,"")</f>
        <v/>
      </c>
      <c r="C105" s="313" t="str">
        <f>IF(Sertifikat!C121&lt;&gt;"",Sertifikat!C121,"")</f>
        <v/>
      </c>
      <c r="D105" s="313"/>
      <c r="E105" s="313" t="str">
        <f>IF(Sertifikat!E121&lt;&gt;"",Sertifikat!E121,"")</f>
        <v/>
      </c>
      <c r="F105" s="313"/>
      <c r="G105" s="313" t="str">
        <f>IF(Sertifikat!G121&lt;&gt;"",Sertifikat!G121,"")</f>
        <v/>
      </c>
      <c r="H105" s="313"/>
      <c r="I105" s="313"/>
    </row>
    <row r="106" spans="2:9" ht="19.649999999999999" customHeight="1">
      <c r="B106" s="250" t="str">
        <f>IF(Sertifikat!B122&lt;&gt;"",Sertifikat!B122,"")</f>
        <v/>
      </c>
      <c r="C106" s="313" t="str">
        <f>IF(Sertifikat!C122&lt;&gt;"",Sertifikat!C122,"")</f>
        <v/>
      </c>
      <c r="D106" s="313"/>
      <c r="E106" s="313" t="str">
        <f>IF(Sertifikat!E122&lt;&gt;"",Sertifikat!E122,"")</f>
        <v/>
      </c>
      <c r="F106" s="313"/>
      <c r="G106" s="313" t="str">
        <f>IF(Sertifikat!G122&lt;&gt;"",Sertifikat!G122,"")</f>
        <v/>
      </c>
      <c r="H106" s="313"/>
      <c r="I106" s="313"/>
    </row>
    <row r="107" spans="2:9" ht="19.649999999999999" customHeight="1">
      <c r="B107" s="250" t="str">
        <f>IF(Sertifikat!B123&lt;&gt;"",Sertifikat!B123,"")</f>
        <v/>
      </c>
      <c r="C107" s="313" t="str">
        <f>IF(Sertifikat!C123&lt;&gt;"",Sertifikat!C123,"")</f>
        <v/>
      </c>
      <c r="D107" s="313"/>
      <c r="E107" s="313" t="str">
        <f>IF(Sertifikat!E123&lt;&gt;"",Sertifikat!E123,"")</f>
        <v/>
      </c>
      <c r="F107" s="313"/>
      <c r="G107" s="313" t="str">
        <f>IF(Sertifikat!G123&lt;&gt;"",Sertifikat!G123,"")</f>
        <v/>
      </c>
      <c r="H107" s="313"/>
      <c r="I107" s="313"/>
    </row>
    <row r="108" spans="2:9" ht="19.649999999999999" customHeight="1">
      <c r="B108" s="250" t="str">
        <f>IF(Sertifikat!B124&lt;&gt;"",Sertifikat!B124,"")</f>
        <v/>
      </c>
      <c r="C108" s="313" t="str">
        <f>IF(Sertifikat!C124&lt;&gt;"",Sertifikat!C124,"")</f>
        <v/>
      </c>
      <c r="D108" s="313"/>
      <c r="E108" s="313" t="str">
        <f>IF(Sertifikat!E124&lt;&gt;"",Sertifikat!E124,"")</f>
        <v/>
      </c>
      <c r="F108" s="313"/>
      <c r="G108" s="313" t="str">
        <f>IF(Sertifikat!G124&lt;&gt;"",Sertifikat!G124,"")</f>
        <v/>
      </c>
      <c r="H108" s="313"/>
      <c r="I108" s="313"/>
    </row>
    <row r="109" spans="2:9" ht="19.649999999999999" customHeight="1">
      <c r="B109" s="250" t="str">
        <f>IF(Sertifikat!B125&lt;&gt;"",Sertifikat!B125,"")</f>
        <v/>
      </c>
      <c r="C109" s="313" t="str">
        <f>IF(Sertifikat!C125&lt;&gt;"",Sertifikat!C125,"")</f>
        <v/>
      </c>
      <c r="D109" s="313"/>
      <c r="E109" s="313" t="str">
        <f>IF(Sertifikat!E125&lt;&gt;"",Sertifikat!E125,"")</f>
        <v/>
      </c>
      <c r="F109" s="313"/>
      <c r="G109" s="313" t="str">
        <f>IF(Sertifikat!G125&lt;&gt;"",Sertifikat!G125,"")</f>
        <v/>
      </c>
      <c r="H109" s="313"/>
      <c r="I109" s="313"/>
    </row>
    <row r="110" spans="2:9" ht="19.649999999999999" customHeight="1">
      <c r="B110" s="250" t="str">
        <f>IF(Sertifikat!B126&lt;&gt;"",Sertifikat!B126,"")</f>
        <v/>
      </c>
      <c r="C110" s="313" t="str">
        <f>IF(Sertifikat!C126&lt;&gt;"",Sertifikat!C126,"")</f>
        <v/>
      </c>
      <c r="D110" s="313"/>
      <c r="E110" s="313" t="str">
        <f>IF(Sertifikat!E126&lt;&gt;"",Sertifikat!E126,"")</f>
        <v/>
      </c>
      <c r="F110" s="313"/>
      <c r="G110" s="313" t="str">
        <f>IF(Sertifikat!G126&lt;&gt;"",Sertifikat!G126,"")</f>
        <v/>
      </c>
      <c r="H110" s="313"/>
      <c r="I110" s="313"/>
    </row>
    <row r="111" spans="2:9" ht="19.649999999999999" customHeight="1">
      <c r="B111" s="250" t="str">
        <f>IF(Sertifikat!B127&lt;&gt;"",Sertifikat!B127,"")</f>
        <v/>
      </c>
      <c r="C111" s="313" t="str">
        <f>IF(Sertifikat!C127&lt;&gt;"",Sertifikat!C127,"")</f>
        <v/>
      </c>
      <c r="D111" s="313"/>
      <c r="E111" s="313" t="str">
        <f>IF(Sertifikat!E127&lt;&gt;"",Sertifikat!E127,"")</f>
        <v/>
      </c>
      <c r="F111" s="313"/>
      <c r="G111" s="313" t="str">
        <f>IF(Sertifikat!G127&lt;&gt;"",Sertifikat!G127,"")</f>
        <v/>
      </c>
      <c r="H111" s="313"/>
      <c r="I111" s="313"/>
    </row>
    <row r="112" spans="2:9" ht="19.5" customHeight="1">
      <c r="B112" s="250" t="str">
        <f>IF(Sertifikat!B128&lt;&gt;"",Sertifikat!B128,"")</f>
        <v/>
      </c>
      <c r="C112" s="313" t="str">
        <f>IF(Sertifikat!C128&lt;&gt;"",Sertifikat!C128,"")</f>
        <v/>
      </c>
      <c r="D112" s="313"/>
      <c r="E112" s="313" t="str">
        <f>IF(Sertifikat!E128&lt;&gt;"",Sertifikat!E128,"")</f>
        <v/>
      </c>
      <c r="F112" s="313"/>
      <c r="G112" s="313" t="str">
        <f>IF(Sertifikat!G128&lt;&gt;"",Sertifikat!G128,"")</f>
        <v/>
      </c>
      <c r="H112" s="313"/>
      <c r="I112" s="313"/>
    </row>
    <row r="113" spans="1:10" ht="19.5" customHeight="1">
      <c r="B113" s="250" t="str">
        <f>IF(Sertifikat!B129&lt;&gt;"",Sertifikat!B129,"")</f>
        <v/>
      </c>
      <c r="C113" s="313" t="str">
        <f>IF(Sertifikat!C129&lt;&gt;"",Sertifikat!C129,"")</f>
        <v/>
      </c>
      <c r="D113" s="313"/>
      <c r="E113" s="313" t="str">
        <f>IF(Sertifikat!E129&lt;&gt;"",Sertifikat!E129,"")</f>
        <v/>
      </c>
      <c r="F113" s="313"/>
      <c r="G113" s="313" t="str">
        <f>IF(Sertifikat!G129&lt;&gt;"",Sertifikat!G129,"")</f>
        <v/>
      </c>
      <c r="H113" s="313"/>
      <c r="I113" s="313"/>
    </row>
    <row r="114" spans="1:10" ht="19.5" customHeight="1">
      <c r="B114" s="250" t="str">
        <f>IF(Sertifikat!B130&lt;&gt;"",Sertifikat!B130,"")</f>
        <v/>
      </c>
      <c r="C114" s="313" t="str">
        <f>IF(Sertifikat!C130&lt;&gt;"",Sertifikat!C130,"")</f>
        <v/>
      </c>
      <c r="D114" s="313"/>
      <c r="E114" s="313" t="str">
        <f>IF(Sertifikat!E130&lt;&gt;"",Sertifikat!E130,"")</f>
        <v/>
      </c>
      <c r="F114" s="313"/>
      <c r="G114" s="313" t="str">
        <f>IF(Sertifikat!G130&lt;&gt;"",Sertifikat!G130,"")</f>
        <v/>
      </c>
      <c r="H114" s="313"/>
      <c r="I114" s="313"/>
    </row>
    <row r="115" spans="1:10" ht="19.5" customHeight="1">
      <c r="B115" s="250" t="str">
        <f>IF(Sertifikat!B131&lt;&gt;"",Sertifikat!B131,"")</f>
        <v/>
      </c>
      <c r="C115" s="313" t="str">
        <f>IF(Sertifikat!C131&lt;&gt;"",Sertifikat!C131,"")</f>
        <v/>
      </c>
      <c r="D115" s="313"/>
      <c r="E115" s="313" t="str">
        <f>IF(Sertifikat!E131&lt;&gt;"",Sertifikat!E131,"")</f>
        <v/>
      </c>
      <c r="F115" s="313"/>
      <c r="G115" s="313" t="str">
        <f>IF(Sertifikat!G131&lt;&gt;"",Sertifikat!G131,"")</f>
        <v/>
      </c>
      <c r="H115" s="313"/>
      <c r="I115" s="313"/>
    </row>
    <row r="116" spans="1:10" ht="19.5" customHeight="1">
      <c r="B116" s="250" t="str">
        <f>IF(Sertifikat!B132&lt;&gt;"",Sertifikat!B132,"")</f>
        <v/>
      </c>
      <c r="C116" s="313" t="str">
        <f>IF(Sertifikat!C132&lt;&gt;"",Sertifikat!C132,"")</f>
        <v/>
      </c>
      <c r="D116" s="313"/>
      <c r="E116" s="313" t="str">
        <f>IF(Sertifikat!E132&lt;&gt;"",Sertifikat!E132,"")</f>
        <v/>
      </c>
      <c r="F116" s="313"/>
      <c r="G116" s="313" t="str">
        <f>IF(Sertifikat!G132&lt;&gt;"",Sertifikat!G132,"")</f>
        <v/>
      </c>
      <c r="H116" s="313"/>
      <c r="I116" s="313"/>
    </row>
    <row r="117" spans="1:10">
      <c r="B117" s="250"/>
    </row>
    <row r="118" spans="1:10" ht="19.5" customHeight="1">
      <c r="B118" s="250"/>
    </row>
    <row r="119" spans="1:10" ht="19.5" customHeight="1"/>
    <row r="120" spans="1:10" ht="19.5" customHeight="1">
      <c r="B120" s="95" t="str">
        <f>IF(C$103&lt;&gt;"","Catatan :","")</f>
        <v/>
      </c>
      <c r="C120" s="95"/>
      <c r="D120" s="95"/>
      <c r="E120" s="95"/>
      <c r="F120" s="95"/>
      <c r="G120" s="95"/>
      <c r="H120" s="95"/>
      <c r="I120" s="95"/>
    </row>
    <row r="121" spans="1:10" ht="19.5" customHeight="1">
      <c r="B121" s="311" t="str">
        <f>IFERROR(
   IF(
      AND('FORM Baru'!$AH$35=FALSE, 'FORM Baru'!$AI$36&lt;=13),
      "",
      CONCATENATE(
         "Alat ini dikalibrasi dengan Massa Standar ",
         'FORM Baru'!$AH$44,
         " dengan ns : ",
         'FORM Baru'!$AI$44,
         " yang tertelusure ke SI melalui ",
         'FORM Baru'!$AJ$44,
         " dan Mass Comparator ns : ",
         'FORM Baru'!$AH$40,
         'FORM Baru'!$AI$42,
         " yang tertelusur ke SI melalui  ",
         'FORM Baru'!$AJ$40
      )
   ),
   "Form belum diisi/Error"
)</f>
        <v/>
      </c>
      <c r="C121" s="311"/>
      <c r="D121" s="311"/>
      <c r="E121" s="311"/>
      <c r="F121" s="311"/>
      <c r="G121" s="311"/>
      <c r="H121" s="311"/>
      <c r="I121" s="311"/>
    </row>
    <row r="122" spans="1:10" ht="19.5" customHeight="1">
      <c r="B122" s="311"/>
      <c r="C122" s="311"/>
      <c r="D122" s="311"/>
      <c r="E122" s="311"/>
      <c r="F122" s="311"/>
      <c r="G122" s="311"/>
      <c r="H122" s="311"/>
      <c r="I122" s="311"/>
    </row>
    <row r="123" spans="1:10" ht="19.5" customHeight="1">
      <c r="B123" s="311"/>
      <c r="C123" s="311"/>
      <c r="D123" s="311"/>
      <c r="E123" s="311"/>
      <c r="F123" s="311"/>
      <c r="G123" s="311"/>
      <c r="H123" s="311"/>
      <c r="I123" s="311"/>
    </row>
    <row r="124" spans="1:10" ht="19.5" customHeight="1">
      <c r="B124" s="311"/>
      <c r="C124" s="311"/>
      <c r="D124" s="311"/>
      <c r="E124" s="311"/>
      <c r="F124" s="311"/>
      <c r="G124" s="311"/>
      <c r="H124" s="311"/>
      <c r="I124" s="311"/>
    </row>
    <row r="125" spans="1:10" ht="19.5" customHeight="1">
      <c r="B125" s="212"/>
      <c r="C125" s="212"/>
      <c r="D125" s="212"/>
      <c r="E125" s="212"/>
      <c r="F125" s="212"/>
      <c r="G125" s="212"/>
      <c r="H125" s="212"/>
      <c r="I125" s="212"/>
    </row>
    <row r="126" spans="1:10" ht="19.5" customHeight="1">
      <c r="B126" s="212"/>
      <c r="C126" s="212"/>
      <c r="D126" s="212"/>
      <c r="E126" s="212"/>
      <c r="F126" s="212"/>
      <c r="G126" s="212"/>
      <c r="H126" s="212"/>
      <c r="I126" s="212"/>
    </row>
    <row r="127" spans="1:10" ht="19.5" customHeight="1">
      <c r="A127"/>
      <c r="B127" s="212"/>
      <c r="C127" s="212"/>
      <c r="D127" s="212"/>
      <c r="E127" s="212"/>
      <c r="F127" s="212"/>
      <c r="G127" s="212"/>
      <c r="H127" s="212"/>
      <c r="I127" s="212"/>
      <c r="J127"/>
    </row>
    <row r="128" spans="1:10" ht="19.5" customHeight="1">
      <c r="A128"/>
      <c r="B128" s="212"/>
      <c r="C128" s="212"/>
      <c r="D128" s="212"/>
      <c r="E128" s="212"/>
      <c r="F128" s="212"/>
      <c r="G128" s="212"/>
      <c r="H128" s="212"/>
      <c r="I128" s="212"/>
      <c r="J128"/>
    </row>
    <row r="129" spans="1:10" ht="19.5" customHeight="1">
      <c r="A129"/>
      <c r="B129"/>
      <c r="C129"/>
      <c r="D129"/>
      <c r="E129"/>
      <c r="F129"/>
      <c r="G129"/>
      <c r="H129"/>
      <c r="I129"/>
      <c r="J129"/>
    </row>
    <row r="130" spans="1:10" ht="19.5" customHeight="1">
      <c r="A130"/>
      <c r="B130"/>
      <c r="C130"/>
      <c r="D130"/>
      <c r="E130"/>
      <c r="F130"/>
      <c r="G130"/>
      <c r="H130"/>
      <c r="I130"/>
      <c r="J130"/>
    </row>
    <row r="131" spans="1:10" ht="19.5" customHeight="1">
      <c r="A131"/>
      <c r="B131"/>
      <c r="C131"/>
      <c r="D131"/>
      <c r="E131"/>
      <c r="F131"/>
      <c r="G131"/>
      <c r="H131"/>
      <c r="I131"/>
      <c r="J131"/>
    </row>
    <row r="132" spans="1:10" ht="19.5" customHeight="1">
      <c r="A132"/>
      <c r="B132"/>
      <c r="C132"/>
      <c r="D132"/>
      <c r="E132"/>
      <c r="F132"/>
      <c r="G132"/>
      <c r="H132"/>
      <c r="I132"/>
      <c r="J132"/>
    </row>
    <row r="133" spans="1:10" ht="19.5" customHeight="1">
      <c r="A133"/>
      <c r="B133"/>
      <c r="C133"/>
      <c r="D133"/>
      <c r="E133"/>
      <c r="F133"/>
      <c r="G133"/>
      <c r="H133"/>
      <c r="I133"/>
      <c r="J133"/>
    </row>
    <row r="134" spans="1:10" ht="19.5" customHeight="1">
      <c r="A134"/>
      <c r="B134"/>
      <c r="C134"/>
      <c r="D134"/>
      <c r="E134"/>
      <c r="F134"/>
      <c r="G134"/>
      <c r="H134"/>
      <c r="I134"/>
      <c r="J134"/>
    </row>
    <row r="135" spans="1:10" ht="19.5" customHeight="1">
      <c r="A135"/>
      <c r="B135"/>
      <c r="C135"/>
      <c r="D135"/>
      <c r="E135"/>
      <c r="F135"/>
      <c r="G135"/>
      <c r="H135"/>
      <c r="I135"/>
      <c r="J135"/>
    </row>
    <row r="136" spans="1:10" ht="19.5" customHeight="1">
      <c r="A136"/>
      <c r="B136"/>
      <c r="C136"/>
      <c r="D136"/>
      <c r="E136"/>
      <c r="F136"/>
      <c r="G136"/>
      <c r="H136"/>
      <c r="I136"/>
      <c r="J136"/>
    </row>
    <row r="137" spans="1:10" ht="19.2" customHeight="1">
      <c r="A137"/>
      <c r="B137"/>
      <c r="C137"/>
      <c r="D137"/>
      <c r="E137"/>
      <c r="F137"/>
      <c r="G137"/>
      <c r="H137"/>
      <c r="I137"/>
      <c r="J137"/>
    </row>
    <row r="138" spans="1:10">
      <c r="A138"/>
      <c r="B138"/>
      <c r="C138"/>
      <c r="D138"/>
      <c r="E138"/>
      <c r="F138"/>
      <c r="G138"/>
      <c r="H138"/>
      <c r="I138"/>
      <c r="J138"/>
    </row>
    <row r="139" spans="1:10" ht="18" customHeight="1">
      <c r="A139"/>
      <c r="B139"/>
      <c r="C139"/>
      <c r="D139"/>
      <c r="E139"/>
      <c r="F139"/>
      <c r="G139"/>
      <c r="H139"/>
      <c r="I139"/>
      <c r="J139"/>
    </row>
    <row r="140" spans="1:10" ht="18" customHeight="1">
      <c r="A140"/>
      <c r="B140"/>
      <c r="C140"/>
      <c r="D140"/>
      <c r="E140"/>
      <c r="F140"/>
      <c r="G140"/>
      <c r="H140"/>
      <c r="I140"/>
      <c r="J140"/>
    </row>
    <row r="141" spans="1:10" ht="18" customHeight="1">
      <c r="A141"/>
      <c r="B141"/>
      <c r="C141"/>
      <c r="D141"/>
      <c r="E141"/>
      <c r="F141"/>
      <c r="G141"/>
      <c r="H141"/>
      <c r="I141"/>
      <c r="J141"/>
    </row>
    <row r="142" spans="1:10" ht="18" customHeight="1">
      <c r="A142"/>
      <c r="B142"/>
      <c r="C142"/>
      <c r="D142"/>
      <c r="E142"/>
      <c r="F142"/>
      <c r="G142"/>
      <c r="H142"/>
      <c r="I142"/>
      <c r="J142"/>
    </row>
    <row r="143" spans="1:10" ht="18" customHeight="1">
      <c r="A143"/>
      <c r="B143"/>
      <c r="C143"/>
      <c r="D143"/>
      <c r="E143"/>
      <c r="F143"/>
      <c r="G143"/>
      <c r="H143"/>
      <c r="I143"/>
      <c r="J143"/>
    </row>
    <row r="144" spans="1:10" ht="18" customHeight="1">
      <c r="A144"/>
      <c r="B144"/>
      <c r="C144"/>
      <c r="D144"/>
      <c r="E144"/>
      <c r="F144"/>
      <c r="G144"/>
      <c r="H144"/>
      <c r="I144"/>
      <c r="J144"/>
    </row>
    <row r="145" spans="1:10" ht="18" customHeight="1">
      <c r="A145"/>
      <c r="B145"/>
      <c r="C145"/>
      <c r="D145"/>
      <c r="E145"/>
      <c r="F145"/>
      <c r="G145"/>
      <c r="H145"/>
      <c r="I145"/>
      <c r="J145"/>
    </row>
    <row r="146" spans="1:10" ht="18" customHeight="1">
      <c r="A146"/>
      <c r="B146"/>
      <c r="C146"/>
      <c r="D146"/>
      <c r="E146"/>
      <c r="F146"/>
      <c r="G146"/>
      <c r="H146"/>
      <c r="I146"/>
      <c r="J146"/>
    </row>
    <row r="147" spans="1:10" ht="18" customHeight="1">
      <c r="A147"/>
      <c r="B147"/>
      <c r="C147"/>
      <c r="D147"/>
      <c r="E147"/>
      <c r="F147"/>
      <c r="G147"/>
      <c r="H147"/>
      <c r="I147"/>
      <c r="J147"/>
    </row>
    <row r="148" spans="1:10" ht="16.95" customHeight="1">
      <c r="A148"/>
      <c r="B148"/>
      <c r="C148"/>
      <c r="D148"/>
      <c r="E148"/>
      <c r="F148"/>
      <c r="G148"/>
      <c r="H148"/>
      <c r="I148"/>
      <c r="J148"/>
    </row>
    <row r="149" spans="1:10" ht="16.95" customHeight="1">
      <c r="A149"/>
      <c r="B149"/>
      <c r="C149"/>
      <c r="D149"/>
      <c r="E149"/>
      <c r="F149"/>
      <c r="G149"/>
      <c r="H149"/>
      <c r="I149"/>
      <c r="J149"/>
    </row>
    <row r="150" spans="1:10">
      <c r="A150"/>
      <c r="B150"/>
      <c r="C150"/>
      <c r="D150"/>
      <c r="E150"/>
      <c r="F150"/>
      <c r="G150"/>
      <c r="H150"/>
      <c r="I150"/>
      <c r="J150"/>
    </row>
    <row r="151" spans="1:10">
      <c r="A151"/>
      <c r="B151"/>
      <c r="C151"/>
      <c r="D151"/>
      <c r="E151"/>
      <c r="F151"/>
      <c r="G151"/>
      <c r="H151"/>
      <c r="I151"/>
      <c r="J151"/>
    </row>
    <row r="152" spans="1:10">
      <c r="A152"/>
      <c r="B152"/>
      <c r="C152"/>
      <c r="D152"/>
      <c r="E152"/>
      <c r="F152"/>
      <c r="G152"/>
      <c r="H152"/>
      <c r="I152"/>
      <c r="J152"/>
    </row>
    <row r="153" spans="1:10">
      <c r="A153"/>
      <c r="B153"/>
      <c r="C153"/>
      <c r="D153"/>
      <c r="E153"/>
      <c r="F153"/>
      <c r="G153"/>
      <c r="H153"/>
      <c r="I153"/>
      <c r="J153"/>
    </row>
    <row r="154" spans="1:10">
      <c r="A154"/>
      <c r="B154"/>
      <c r="C154"/>
      <c r="D154"/>
      <c r="E154"/>
      <c r="F154"/>
      <c r="G154"/>
      <c r="H154"/>
      <c r="I154"/>
      <c r="J154"/>
    </row>
    <row r="155" spans="1:10">
      <c r="A155"/>
      <c r="B155"/>
      <c r="C155"/>
      <c r="D155"/>
      <c r="E155"/>
      <c r="F155"/>
      <c r="G155"/>
      <c r="H155"/>
      <c r="I155"/>
      <c r="J155"/>
    </row>
    <row r="156" spans="1:10">
      <c r="A156"/>
      <c r="B156"/>
      <c r="C156"/>
      <c r="D156"/>
      <c r="E156"/>
      <c r="F156"/>
      <c r="G156"/>
      <c r="H156"/>
      <c r="I156"/>
      <c r="J156"/>
    </row>
    <row r="157" spans="1:10" ht="23.7" customHeight="1">
      <c r="A157"/>
      <c r="B157"/>
      <c r="C157"/>
      <c r="D157"/>
      <c r="E157"/>
      <c r="F157"/>
      <c r="G157"/>
      <c r="H157"/>
      <c r="I157"/>
      <c r="J157"/>
    </row>
    <row r="158" spans="1:10">
      <c r="A158"/>
      <c r="B158"/>
      <c r="C158"/>
      <c r="D158"/>
      <c r="E158"/>
      <c r="F158"/>
      <c r="G158"/>
      <c r="H158"/>
      <c r="I158"/>
      <c r="J158"/>
    </row>
    <row r="159" spans="1:10">
      <c r="A159"/>
      <c r="B159"/>
      <c r="C159"/>
      <c r="D159"/>
      <c r="E159"/>
      <c r="F159"/>
      <c r="G159"/>
      <c r="H159"/>
      <c r="I159"/>
      <c r="J159"/>
    </row>
    <row r="160" spans="1:10">
      <c r="A160"/>
      <c r="B160"/>
      <c r="C160"/>
      <c r="D160"/>
      <c r="E160"/>
      <c r="F160"/>
      <c r="G160"/>
      <c r="H160"/>
      <c r="I160"/>
      <c r="J160"/>
    </row>
    <row r="161" spans="1:10">
      <c r="A161"/>
      <c r="B161"/>
      <c r="C161"/>
      <c r="D161"/>
      <c r="E161"/>
      <c r="F161"/>
      <c r="G161"/>
      <c r="H161"/>
      <c r="I161"/>
      <c r="J161"/>
    </row>
    <row r="162" spans="1:10">
      <c r="A162"/>
      <c r="B162"/>
      <c r="C162"/>
      <c r="D162"/>
      <c r="E162"/>
      <c r="F162"/>
      <c r="G162"/>
      <c r="H162"/>
      <c r="I162"/>
      <c r="J162"/>
    </row>
    <row r="163" spans="1:10">
      <c r="A163"/>
      <c r="B163"/>
      <c r="C163"/>
      <c r="D163"/>
      <c r="E163"/>
      <c r="F163"/>
      <c r="G163"/>
      <c r="H163"/>
      <c r="I163"/>
      <c r="J163"/>
    </row>
    <row r="164" spans="1:10">
      <c r="A164"/>
      <c r="B164"/>
      <c r="C164"/>
      <c r="D164"/>
      <c r="E164"/>
      <c r="F164"/>
      <c r="G164"/>
      <c r="H164"/>
      <c r="I164"/>
      <c r="J164"/>
    </row>
    <row r="165" spans="1:10">
      <c r="A165"/>
      <c r="B165"/>
      <c r="C165"/>
      <c r="D165"/>
      <c r="E165"/>
      <c r="F165"/>
      <c r="G165"/>
      <c r="H165"/>
      <c r="I165"/>
      <c r="J165"/>
    </row>
    <row r="166" spans="1:10">
      <c r="A166"/>
      <c r="B166"/>
      <c r="C166"/>
      <c r="D166"/>
      <c r="E166"/>
      <c r="F166"/>
      <c r="G166"/>
      <c r="H166"/>
      <c r="I166"/>
      <c r="J166"/>
    </row>
    <row r="167" spans="1:10">
      <c r="A167"/>
      <c r="B167"/>
      <c r="C167"/>
      <c r="D167"/>
      <c r="E167"/>
      <c r="F167"/>
      <c r="G167"/>
      <c r="H167"/>
      <c r="I167"/>
      <c r="J167"/>
    </row>
    <row r="168" spans="1:10">
      <c r="A168"/>
      <c r="B168"/>
      <c r="C168"/>
      <c r="D168"/>
      <c r="E168"/>
      <c r="F168"/>
      <c r="G168"/>
      <c r="H168"/>
      <c r="I168"/>
      <c r="J168"/>
    </row>
    <row r="169" spans="1:10">
      <c r="A169"/>
      <c r="B169"/>
      <c r="C169"/>
      <c r="D169"/>
      <c r="E169"/>
      <c r="F169"/>
      <c r="G169"/>
      <c r="H169"/>
      <c r="I169"/>
      <c r="J169"/>
    </row>
    <row r="170" spans="1:10">
      <c r="A170"/>
      <c r="B170"/>
      <c r="C170"/>
      <c r="D170"/>
      <c r="E170"/>
      <c r="F170"/>
      <c r="G170"/>
      <c r="H170"/>
      <c r="I170"/>
      <c r="J170"/>
    </row>
    <row r="171" spans="1:10">
      <c r="A171"/>
      <c r="B171"/>
      <c r="C171"/>
      <c r="D171"/>
      <c r="E171"/>
      <c r="F171"/>
      <c r="G171"/>
      <c r="H171"/>
      <c r="I171"/>
      <c r="J171"/>
    </row>
    <row r="172" spans="1:10">
      <c r="A172"/>
      <c r="B172"/>
      <c r="C172"/>
      <c r="D172"/>
      <c r="E172"/>
      <c r="F172"/>
      <c r="G172"/>
      <c r="H172"/>
      <c r="I172"/>
      <c r="J172"/>
    </row>
    <row r="173" spans="1:10">
      <c r="A173"/>
      <c r="B173"/>
      <c r="C173"/>
      <c r="D173"/>
      <c r="E173"/>
      <c r="F173"/>
      <c r="G173"/>
      <c r="H173"/>
      <c r="I173"/>
      <c r="J173"/>
    </row>
    <row r="174" spans="1:10" ht="18.45" customHeight="1">
      <c r="A174"/>
      <c r="B174"/>
      <c r="C174"/>
      <c r="D174"/>
      <c r="E174"/>
      <c r="F174"/>
      <c r="G174"/>
      <c r="H174"/>
      <c r="I174"/>
      <c r="J174"/>
    </row>
    <row r="175" spans="1:10" ht="18.45" customHeight="1">
      <c r="B175" s="98"/>
      <c r="C175" s="253"/>
      <c r="D175" s="253"/>
      <c r="E175" s="253"/>
      <c r="F175" s="253"/>
      <c r="G175" s="253"/>
      <c r="H175" s="95"/>
      <c r="I175" s="95"/>
    </row>
    <row r="176" spans="1:10" ht="18.45" customHeight="1">
      <c r="B176" s="98"/>
      <c r="C176" s="253"/>
      <c r="D176" s="253"/>
      <c r="E176" s="253"/>
      <c r="F176" s="253"/>
      <c r="G176" s="253"/>
      <c r="H176" s="95"/>
      <c r="I176" s="95"/>
    </row>
    <row r="177" spans="2:9" ht="18.45" customHeight="1">
      <c r="B177" s="98"/>
      <c r="C177" s="253"/>
      <c r="D177" s="253"/>
      <c r="E177" s="253"/>
      <c r="F177" s="253"/>
      <c r="G177" s="253"/>
      <c r="H177" s="95"/>
      <c r="I177" s="95"/>
    </row>
    <row r="178" spans="2:9" ht="18.45" customHeight="1">
      <c r="B178" s="98"/>
      <c r="C178" s="253"/>
      <c r="D178" s="253"/>
      <c r="E178" s="253"/>
      <c r="F178" s="253"/>
      <c r="G178" s="253"/>
      <c r="H178" s="95"/>
      <c r="I178" s="95"/>
    </row>
    <row r="180" spans="2:9">
      <c r="B180" s="93"/>
    </row>
    <row r="182" spans="2:9">
      <c r="B182" s="254"/>
      <c r="C182" s="254"/>
      <c r="D182" s="254"/>
      <c r="E182" s="254"/>
    </row>
    <row r="183" spans="2:9">
      <c r="B183" s="254"/>
      <c r="C183" s="254"/>
      <c r="D183" s="254"/>
      <c r="E183" s="254"/>
    </row>
    <row r="184" spans="2:9">
      <c r="B184" s="255"/>
      <c r="C184" s="255"/>
      <c r="D184" s="253"/>
      <c r="E184" s="253"/>
    </row>
    <row r="185" spans="2:9">
      <c r="B185" s="255"/>
      <c r="C185" s="255"/>
      <c r="D185" s="253"/>
      <c r="E185" s="253"/>
    </row>
    <row r="187" spans="2:9">
      <c r="B187" s="95"/>
    </row>
    <row r="188" spans="2:9">
      <c r="B188" s="95"/>
    </row>
    <row r="189" spans="2:9">
      <c r="B189" s="95"/>
    </row>
    <row r="190" spans="2:9">
      <c r="B190" s="95"/>
    </row>
    <row r="191" spans="2:9">
      <c r="B191" s="95"/>
    </row>
  </sheetData>
  <mergeCells count="104">
    <mergeCell ref="B101:B102"/>
    <mergeCell ref="C101:D101"/>
    <mergeCell ref="C102:D102"/>
    <mergeCell ref="E102:F102"/>
    <mergeCell ref="E101:F101"/>
    <mergeCell ref="B88:I91"/>
    <mergeCell ref="C73:D73"/>
    <mergeCell ref="B6:H6"/>
    <mergeCell ref="B7:H7"/>
    <mergeCell ref="B8:H8"/>
    <mergeCell ref="E34:I36"/>
    <mergeCell ref="B71:B72"/>
    <mergeCell ref="G71:I71"/>
    <mergeCell ref="E71:F71"/>
    <mergeCell ref="C71:D71"/>
    <mergeCell ref="C72:D72"/>
    <mergeCell ref="E72:F72"/>
    <mergeCell ref="G72:I72"/>
    <mergeCell ref="C86:D86"/>
    <mergeCell ref="E86:F86"/>
    <mergeCell ref="G86:I86"/>
    <mergeCell ref="G101:I101"/>
    <mergeCell ref="G102:I102"/>
    <mergeCell ref="E77:F77"/>
    <mergeCell ref="G108:I108"/>
    <mergeCell ref="C108:D108"/>
    <mergeCell ref="E108:F108"/>
    <mergeCell ref="C109:D109"/>
    <mergeCell ref="E109:F109"/>
    <mergeCell ref="G109:I109"/>
    <mergeCell ref="G103:I103"/>
    <mergeCell ref="G104:I104"/>
    <mergeCell ref="G105:I105"/>
    <mergeCell ref="G106:I106"/>
    <mergeCell ref="G107:I107"/>
    <mergeCell ref="C103:D103"/>
    <mergeCell ref="C105:D105"/>
    <mergeCell ref="C106:D106"/>
    <mergeCell ref="C107:D107"/>
    <mergeCell ref="E103:F103"/>
    <mergeCell ref="E105:F105"/>
    <mergeCell ref="E106:F106"/>
    <mergeCell ref="E107:F107"/>
    <mergeCell ref="C104:D104"/>
    <mergeCell ref="E104:F104"/>
    <mergeCell ref="G113:I113"/>
    <mergeCell ref="C115:D115"/>
    <mergeCell ref="C116:D116"/>
    <mergeCell ref="E116:F116"/>
    <mergeCell ref="E115:F115"/>
    <mergeCell ref="E114:F114"/>
    <mergeCell ref="C110:D110"/>
    <mergeCell ref="C111:D111"/>
    <mergeCell ref="C112:D112"/>
    <mergeCell ref="C113:D113"/>
    <mergeCell ref="C114:D114"/>
    <mergeCell ref="E78:F78"/>
    <mergeCell ref="G114:I114"/>
    <mergeCell ref="G115:I115"/>
    <mergeCell ref="G116:I116"/>
    <mergeCell ref="C74:D74"/>
    <mergeCell ref="C75:D75"/>
    <mergeCell ref="C76:D76"/>
    <mergeCell ref="C77:D77"/>
    <mergeCell ref="C78:D78"/>
    <mergeCell ref="C79:D79"/>
    <mergeCell ref="C80:D80"/>
    <mergeCell ref="C81:D81"/>
    <mergeCell ref="C82:D82"/>
    <mergeCell ref="C83:D83"/>
    <mergeCell ref="C84:D84"/>
    <mergeCell ref="C85:D85"/>
    <mergeCell ref="E79:F79"/>
    <mergeCell ref="E113:F113"/>
    <mergeCell ref="E112:F112"/>
    <mergeCell ref="E111:F111"/>
    <mergeCell ref="E110:F110"/>
    <mergeCell ref="G110:I110"/>
    <mergeCell ref="G111:I111"/>
    <mergeCell ref="G112:I112"/>
    <mergeCell ref="B121:I124"/>
    <mergeCell ref="E85:F85"/>
    <mergeCell ref="E76:F76"/>
    <mergeCell ref="G73:I73"/>
    <mergeCell ref="G74:I74"/>
    <mergeCell ref="G75:I75"/>
    <mergeCell ref="G76:I76"/>
    <mergeCell ref="G77:I77"/>
    <mergeCell ref="G78:I78"/>
    <mergeCell ref="G79:I79"/>
    <mergeCell ref="G80:I80"/>
    <mergeCell ref="G81:I81"/>
    <mergeCell ref="G82:I82"/>
    <mergeCell ref="G83:I83"/>
    <mergeCell ref="G84:I84"/>
    <mergeCell ref="G85:I85"/>
    <mergeCell ref="E80:F80"/>
    <mergeCell ref="E81:F81"/>
    <mergeCell ref="E82:F82"/>
    <mergeCell ref="E83:F83"/>
    <mergeCell ref="E84:F84"/>
    <mergeCell ref="E73:F73"/>
    <mergeCell ref="E74:F74"/>
    <mergeCell ref="E75:F75"/>
  </mergeCells>
  <conditionalFormatting sqref="B101 B117:B118 B103:I116">
    <cfRule type="notContainsBlanks" dxfId="48" priority="8">
      <formula>LEN(TRIM(B101))&gt;0</formula>
    </cfRule>
  </conditionalFormatting>
  <conditionalFormatting sqref="C101:D102">
    <cfRule type="notContainsBlanks" dxfId="47" priority="9">
      <formula>LEN(TRIM(C101))&gt;0</formula>
    </cfRule>
  </conditionalFormatting>
  <conditionalFormatting sqref="C101:I101">
    <cfRule type="notContainsBlanks" dxfId="46" priority="6">
      <formula>LEN(TRIM(C101))&gt;0</formula>
    </cfRule>
  </conditionalFormatting>
  <conditionalFormatting sqref="B117:B118 C117:I117 B101:I116">
    <cfRule type="containsBlanks" dxfId="45" priority="5">
      <formula>LEN(TRIM(B101))=0</formula>
    </cfRule>
  </conditionalFormatting>
  <conditionalFormatting sqref="B101:B102">
    <cfRule type="notContainsBlanks" dxfId="44" priority="4">
      <formula>LEN(TRIM(B101))&gt;0</formula>
    </cfRule>
  </conditionalFormatting>
  <conditionalFormatting sqref="G101:I102">
    <cfRule type="notContainsBlanks" dxfId="43" priority="3">
      <formula>LEN(TRIM(G101))&gt;0</formula>
    </cfRule>
  </conditionalFormatting>
  <conditionalFormatting sqref="B73:I85">
    <cfRule type="containsBlanks" dxfId="42" priority="1">
      <formula>LEN(TRIM(B73))=0</formula>
    </cfRule>
    <cfRule type="notContainsBlanks" dxfId="41" priority="2">
      <formula>LEN(TRIM(B73))&gt;0</formula>
    </cfRule>
  </conditionalFormatting>
  <pageMargins left="0" right="0" top="0" bottom="0" header="0" footer="0"/>
  <pageSetup fitToWidth="0" fitToHeight="0" orientation="portrait" r:id="rId1"/>
  <headerFooter>
    <oddHeader>&amp;C&amp;G</oddHead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FA42A-2409-4B97-ADC2-B152401D5329}">
  <sheetPr codeName="Sheet7">
    <tabColor rgb="FF00B0F0"/>
  </sheetPr>
  <dimension ref="C1:AR33"/>
  <sheetViews>
    <sheetView topLeftCell="W1" zoomScale="90" zoomScaleNormal="90" workbookViewId="0">
      <selection activeCell="AL9" sqref="AL9"/>
    </sheetView>
  </sheetViews>
  <sheetFormatPr defaultRowHeight="14.4"/>
  <cols>
    <col min="4" max="4" width="5.6640625" customWidth="1"/>
    <col min="5" max="5" width="25.6640625" customWidth="1"/>
    <col min="6" max="6" width="3.6640625" customWidth="1"/>
    <col min="7" max="7" width="21.33203125" customWidth="1"/>
    <col min="8" max="10" width="17.88671875" customWidth="1"/>
    <col min="11" max="11" width="19.5546875" customWidth="1"/>
    <col min="12" max="12" width="2.5546875" customWidth="1"/>
    <col min="13" max="13" width="9.33203125" bestFit="1" customWidth="1"/>
    <col min="14" max="14" width="19" bestFit="1" customWidth="1"/>
    <col min="15" max="15" width="4.44140625" customWidth="1"/>
    <col min="16" max="16" width="19.33203125" customWidth="1"/>
    <col min="17" max="17" width="13.5546875" customWidth="1"/>
    <col min="18" max="18" width="13.109375" bestFit="1" customWidth="1"/>
    <col min="19" max="19" width="10.33203125" bestFit="1" customWidth="1"/>
    <col min="20" max="20" width="4" customWidth="1"/>
    <col min="21" max="21" width="8.109375" bestFit="1" customWidth="1"/>
    <col min="22" max="22" width="11" bestFit="1" customWidth="1"/>
    <col min="26" max="26" width="14.88671875" bestFit="1" customWidth="1"/>
    <col min="29" max="29" width="10.33203125" customWidth="1"/>
    <col min="30" max="30" width="11" bestFit="1" customWidth="1"/>
    <col min="34" max="34" width="11" bestFit="1" customWidth="1"/>
    <col min="37" max="37" width="18.33203125" customWidth="1"/>
    <col min="38" max="41" width="10.33203125" customWidth="1"/>
    <col min="42" max="44" width="10.6640625" customWidth="1"/>
  </cols>
  <sheetData>
    <row r="1" spans="3:44" ht="18">
      <c r="U1" s="14" t="s">
        <v>200</v>
      </c>
      <c r="V1" s="13"/>
      <c r="W1" s="13"/>
      <c r="X1" s="13"/>
      <c r="Y1" s="15" t="s">
        <v>219</v>
      </c>
      <c r="Z1" s="16"/>
      <c r="AA1" s="16"/>
      <c r="AB1" s="13"/>
      <c r="AC1" s="15" t="s">
        <v>64</v>
      </c>
      <c r="AD1" s="35"/>
      <c r="AE1" s="35"/>
      <c r="AF1" s="13"/>
      <c r="AG1" s="14" t="s">
        <v>201</v>
      </c>
      <c r="AH1" s="13"/>
      <c r="AI1" s="13"/>
      <c r="AJ1" s="13"/>
      <c r="AK1" s="14" t="s">
        <v>65</v>
      </c>
      <c r="AL1" s="13"/>
      <c r="AM1" s="13"/>
      <c r="AN1" s="13"/>
      <c r="AO1" s="13"/>
      <c r="AP1" s="13"/>
      <c r="AQ1" s="13"/>
      <c r="AR1" s="13"/>
    </row>
    <row r="2" spans="3:44" ht="26.4" customHeight="1">
      <c r="U2" s="153" t="s">
        <v>14</v>
      </c>
      <c r="V2" s="154" t="s">
        <v>66</v>
      </c>
      <c r="W2" s="155" t="s">
        <v>67</v>
      </c>
      <c r="Y2" s="160" t="s">
        <v>14</v>
      </c>
      <c r="Z2" s="161" t="s">
        <v>66</v>
      </c>
      <c r="AA2" s="162" t="s">
        <v>67</v>
      </c>
      <c r="AC2" s="165" t="s">
        <v>68</v>
      </c>
      <c r="AD2" s="166" t="s">
        <v>66</v>
      </c>
      <c r="AE2" s="167" t="s">
        <v>67</v>
      </c>
      <c r="AG2" s="153" t="s">
        <v>14</v>
      </c>
      <c r="AH2" s="154" t="s">
        <v>66</v>
      </c>
      <c r="AI2" s="155" t="s">
        <v>67</v>
      </c>
      <c r="AK2" s="174" t="s">
        <v>202</v>
      </c>
      <c r="AL2" s="175" t="s">
        <v>69</v>
      </c>
      <c r="AM2" s="175" t="s">
        <v>70</v>
      </c>
      <c r="AN2" s="175" t="s">
        <v>0</v>
      </c>
      <c r="AO2" s="175" t="s">
        <v>1</v>
      </c>
      <c r="AP2" s="175" t="s">
        <v>2</v>
      </c>
      <c r="AQ2" s="175" t="s">
        <v>3</v>
      </c>
      <c r="AR2" s="176" t="s">
        <v>4</v>
      </c>
    </row>
    <row r="3" spans="3:44">
      <c r="C3" s="119" t="s">
        <v>197</v>
      </c>
      <c r="E3" s="119" t="s">
        <v>198</v>
      </c>
      <c r="G3" s="141" t="s">
        <v>241</v>
      </c>
      <c r="H3" s="119" t="s">
        <v>199</v>
      </c>
      <c r="I3" s="276" t="s">
        <v>313</v>
      </c>
      <c r="J3" s="259" t="s">
        <v>303</v>
      </c>
      <c r="K3" s="29" t="s">
        <v>220</v>
      </c>
      <c r="L3" s="182"/>
      <c r="M3" s="170" t="s">
        <v>222</v>
      </c>
      <c r="N3" s="171" t="s">
        <v>230</v>
      </c>
      <c r="P3" s="136" t="s">
        <v>198</v>
      </c>
      <c r="Q3" s="136" t="s">
        <v>233</v>
      </c>
      <c r="R3" s="136" t="s">
        <v>27</v>
      </c>
      <c r="S3" s="141" t="s">
        <v>240</v>
      </c>
      <c r="U3" s="148">
        <v>2000</v>
      </c>
      <c r="V3" s="18">
        <v>1999.9985200000001</v>
      </c>
      <c r="W3" s="151">
        <v>0.32</v>
      </c>
      <c r="Y3" s="150">
        <v>20000</v>
      </c>
      <c r="Z3" s="19">
        <v>20000.022000000001</v>
      </c>
      <c r="AA3" s="152">
        <v>13</v>
      </c>
      <c r="AC3" s="150" t="s">
        <v>64</v>
      </c>
      <c r="AD3" s="19">
        <v>19999.414000000001</v>
      </c>
      <c r="AE3" s="152">
        <v>45</v>
      </c>
      <c r="AG3" s="17">
        <v>1E-3</v>
      </c>
      <c r="AH3" s="198">
        <v>1.003E-3</v>
      </c>
      <c r="AI3" s="18">
        <v>2E-3</v>
      </c>
      <c r="AK3" s="172" t="s">
        <v>203</v>
      </c>
      <c r="AL3" s="36">
        <v>25</v>
      </c>
      <c r="AM3" s="36">
        <v>75</v>
      </c>
      <c r="AN3" s="36">
        <v>250</v>
      </c>
      <c r="AO3" s="36">
        <v>750</v>
      </c>
      <c r="AP3" s="36">
        <v>2500</v>
      </c>
      <c r="AQ3" s="36">
        <v>7500</v>
      </c>
      <c r="AR3" s="173">
        <v>25000</v>
      </c>
    </row>
    <row r="4" spans="3:44">
      <c r="C4" s="19">
        <v>20000</v>
      </c>
      <c r="E4" s="109" t="s">
        <v>200</v>
      </c>
      <c r="G4" s="142" t="s">
        <v>242</v>
      </c>
      <c r="H4" s="29">
        <v>90803270</v>
      </c>
      <c r="I4" s="256">
        <v>200</v>
      </c>
      <c r="J4" s="256">
        <v>200.00024999999999</v>
      </c>
      <c r="K4" s="29">
        <v>5.0000000000000002E-5</v>
      </c>
      <c r="L4" s="183"/>
      <c r="M4" s="108">
        <v>20000</v>
      </c>
      <c r="N4" s="29">
        <v>45</v>
      </c>
      <c r="P4" s="138" t="s">
        <v>200</v>
      </c>
      <c r="Q4" s="136" t="s">
        <v>234</v>
      </c>
      <c r="R4" s="29" t="s">
        <v>231</v>
      </c>
      <c r="S4" s="29" t="s">
        <v>275</v>
      </c>
      <c r="U4" s="148">
        <v>1000</v>
      </c>
      <c r="V4" s="18">
        <v>1000.00055</v>
      </c>
      <c r="W4" s="151">
        <v>0.14000000000000001</v>
      </c>
      <c r="Y4" s="150">
        <v>10000</v>
      </c>
      <c r="Z4" s="20">
        <v>10000.040999999999</v>
      </c>
      <c r="AA4" s="152">
        <v>4.5999999999999996</v>
      </c>
      <c r="AC4" s="150" t="s">
        <v>71</v>
      </c>
      <c r="AD4" s="19">
        <v>19999.234</v>
      </c>
      <c r="AE4" s="152">
        <v>45</v>
      </c>
      <c r="AG4" s="17">
        <v>2E-3</v>
      </c>
      <c r="AH4" s="18">
        <v>2.003E-3</v>
      </c>
      <c r="AI4" s="18">
        <v>2E-3</v>
      </c>
      <c r="AK4" s="172" t="s">
        <v>204</v>
      </c>
      <c r="AL4" s="36">
        <v>10</v>
      </c>
      <c r="AM4" s="36">
        <v>30</v>
      </c>
      <c r="AN4" s="36">
        <v>100</v>
      </c>
      <c r="AO4" s="36">
        <v>300</v>
      </c>
      <c r="AP4" s="36">
        <v>1000</v>
      </c>
      <c r="AQ4" s="36">
        <v>3000</v>
      </c>
      <c r="AR4" s="173">
        <v>10000</v>
      </c>
    </row>
    <row r="5" spans="3:44">
      <c r="C5" s="19">
        <v>10000</v>
      </c>
      <c r="E5" s="120" t="s">
        <v>219</v>
      </c>
      <c r="G5" s="180" t="s">
        <v>242</v>
      </c>
      <c r="H5" s="181">
        <v>90803270</v>
      </c>
      <c r="I5" s="257">
        <v>200</v>
      </c>
      <c r="J5" s="256">
        <v>200.00024999999999</v>
      </c>
      <c r="K5" s="181">
        <v>1.0000000000000001E-5</v>
      </c>
      <c r="L5" s="183"/>
      <c r="M5" s="108">
        <v>10000</v>
      </c>
      <c r="N5" s="29">
        <v>26</v>
      </c>
      <c r="P5" s="136" t="s">
        <v>219</v>
      </c>
      <c r="Q5" s="29" t="s">
        <v>235</v>
      </c>
      <c r="R5" s="29" t="s">
        <v>236</v>
      </c>
      <c r="S5" s="29" t="s">
        <v>274</v>
      </c>
      <c r="U5" s="148">
        <v>500</v>
      </c>
      <c r="V5" s="21">
        <v>500.00000999999997</v>
      </c>
      <c r="W5" s="151">
        <v>0.08</v>
      </c>
      <c r="Y5" s="150">
        <v>5000</v>
      </c>
      <c r="Z5" s="139">
        <v>5000.0162799999998</v>
      </c>
      <c r="AA5" s="152">
        <v>2.6</v>
      </c>
      <c r="AC5" s="150" t="s">
        <v>72</v>
      </c>
      <c r="AD5" s="19">
        <v>19999.627</v>
      </c>
      <c r="AE5" s="152">
        <v>45</v>
      </c>
      <c r="AG5" s="199" t="s">
        <v>228</v>
      </c>
      <c r="AH5" s="200">
        <v>2.0010000000000002E-3</v>
      </c>
      <c r="AI5" s="18">
        <v>2E-3</v>
      </c>
      <c r="AK5" s="172" t="s">
        <v>205</v>
      </c>
      <c r="AL5" s="36">
        <v>5</v>
      </c>
      <c r="AM5" s="36">
        <v>15</v>
      </c>
      <c r="AN5" s="36">
        <v>50</v>
      </c>
      <c r="AO5" s="36">
        <v>150</v>
      </c>
      <c r="AP5" s="36">
        <v>500</v>
      </c>
      <c r="AQ5" s="36">
        <v>1500</v>
      </c>
      <c r="AR5" s="173">
        <v>5000</v>
      </c>
    </row>
    <row r="6" spans="3:44">
      <c r="C6" s="19">
        <v>5000</v>
      </c>
      <c r="E6" s="29" t="s">
        <v>64</v>
      </c>
      <c r="G6" s="181" t="s">
        <v>243</v>
      </c>
      <c r="H6" s="181">
        <v>90602105</v>
      </c>
      <c r="I6" s="257">
        <v>5000</v>
      </c>
      <c r="J6" s="259">
        <v>4999.9984700000005</v>
      </c>
      <c r="K6" s="181">
        <v>1E-3</v>
      </c>
      <c r="M6" s="108">
        <v>5000</v>
      </c>
      <c r="N6" s="29">
        <v>2.6</v>
      </c>
      <c r="P6" s="29" t="s">
        <v>64</v>
      </c>
      <c r="Q6" s="29" t="s">
        <v>13</v>
      </c>
      <c r="R6" s="29" t="s">
        <v>13</v>
      </c>
      <c r="S6" s="214" t="s">
        <v>274</v>
      </c>
      <c r="U6" s="148">
        <v>200</v>
      </c>
      <c r="V6" s="21">
        <v>200.00001</v>
      </c>
      <c r="W6" s="151">
        <v>0.04</v>
      </c>
      <c r="Y6" s="150" t="s">
        <v>223</v>
      </c>
      <c r="Z6" s="22">
        <v>2000.00152</v>
      </c>
      <c r="AA6" s="152">
        <v>1.4</v>
      </c>
      <c r="AC6" s="150" t="s">
        <v>73</v>
      </c>
      <c r="AD6" s="19">
        <v>20000.346000000001</v>
      </c>
      <c r="AE6" s="152">
        <v>45</v>
      </c>
      <c r="AG6" s="17">
        <v>5.0000000000000001E-3</v>
      </c>
      <c r="AH6" s="200">
        <v>5.0039999999999998E-3</v>
      </c>
      <c r="AI6" s="18">
        <v>2E-3</v>
      </c>
      <c r="AK6" s="172" t="s">
        <v>206</v>
      </c>
      <c r="AL6" s="36">
        <v>2.5</v>
      </c>
      <c r="AM6" s="36">
        <v>7.5</v>
      </c>
      <c r="AN6" s="36">
        <v>25</v>
      </c>
      <c r="AO6" s="36">
        <v>75</v>
      </c>
      <c r="AP6" s="36">
        <v>250</v>
      </c>
      <c r="AQ6" s="36">
        <v>750</v>
      </c>
      <c r="AR6" s="173">
        <v>2500</v>
      </c>
    </row>
    <row r="7" spans="3:44">
      <c r="C7" s="19" t="s">
        <v>223</v>
      </c>
      <c r="E7" s="120" t="s">
        <v>201</v>
      </c>
      <c r="G7" s="29" t="s">
        <v>244</v>
      </c>
      <c r="H7" s="111">
        <v>14904962</v>
      </c>
      <c r="I7" s="258">
        <v>30000</v>
      </c>
      <c r="J7" s="260">
        <v>20000.026000000002</v>
      </c>
      <c r="K7" s="29">
        <v>0.01</v>
      </c>
      <c r="M7" s="108">
        <v>2000</v>
      </c>
      <c r="N7" s="29">
        <v>1.4</v>
      </c>
      <c r="P7" s="136" t="s">
        <v>201</v>
      </c>
      <c r="Q7" s="136" t="s">
        <v>237</v>
      </c>
      <c r="R7" s="29">
        <v>158856</v>
      </c>
      <c r="S7" s="214" t="s">
        <v>275</v>
      </c>
      <c r="U7" s="149" t="s">
        <v>224</v>
      </c>
      <c r="V7" s="21">
        <v>200.00004999999999</v>
      </c>
      <c r="W7" s="151">
        <v>0.04</v>
      </c>
      <c r="Y7" s="148">
        <v>2000</v>
      </c>
      <c r="Z7" s="24">
        <v>1999.9994200000001</v>
      </c>
      <c r="AA7" s="151">
        <v>1.4</v>
      </c>
      <c r="AC7" s="150" t="s">
        <v>74</v>
      </c>
      <c r="AD7" s="19">
        <v>20000.124</v>
      </c>
      <c r="AE7" s="152">
        <v>45</v>
      </c>
      <c r="AG7" s="135">
        <v>0.01</v>
      </c>
      <c r="AH7" s="200">
        <v>1.0002E-2</v>
      </c>
      <c r="AI7" s="18">
        <v>3.0000000000000001E-3</v>
      </c>
      <c r="AK7" s="172" t="s">
        <v>207</v>
      </c>
      <c r="AL7" s="36">
        <v>1</v>
      </c>
      <c r="AM7" s="36">
        <v>3</v>
      </c>
      <c r="AN7" s="36">
        <v>10</v>
      </c>
      <c r="AO7" s="36">
        <v>30</v>
      </c>
      <c r="AP7" s="36">
        <v>100</v>
      </c>
      <c r="AQ7" s="36">
        <v>300</v>
      </c>
      <c r="AR7" s="173">
        <v>1000</v>
      </c>
    </row>
    <row r="8" spans="3:44">
      <c r="C8" s="17">
        <v>2000</v>
      </c>
      <c r="E8" s="17"/>
      <c r="F8" s="140"/>
      <c r="H8" s="217" t="s">
        <v>13</v>
      </c>
      <c r="I8" s="217"/>
      <c r="J8" s="217"/>
      <c r="M8" s="108">
        <v>1000</v>
      </c>
      <c r="N8" s="29">
        <v>1.1000000000000001</v>
      </c>
      <c r="U8" s="148">
        <v>100</v>
      </c>
      <c r="V8" s="21">
        <v>100.00008</v>
      </c>
      <c r="W8" s="151">
        <v>0.03</v>
      </c>
      <c r="Y8" s="148">
        <v>1000</v>
      </c>
      <c r="Z8" s="24">
        <v>1000.00105</v>
      </c>
      <c r="AA8" s="151">
        <v>1.1000000000000001</v>
      </c>
      <c r="AC8" s="150" t="s">
        <v>75</v>
      </c>
      <c r="AD8" s="19">
        <v>20000.153999999999</v>
      </c>
      <c r="AE8" s="152">
        <v>45</v>
      </c>
      <c r="AG8" s="17">
        <v>0.02</v>
      </c>
      <c r="AH8" s="200">
        <v>2.0003E-2</v>
      </c>
      <c r="AI8" s="18">
        <v>3.0000000000000001E-3</v>
      </c>
      <c r="AK8" s="172" t="s">
        <v>208</v>
      </c>
      <c r="AL8" s="36">
        <v>0.5</v>
      </c>
      <c r="AM8" s="36">
        <v>1.5</v>
      </c>
      <c r="AN8" s="36">
        <v>5</v>
      </c>
      <c r="AO8" s="36">
        <v>15</v>
      </c>
      <c r="AP8" s="36">
        <v>50</v>
      </c>
      <c r="AQ8" s="36">
        <v>150</v>
      </c>
      <c r="AR8" s="173">
        <v>500</v>
      </c>
    </row>
    <row r="9" spans="3:44">
      <c r="C9" s="17">
        <v>1000</v>
      </c>
      <c r="M9" s="108">
        <v>500</v>
      </c>
      <c r="N9" s="29">
        <v>1</v>
      </c>
      <c r="U9" s="148">
        <v>50</v>
      </c>
      <c r="V9" s="21">
        <v>50.000019999999999</v>
      </c>
      <c r="W9" s="151">
        <v>0.02</v>
      </c>
      <c r="Y9" s="148">
        <v>500</v>
      </c>
      <c r="Z9" s="24">
        <v>499.99860999999999</v>
      </c>
      <c r="AA9" s="151">
        <v>1</v>
      </c>
      <c r="AC9" s="150" t="s">
        <v>76</v>
      </c>
      <c r="AD9" s="19">
        <v>19999.125</v>
      </c>
      <c r="AE9" s="152">
        <v>45</v>
      </c>
      <c r="AG9" s="199" t="s">
        <v>227</v>
      </c>
      <c r="AH9" s="200">
        <v>2.0004999999999998E-2</v>
      </c>
      <c r="AI9" s="18">
        <v>3.0000000000000001E-3</v>
      </c>
      <c r="AK9" s="172" t="s">
        <v>5</v>
      </c>
      <c r="AL9" s="36">
        <v>0.25</v>
      </c>
      <c r="AM9" s="36">
        <v>0.75</v>
      </c>
      <c r="AN9" s="36">
        <v>2.5</v>
      </c>
      <c r="AO9" s="36">
        <v>7.5</v>
      </c>
      <c r="AP9" s="36">
        <v>25</v>
      </c>
      <c r="AQ9" s="36">
        <v>75</v>
      </c>
      <c r="AR9" s="173">
        <v>250</v>
      </c>
    </row>
    <row r="10" spans="3:44">
      <c r="C10" s="17">
        <v>500</v>
      </c>
      <c r="M10" s="108">
        <v>200</v>
      </c>
      <c r="N10" s="29">
        <v>0.11</v>
      </c>
      <c r="U10" s="148">
        <v>20</v>
      </c>
      <c r="V10" s="23">
        <v>19.999977999999999</v>
      </c>
      <c r="W10" s="151">
        <v>8.9999999999999993E-3</v>
      </c>
      <c r="Y10" s="148">
        <v>200</v>
      </c>
      <c r="Z10" s="24">
        <v>199.99968000000001</v>
      </c>
      <c r="AA10" s="151">
        <v>0.11</v>
      </c>
      <c r="AC10" s="150" t="s">
        <v>77</v>
      </c>
      <c r="AD10" s="19">
        <v>19999.806</v>
      </c>
      <c r="AE10" s="152">
        <v>45</v>
      </c>
      <c r="AG10" s="199">
        <v>0.05</v>
      </c>
      <c r="AH10" s="201">
        <v>5.0005000000000001E-2</v>
      </c>
      <c r="AI10" s="18">
        <v>3.0000000000000001E-3</v>
      </c>
      <c r="AK10" s="172" t="s">
        <v>6</v>
      </c>
      <c r="AL10" s="36">
        <v>0.01</v>
      </c>
      <c r="AM10" s="36">
        <v>0.3</v>
      </c>
      <c r="AN10" s="36">
        <v>1</v>
      </c>
      <c r="AO10" s="36">
        <v>3</v>
      </c>
      <c r="AP10" s="36">
        <v>10</v>
      </c>
      <c r="AQ10" s="36">
        <v>30</v>
      </c>
      <c r="AR10" s="173">
        <v>100</v>
      </c>
    </row>
    <row r="11" spans="3:44">
      <c r="C11" s="17">
        <v>200</v>
      </c>
      <c r="M11" s="108">
        <v>100</v>
      </c>
      <c r="N11" s="29">
        <v>6.7000000000000004E-2</v>
      </c>
      <c r="U11" s="149" t="s">
        <v>225</v>
      </c>
      <c r="V11" s="23">
        <v>19.999977000000001</v>
      </c>
      <c r="W11" s="151">
        <v>8.9999999999999993E-3</v>
      </c>
      <c r="Y11" s="148" t="s">
        <v>224</v>
      </c>
      <c r="Z11" s="24">
        <v>199.99881999999999</v>
      </c>
      <c r="AA11" s="151">
        <v>0.11</v>
      </c>
      <c r="AC11" s="150" t="s">
        <v>78</v>
      </c>
      <c r="AD11" s="19">
        <v>20000.237000000001</v>
      </c>
      <c r="AE11" s="152">
        <v>45</v>
      </c>
      <c r="AG11" s="17">
        <v>0.1</v>
      </c>
      <c r="AH11" s="200">
        <v>0.100008</v>
      </c>
      <c r="AI11" s="18">
        <v>3.0000000000000001E-3</v>
      </c>
      <c r="AK11" s="172" t="s">
        <v>7</v>
      </c>
      <c r="AL11" s="36">
        <v>0.05</v>
      </c>
      <c r="AM11" s="36">
        <v>0.15</v>
      </c>
      <c r="AN11" s="36">
        <v>0.5</v>
      </c>
      <c r="AO11" s="36">
        <v>1.5</v>
      </c>
      <c r="AP11" s="36">
        <v>5</v>
      </c>
      <c r="AQ11" s="36">
        <v>15</v>
      </c>
      <c r="AR11" s="173">
        <v>50</v>
      </c>
    </row>
    <row r="12" spans="3:44">
      <c r="C12" s="135" t="s">
        <v>224</v>
      </c>
      <c r="M12" s="108">
        <v>50</v>
      </c>
      <c r="N12" s="29">
        <v>4.2000000000000003E-2</v>
      </c>
      <c r="U12" s="148">
        <v>10</v>
      </c>
      <c r="V12" s="21">
        <v>9.9999760000000002</v>
      </c>
      <c r="W12" s="151">
        <v>8.0000000000000002E-3</v>
      </c>
      <c r="Y12" s="148">
        <v>100</v>
      </c>
      <c r="Z12" s="24">
        <v>99.999763000000002</v>
      </c>
      <c r="AA12" s="151">
        <v>6.7000000000000004E-2</v>
      </c>
      <c r="AC12" s="150" t="s">
        <v>79</v>
      </c>
      <c r="AD12" s="19">
        <v>19999.831999999999</v>
      </c>
      <c r="AE12" s="152">
        <v>45</v>
      </c>
      <c r="AG12" s="17">
        <v>0.2</v>
      </c>
      <c r="AH12" s="200">
        <v>0.20000899999999999</v>
      </c>
      <c r="AI12" s="18">
        <v>5.0000000000000001E-3</v>
      </c>
      <c r="AK12" s="172" t="s">
        <v>8</v>
      </c>
      <c r="AL12" s="36">
        <v>0.03</v>
      </c>
      <c r="AM12" s="36">
        <v>0.1</v>
      </c>
      <c r="AN12" s="36">
        <v>0.3</v>
      </c>
      <c r="AO12" s="36">
        <v>1</v>
      </c>
      <c r="AP12" s="36">
        <v>3</v>
      </c>
      <c r="AQ12" s="36">
        <v>10</v>
      </c>
      <c r="AR12" s="173">
        <v>30</v>
      </c>
    </row>
    <row r="13" spans="3:44">
      <c r="C13" s="17">
        <v>100</v>
      </c>
      <c r="M13" s="108">
        <v>20</v>
      </c>
      <c r="N13" s="29">
        <v>3.5999999999999997E-2</v>
      </c>
      <c r="U13" s="148">
        <v>5</v>
      </c>
      <c r="V13" s="25">
        <v>5.000006</v>
      </c>
      <c r="W13" s="151">
        <v>7.0000000000000001E-3</v>
      </c>
      <c r="Y13" s="148">
        <v>50</v>
      </c>
      <c r="Z13" s="24">
        <v>49.999814000000001</v>
      </c>
      <c r="AA13" s="151">
        <v>4.2000000000000003E-2</v>
      </c>
      <c r="AC13" s="150" t="s">
        <v>80</v>
      </c>
      <c r="AD13" s="19">
        <v>19999.934000000001</v>
      </c>
      <c r="AE13" s="152">
        <v>45</v>
      </c>
      <c r="AG13" s="199" t="s">
        <v>232</v>
      </c>
      <c r="AH13" s="200">
        <v>0.20000200000000001</v>
      </c>
      <c r="AI13" s="18">
        <v>5.0000000000000001E-3</v>
      </c>
      <c r="AK13" s="172" t="s">
        <v>9</v>
      </c>
      <c r="AL13" s="36">
        <v>2.5000000000000001E-2</v>
      </c>
      <c r="AM13" s="36">
        <v>0.08</v>
      </c>
      <c r="AN13" s="36">
        <v>0.25</v>
      </c>
      <c r="AO13" s="36">
        <v>0.8</v>
      </c>
      <c r="AP13" s="36">
        <v>2.5</v>
      </c>
      <c r="AQ13" s="36">
        <v>8</v>
      </c>
      <c r="AR13" s="173">
        <v>25</v>
      </c>
    </row>
    <row r="14" spans="3:44">
      <c r="C14" s="17">
        <v>50</v>
      </c>
      <c r="M14" s="108">
        <v>10</v>
      </c>
      <c r="N14" s="29">
        <v>3.2000000000000001E-2</v>
      </c>
      <c r="U14" s="148">
        <v>2</v>
      </c>
      <c r="V14" s="18">
        <v>2.000013</v>
      </c>
      <c r="W14" s="151">
        <v>5.0000000000000001E-3</v>
      </c>
      <c r="Y14" s="148">
        <v>20</v>
      </c>
      <c r="Z14" s="26">
        <v>20.000008999999999</v>
      </c>
      <c r="AA14" s="151">
        <v>3.5999999999999997E-2</v>
      </c>
      <c r="AC14" s="150" t="s">
        <v>81</v>
      </c>
      <c r="AD14" s="19">
        <v>19999.845000000001</v>
      </c>
      <c r="AE14" s="152">
        <v>45</v>
      </c>
      <c r="AG14" s="17">
        <v>0.5</v>
      </c>
      <c r="AH14" s="201">
        <v>0.50000599999999995</v>
      </c>
      <c r="AI14" s="18">
        <v>6.0000000000000001E-3</v>
      </c>
      <c r="AK14" s="172" t="s">
        <v>209</v>
      </c>
      <c r="AL14" s="36">
        <v>0.02</v>
      </c>
      <c r="AM14" s="36">
        <v>0.06</v>
      </c>
      <c r="AN14" s="36">
        <v>0.2</v>
      </c>
      <c r="AO14" s="36">
        <v>0.6</v>
      </c>
      <c r="AP14" s="36">
        <v>2</v>
      </c>
      <c r="AQ14" s="36">
        <v>6</v>
      </c>
      <c r="AR14" s="173">
        <v>20</v>
      </c>
    </row>
    <row r="15" spans="3:44">
      <c r="C15" s="17">
        <v>20</v>
      </c>
      <c r="M15" s="108">
        <v>5</v>
      </c>
      <c r="N15" s="29">
        <v>2.9000000000000001E-2</v>
      </c>
      <c r="U15" s="149" t="s">
        <v>226</v>
      </c>
      <c r="V15" s="18">
        <v>2.0000149999999999</v>
      </c>
      <c r="W15" s="151">
        <v>5.0000000000000001E-3</v>
      </c>
      <c r="Y15" s="148" t="s">
        <v>225</v>
      </c>
      <c r="Z15" s="26">
        <v>20.000048</v>
      </c>
      <c r="AA15" s="151">
        <v>3.5999999999999997E-2</v>
      </c>
      <c r="AC15" s="150" t="s">
        <v>82</v>
      </c>
      <c r="AD15" s="19">
        <v>20000.802</v>
      </c>
      <c r="AE15" s="152">
        <v>45</v>
      </c>
      <c r="AG15" s="135">
        <v>1</v>
      </c>
      <c r="AH15" s="18">
        <v>1.000016</v>
      </c>
      <c r="AI15" s="18">
        <v>7.0000000000000001E-3</v>
      </c>
      <c r="AK15" s="172" t="s">
        <v>10</v>
      </c>
      <c r="AL15" s="36">
        <v>1.4999999999999999E-2</v>
      </c>
      <c r="AM15" s="36">
        <v>0.05</v>
      </c>
      <c r="AN15" s="36">
        <v>0.15</v>
      </c>
      <c r="AO15" s="36">
        <v>0.5</v>
      </c>
      <c r="AP15" s="36">
        <v>1.5</v>
      </c>
      <c r="AQ15" s="36">
        <v>5</v>
      </c>
      <c r="AR15" s="173">
        <v>15</v>
      </c>
    </row>
    <row r="16" spans="3:44">
      <c r="C16" s="135" t="s">
        <v>225</v>
      </c>
      <c r="M16" s="108">
        <v>2</v>
      </c>
      <c r="N16" s="29">
        <v>2.8000000000000001E-2</v>
      </c>
      <c r="U16" s="148">
        <v>1</v>
      </c>
      <c r="V16" s="18">
        <v>0.99999700000000002</v>
      </c>
      <c r="W16" s="151">
        <v>5.0000000000000001E-3</v>
      </c>
      <c r="Y16" s="148">
        <v>10</v>
      </c>
      <c r="Z16" s="24">
        <v>10.000017</v>
      </c>
      <c r="AA16" s="151">
        <v>3.2000000000000001E-2</v>
      </c>
      <c r="AC16" s="150" t="s">
        <v>83</v>
      </c>
      <c r="AD16" s="19">
        <v>19999.575000000001</v>
      </c>
      <c r="AE16" s="152">
        <v>45</v>
      </c>
      <c r="AG16" s="17">
        <v>2</v>
      </c>
      <c r="AH16" s="18">
        <v>1.999992</v>
      </c>
      <c r="AI16" s="18">
        <v>8.9999999999999993E-3</v>
      </c>
      <c r="AK16" s="172" t="s">
        <v>11</v>
      </c>
      <c r="AL16" s="36">
        <v>1.2E-2</v>
      </c>
      <c r="AM16" s="36">
        <v>0.04</v>
      </c>
      <c r="AN16" s="36">
        <v>0.12</v>
      </c>
      <c r="AO16" s="36">
        <v>0.4</v>
      </c>
      <c r="AP16" s="36">
        <v>1.2</v>
      </c>
      <c r="AQ16" s="36">
        <v>4</v>
      </c>
      <c r="AR16" s="173">
        <v>12</v>
      </c>
    </row>
    <row r="17" spans="3:44">
      <c r="C17" s="17">
        <v>10</v>
      </c>
      <c r="M17" s="108">
        <v>1</v>
      </c>
      <c r="N17" s="29">
        <v>2.7E-2</v>
      </c>
      <c r="U17" s="148">
        <v>0.5</v>
      </c>
      <c r="V17" s="19">
        <v>0.50001799999999996</v>
      </c>
      <c r="W17" s="152">
        <v>4.0000000000000001E-3</v>
      </c>
      <c r="Y17" s="148">
        <v>5</v>
      </c>
      <c r="Z17" s="24">
        <v>4.9999399999999996</v>
      </c>
      <c r="AA17" s="151">
        <v>0.05</v>
      </c>
      <c r="AC17" s="150" t="s">
        <v>84</v>
      </c>
      <c r="AD17" s="19">
        <v>20000.329000000002</v>
      </c>
      <c r="AE17" s="152">
        <v>45</v>
      </c>
      <c r="AG17" s="199" t="s">
        <v>226</v>
      </c>
      <c r="AH17" s="19">
        <v>1.9999910000000001</v>
      </c>
      <c r="AI17" s="18">
        <v>8.9999999999999993E-3</v>
      </c>
      <c r="AK17" s="172" t="s">
        <v>12</v>
      </c>
      <c r="AL17" s="36">
        <v>0.01</v>
      </c>
      <c r="AM17" s="36">
        <v>0.03</v>
      </c>
      <c r="AN17" s="36">
        <v>0.1</v>
      </c>
      <c r="AO17" s="36">
        <v>0.3</v>
      </c>
      <c r="AP17" s="36">
        <v>1</v>
      </c>
      <c r="AQ17" s="36">
        <v>3</v>
      </c>
      <c r="AR17" s="173">
        <v>10</v>
      </c>
    </row>
    <row r="18" spans="3:44">
      <c r="C18" s="17">
        <v>5</v>
      </c>
      <c r="M18" s="108">
        <v>0.5</v>
      </c>
      <c r="N18" s="29">
        <v>2.7E-2</v>
      </c>
      <c r="U18" s="148">
        <v>0.2</v>
      </c>
      <c r="V18" s="19">
        <v>0.200013</v>
      </c>
      <c r="W18" s="152">
        <v>3.0000000000000001E-3</v>
      </c>
      <c r="Y18" s="148">
        <v>2</v>
      </c>
      <c r="Z18" s="24">
        <v>2</v>
      </c>
      <c r="AA18" s="151">
        <v>0.04</v>
      </c>
      <c r="AC18" s="150" t="s">
        <v>85</v>
      </c>
      <c r="AD18" s="19">
        <v>20000.932000000001</v>
      </c>
      <c r="AE18" s="152">
        <v>45</v>
      </c>
      <c r="AG18" s="17">
        <v>5</v>
      </c>
      <c r="AH18" s="18">
        <v>5.0000229999999997</v>
      </c>
      <c r="AI18" s="18">
        <v>1.0999999999999999E-2</v>
      </c>
      <c r="AK18" s="172" t="s">
        <v>210</v>
      </c>
      <c r="AL18" s="36">
        <v>8.0000000000000002E-3</v>
      </c>
      <c r="AM18" s="36">
        <v>2.5000000000000001E-2</v>
      </c>
      <c r="AN18" s="36">
        <v>0.08</v>
      </c>
      <c r="AO18" s="36">
        <v>0.25</v>
      </c>
      <c r="AP18" s="36">
        <v>0.8</v>
      </c>
      <c r="AQ18" s="36">
        <v>2.5</v>
      </c>
      <c r="AR18" s="173" t="s">
        <v>13</v>
      </c>
    </row>
    <row r="19" spans="3:44">
      <c r="C19" s="17">
        <v>2</v>
      </c>
      <c r="M19" s="108">
        <v>0.2</v>
      </c>
      <c r="N19" s="29">
        <v>2.5999999999999999E-2</v>
      </c>
      <c r="U19" s="150" t="s">
        <v>232</v>
      </c>
      <c r="V19" s="19">
        <v>0.200015</v>
      </c>
      <c r="W19" s="152">
        <v>3.0000000000000001E-3</v>
      </c>
      <c r="Y19" s="148" t="s">
        <v>226</v>
      </c>
      <c r="Z19" s="27">
        <v>1.9999800000000001</v>
      </c>
      <c r="AA19" s="151">
        <v>0.04</v>
      </c>
      <c r="AC19" s="150" t="s">
        <v>86</v>
      </c>
      <c r="AD19" s="19">
        <v>20001.683000000001</v>
      </c>
      <c r="AE19" s="152">
        <v>45</v>
      </c>
      <c r="AG19" s="135">
        <v>10</v>
      </c>
      <c r="AH19" s="18">
        <v>10.000033</v>
      </c>
      <c r="AI19" s="18">
        <v>1.4E-2</v>
      </c>
      <c r="AK19" s="172" t="s">
        <v>211</v>
      </c>
      <c r="AL19" s="36">
        <v>6.0000000000000001E-3</v>
      </c>
      <c r="AM19" s="36">
        <v>0.02</v>
      </c>
      <c r="AN19" s="36">
        <v>0.06</v>
      </c>
      <c r="AO19" s="36">
        <v>0.2</v>
      </c>
      <c r="AP19" s="36">
        <v>0.6</v>
      </c>
      <c r="AQ19" s="36">
        <v>2</v>
      </c>
      <c r="AR19" s="173" t="s">
        <v>13</v>
      </c>
    </row>
    <row r="20" spans="3:44">
      <c r="C20" s="135" t="s">
        <v>226</v>
      </c>
      <c r="M20" s="108">
        <v>0.1</v>
      </c>
      <c r="N20" s="29">
        <v>2.5999999999999999E-2</v>
      </c>
      <c r="U20" s="156">
        <v>0.1</v>
      </c>
      <c r="V20" s="157">
        <v>0.10000299999999999</v>
      </c>
      <c r="W20" s="158">
        <v>2E-3</v>
      </c>
      <c r="Y20" s="156">
        <v>1</v>
      </c>
      <c r="Z20" s="163">
        <v>1</v>
      </c>
      <c r="AA20" s="164">
        <v>0.03</v>
      </c>
      <c r="AC20" s="150" t="s">
        <v>87</v>
      </c>
      <c r="AD20" s="19">
        <v>10001.616900000001</v>
      </c>
      <c r="AE20" s="152">
        <v>26</v>
      </c>
      <c r="AG20" s="17">
        <v>20</v>
      </c>
      <c r="AH20" s="18">
        <v>20.000035</v>
      </c>
      <c r="AI20" s="18">
        <v>1.7999999999999999E-2</v>
      </c>
      <c r="AK20" s="172" t="s">
        <v>212</v>
      </c>
      <c r="AL20" s="36">
        <v>5.0000000000000001E-3</v>
      </c>
      <c r="AM20" s="36">
        <v>1.4999999999999999E-2</v>
      </c>
      <c r="AN20" s="36">
        <v>0.05</v>
      </c>
      <c r="AO20" s="36">
        <v>0.15</v>
      </c>
      <c r="AP20" s="36">
        <v>0.5</v>
      </c>
      <c r="AQ20" s="36">
        <v>1.5</v>
      </c>
      <c r="AR20" s="173" t="s">
        <v>13</v>
      </c>
    </row>
    <row r="21" spans="3:44">
      <c r="C21" s="17">
        <v>1</v>
      </c>
      <c r="M21" s="108">
        <v>0.05</v>
      </c>
      <c r="N21" s="29">
        <v>2.5999999999999999E-2</v>
      </c>
      <c r="AC21" s="150" t="s">
        <v>88</v>
      </c>
      <c r="AD21" s="19">
        <v>4998.9960000000001</v>
      </c>
      <c r="AE21" s="152">
        <v>5.7</v>
      </c>
      <c r="AG21" s="199" t="s">
        <v>225</v>
      </c>
      <c r="AH21" s="18">
        <v>20.000038</v>
      </c>
      <c r="AI21" s="19">
        <v>1.7999999999999999E-2</v>
      </c>
      <c r="AK21" s="172" t="s">
        <v>213</v>
      </c>
      <c r="AL21" s="36">
        <v>4.0000000000000001E-3</v>
      </c>
      <c r="AM21" s="36">
        <v>1.2E-2</v>
      </c>
      <c r="AN21" s="36">
        <v>0.04</v>
      </c>
      <c r="AO21" s="36">
        <v>0.12</v>
      </c>
      <c r="AP21" s="36">
        <v>0.4</v>
      </c>
      <c r="AQ21" s="36" t="s">
        <v>13</v>
      </c>
      <c r="AR21" s="173" t="s">
        <v>13</v>
      </c>
    </row>
    <row r="22" spans="3:44">
      <c r="C22" s="17">
        <v>0.5</v>
      </c>
      <c r="M22" s="108">
        <v>0.02</v>
      </c>
      <c r="N22" s="29">
        <v>2.5999999999999999E-2</v>
      </c>
      <c r="AC22" s="150" t="s">
        <v>89</v>
      </c>
      <c r="AD22" s="19">
        <v>9999.5660000000007</v>
      </c>
      <c r="AE22" s="152">
        <v>26</v>
      </c>
      <c r="AG22" s="17">
        <v>50</v>
      </c>
      <c r="AH22" s="19">
        <v>50.000019999999999</v>
      </c>
      <c r="AI22" s="19">
        <v>0.03</v>
      </c>
      <c r="AK22" s="172" t="s">
        <v>214</v>
      </c>
      <c r="AL22" s="36">
        <v>3.0000000000000001E-3</v>
      </c>
      <c r="AM22" s="36">
        <v>0.01</v>
      </c>
      <c r="AN22" s="36">
        <v>0.03</v>
      </c>
      <c r="AO22" s="36">
        <v>0.1</v>
      </c>
      <c r="AP22" s="36">
        <v>0.3</v>
      </c>
      <c r="AQ22" s="36" t="s">
        <v>13</v>
      </c>
      <c r="AR22" s="173" t="s">
        <v>13</v>
      </c>
    </row>
    <row r="23" spans="3:44">
      <c r="C23" s="17">
        <v>0.2</v>
      </c>
      <c r="M23" s="108">
        <v>0.01</v>
      </c>
      <c r="N23" s="29">
        <v>2.5999999999999999E-2</v>
      </c>
      <c r="V23" s="28"/>
      <c r="AC23" s="150" t="s">
        <v>91</v>
      </c>
      <c r="AD23" s="22">
        <v>19999.312000000002</v>
      </c>
      <c r="AE23" s="152">
        <v>45</v>
      </c>
      <c r="AG23" s="17">
        <v>100</v>
      </c>
      <c r="AH23" s="19">
        <v>100.00029000000001</v>
      </c>
      <c r="AI23" s="19">
        <v>0.05</v>
      </c>
      <c r="AK23" s="172" t="s">
        <v>215</v>
      </c>
      <c r="AL23" s="36">
        <v>2E-3</v>
      </c>
      <c r="AM23" s="36">
        <v>8.0000000000000002E-3</v>
      </c>
      <c r="AN23" s="36">
        <v>2.5000000000000001E-2</v>
      </c>
      <c r="AO23" s="36">
        <v>0.08</v>
      </c>
      <c r="AP23" s="36">
        <v>0.25</v>
      </c>
      <c r="AQ23" s="36" t="s">
        <v>13</v>
      </c>
      <c r="AR23" s="173" t="s">
        <v>13</v>
      </c>
    </row>
    <row r="24" spans="3:44">
      <c r="C24" s="19" t="s">
        <v>232</v>
      </c>
      <c r="M24" s="108">
        <v>5.0000000000000001E-3</v>
      </c>
      <c r="N24" s="29">
        <v>2.5999999999999999E-2</v>
      </c>
      <c r="AC24" s="150" t="s">
        <v>93</v>
      </c>
      <c r="AD24" s="22">
        <v>19999.189999999999</v>
      </c>
      <c r="AE24" s="152">
        <v>45</v>
      </c>
      <c r="AG24" s="17">
        <v>200</v>
      </c>
      <c r="AH24" s="202">
        <v>200.00024999999999</v>
      </c>
      <c r="AI24" s="19">
        <v>0.08</v>
      </c>
      <c r="AK24" s="172" t="s">
        <v>216</v>
      </c>
      <c r="AL24" s="36">
        <v>2E-3</v>
      </c>
      <c r="AM24" s="36">
        <v>6.0000000000000001E-3</v>
      </c>
      <c r="AN24" s="36">
        <v>0.02</v>
      </c>
      <c r="AO24" s="36">
        <v>0.06</v>
      </c>
      <c r="AP24" s="36">
        <v>0.2</v>
      </c>
      <c r="AQ24" s="36" t="s">
        <v>13</v>
      </c>
      <c r="AR24" s="173" t="s">
        <v>13</v>
      </c>
    </row>
    <row r="25" spans="3:44">
      <c r="C25" s="17">
        <v>0.1</v>
      </c>
      <c r="M25" s="108">
        <v>2E-3</v>
      </c>
      <c r="N25" s="29">
        <v>2.5999999999999999E-2</v>
      </c>
      <c r="AC25" s="150" t="s">
        <v>94</v>
      </c>
      <c r="AD25" s="22">
        <v>19999.069</v>
      </c>
      <c r="AE25" s="152">
        <v>45</v>
      </c>
      <c r="AG25" s="199" t="s">
        <v>224</v>
      </c>
      <c r="AH25" s="19">
        <v>200.00024999999999</v>
      </c>
      <c r="AI25" s="19">
        <v>0.08</v>
      </c>
      <c r="AK25" s="172" t="s">
        <v>217</v>
      </c>
      <c r="AL25" s="36">
        <v>2E-3</v>
      </c>
      <c r="AM25" s="36">
        <v>6.0000000000000001E-3</v>
      </c>
      <c r="AN25" s="36">
        <v>0.02</v>
      </c>
      <c r="AO25" s="36">
        <v>0.06</v>
      </c>
      <c r="AP25" s="36">
        <v>0.2</v>
      </c>
      <c r="AQ25" s="36" t="s">
        <v>13</v>
      </c>
      <c r="AR25" s="173" t="s">
        <v>13</v>
      </c>
    </row>
    <row r="26" spans="3:44">
      <c r="C26" s="134">
        <v>0.05</v>
      </c>
      <c r="M26" s="108">
        <v>1E-3</v>
      </c>
      <c r="N26" s="29">
        <v>2.5999999999999999E-2</v>
      </c>
      <c r="AC26" s="150" t="s">
        <v>96</v>
      </c>
      <c r="AD26" s="22">
        <v>19999.281999999999</v>
      </c>
      <c r="AE26" s="152">
        <v>45</v>
      </c>
      <c r="AG26" s="17">
        <v>500</v>
      </c>
      <c r="AH26" s="19">
        <v>500.00074999999998</v>
      </c>
      <c r="AI26" s="19">
        <v>0.16</v>
      </c>
      <c r="AK26" s="177" t="s">
        <v>218</v>
      </c>
      <c r="AL26" s="178">
        <v>2E-3</v>
      </c>
      <c r="AM26" s="178">
        <v>6.0000000000000001E-3</v>
      </c>
      <c r="AN26" s="178">
        <v>0.02</v>
      </c>
      <c r="AO26" s="178">
        <v>0.06</v>
      </c>
      <c r="AP26" s="178">
        <v>0.2</v>
      </c>
      <c r="AQ26" s="178" t="s">
        <v>13</v>
      </c>
      <c r="AR26" s="179" t="s">
        <v>13</v>
      </c>
    </row>
    <row r="27" spans="3:44">
      <c r="C27" s="134">
        <v>0.02</v>
      </c>
      <c r="M27" s="108"/>
      <c r="N27" s="29"/>
      <c r="AC27" s="150" t="s">
        <v>98</v>
      </c>
      <c r="AD27" s="22">
        <v>19999.268</v>
      </c>
      <c r="AE27" s="152">
        <v>45</v>
      </c>
      <c r="AG27" s="17">
        <v>1000</v>
      </c>
      <c r="AH27" s="19">
        <v>1000.00094</v>
      </c>
      <c r="AI27" s="19">
        <v>0.16</v>
      </c>
    </row>
    <row r="28" spans="3:44">
      <c r="C28" s="134" t="s">
        <v>227</v>
      </c>
      <c r="AC28" s="150" t="s">
        <v>99</v>
      </c>
      <c r="AD28" s="22">
        <v>19999.330000000002</v>
      </c>
      <c r="AE28" s="152">
        <v>45</v>
      </c>
      <c r="AG28" s="159"/>
      <c r="AH28" s="33"/>
      <c r="AI28" s="158"/>
    </row>
    <row r="29" spans="3:44">
      <c r="C29" s="134">
        <v>0.01</v>
      </c>
      <c r="AC29" s="150" t="s">
        <v>101</v>
      </c>
      <c r="AD29" s="22">
        <v>19999.21</v>
      </c>
      <c r="AE29" s="152">
        <v>45</v>
      </c>
    </row>
    <row r="30" spans="3:44">
      <c r="C30" s="134">
        <v>5.0000000000000001E-3</v>
      </c>
      <c r="AC30" s="150" t="s">
        <v>103</v>
      </c>
      <c r="AD30" s="22">
        <v>20000.486000000001</v>
      </c>
      <c r="AE30" s="152">
        <v>45</v>
      </c>
    </row>
    <row r="31" spans="3:44">
      <c r="C31" s="134">
        <v>2E-3</v>
      </c>
      <c r="AC31" s="168" t="s">
        <v>104</v>
      </c>
      <c r="AD31" s="169">
        <v>19999.254000000001</v>
      </c>
      <c r="AE31" s="158">
        <v>45</v>
      </c>
    </row>
    <row r="32" spans="3:44">
      <c r="C32" s="134" t="s">
        <v>228</v>
      </c>
    </row>
    <row r="33" spans="3:3">
      <c r="C33" s="134">
        <v>1E-3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B2:K10"/>
  <sheetViews>
    <sheetView workbookViewId="0">
      <selection activeCell="D13" sqref="D13"/>
    </sheetView>
  </sheetViews>
  <sheetFormatPr defaultColWidth="9" defaultRowHeight="14.4"/>
  <cols>
    <col min="1" max="1" width="1.88671875" style="1" customWidth="1"/>
    <col min="2" max="2" width="12.6640625" style="1" customWidth="1"/>
    <col min="3" max="4" width="10.88671875" style="1" customWidth="1"/>
    <col min="5" max="16384" width="9" style="1"/>
  </cols>
  <sheetData>
    <row r="2" spans="2:11">
      <c r="B2" s="2"/>
      <c r="C2" s="3" t="s">
        <v>180</v>
      </c>
      <c r="D2" s="4" t="s">
        <v>110</v>
      </c>
      <c r="F2" s="5" t="s">
        <v>181</v>
      </c>
      <c r="G2" s="6"/>
      <c r="H2" s="6"/>
      <c r="I2" s="6"/>
      <c r="J2" s="12"/>
      <c r="K2" s="12"/>
    </row>
    <row r="3" spans="2:11">
      <c r="B3" s="4" t="s">
        <v>182</v>
      </c>
      <c r="C3" s="4">
        <f>'U95'!C2</f>
        <v>20.399999999999999</v>
      </c>
      <c r="D3" s="4">
        <f>'U95'!C5</f>
        <v>64.3</v>
      </c>
      <c r="F3" s="7" t="s">
        <v>183</v>
      </c>
      <c r="G3" s="6"/>
      <c r="H3" s="6"/>
      <c r="I3" s="7" t="s">
        <v>184</v>
      </c>
      <c r="J3" s="6"/>
      <c r="K3" s="12"/>
    </row>
    <row r="4" spans="2:11">
      <c r="B4" s="4" t="s">
        <v>185</v>
      </c>
      <c r="C4" s="4">
        <f>'U95'!C3</f>
        <v>20.9</v>
      </c>
      <c r="D4" s="4">
        <f>'U95'!C6</f>
        <v>62.8</v>
      </c>
      <c r="F4" s="8" t="s">
        <v>186</v>
      </c>
      <c r="G4" s="8" t="s">
        <v>187</v>
      </c>
      <c r="H4" s="3" t="s">
        <v>188</v>
      </c>
      <c r="I4" s="8" t="s">
        <v>189</v>
      </c>
      <c r="J4" s="8" t="s">
        <v>187</v>
      </c>
      <c r="K4" s="4" t="s">
        <v>188</v>
      </c>
    </row>
    <row r="5" spans="2:11">
      <c r="B5" s="4" t="s">
        <v>190</v>
      </c>
      <c r="C5" s="9">
        <f>AVERAGE(C3:C4)</f>
        <v>20.65</v>
      </c>
      <c r="D5" s="4">
        <f>AVERAGE(D3:D4)</f>
        <v>63.55</v>
      </c>
      <c r="F5" s="3">
        <v>20</v>
      </c>
      <c r="G5" s="3">
        <v>0.1</v>
      </c>
      <c r="H5" s="3">
        <v>2</v>
      </c>
      <c r="I5" s="3">
        <v>40</v>
      </c>
      <c r="J5" s="3">
        <v>0.2</v>
      </c>
      <c r="K5" s="4">
        <v>2.5</v>
      </c>
    </row>
    <row r="6" spans="2:11">
      <c r="B6" s="3" t="s">
        <v>191</v>
      </c>
      <c r="C6" s="10">
        <f>C5+FORECAST(C5,G5:G9,F5:F9)</f>
        <v>20.683999999999997</v>
      </c>
      <c r="D6" s="9">
        <f>D5+FORECAST(D5,J5:J9,I5:I9)</f>
        <v>63.280299999999997</v>
      </c>
      <c r="F6" s="3">
        <v>25</v>
      </c>
      <c r="G6" s="3">
        <v>-0.2</v>
      </c>
      <c r="H6" s="2">
        <v>2</v>
      </c>
      <c r="I6" s="3">
        <v>50</v>
      </c>
      <c r="J6" s="3">
        <v>-0.3</v>
      </c>
      <c r="K6" s="4">
        <v>2.8</v>
      </c>
    </row>
    <row r="7" spans="2:11">
      <c r="B7" s="4" t="s">
        <v>188</v>
      </c>
      <c r="C7" s="10">
        <v>2</v>
      </c>
      <c r="D7" s="10">
        <f>FORECAST(D6,K5:K9,I5:I9)</f>
        <v>2.6003182000000002</v>
      </c>
      <c r="F7" s="3">
        <v>30</v>
      </c>
      <c r="G7" s="3">
        <v>-0.3</v>
      </c>
      <c r="H7" s="2">
        <v>2</v>
      </c>
      <c r="I7" s="3">
        <v>60</v>
      </c>
      <c r="J7" s="3">
        <v>-0.3</v>
      </c>
      <c r="K7" s="4">
        <v>3.2</v>
      </c>
    </row>
    <row r="8" spans="2:11">
      <c r="B8" s="4" t="s">
        <v>192</v>
      </c>
      <c r="C8" s="10">
        <f>(MAX(C3:C4)-C5+C5-MIN(C3:C4))/2</f>
        <v>0.25</v>
      </c>
      <c r="D8" s="10">
        <f>(MAX(D3:D4)-D5+D5-MIN(D3:D4))/2</f>
        <v>0.75</v>
      </c>
      <c r="F8" s="3">
        <v>35</v>
      </c>
      <c r="G8" s="3">
        <v>-0.6</v>
      </c>
      <c r="H8" s="2">
        <v>2</v>
      </c>
      <c r="I8" s="3">
        <v>70</v>
      </c>
      <c r="J8" s="3">
        <v>-0.1</v>
      </c>
      <c r="K8" s="4">
        <v>2</v>
      </c>
    </row>
    <row r="9" spans="2:11">
      <c r="B9" s="4" t="s">
        <v>193</v>
      </c>
      <c r="C9" s="10">
        <f>C7+C8</f>
        <v>2.25</v>
      </c>
      <c r="D9" s="10">
        <f>D7+D8</f>
        <v>3.3503182000000002</v>
      </c>
      <c r="F9" s="3">
        <v>40</v>
      </c>
      <c r="G9" s="3">
        <v>-0.7</v>
      </c>
      <c r="H9" s="2">
        <v>2</v>
      </c>
      <c r="I9" s="3">
        <v>80</v>
      </c>
      <c r="J9" s="3">
        <v>-0.6</v>
      </c>
      <c r="K9" s="4">
        <v>2.6</v>
      </c>
    </row>
    <row r="10" spans="2:11">
      <c r="B10" s="11" t="s">
        <v>194</v>
      </c>
      <c r="C10" s="4" t="str">
        <f>FIXED(C6,1)&amp;" ± "&amp;FIXED(C8,1)</f>
        <v>20,7 ± 0,3</v>
      </c>
      <c r="D10" s="4" t="str">
        <f>FIXED(D6,1)&amp;" ± "&amp;FIXED(D8,1)</f>
        <v>63,3 ± 0,8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FORM Baru</vt:lpstr>
      <vt:lpstr>U95</vt:lpstr>
      <vt:lpstr>Adjustment</vt:lpstr>
      <vt:lpstr>Sertifikat</vt:lpstr>
      <vt:lpstr>Sertifikat dengan Logo</vt:lpstr>
      <vt:lpstr>Database</vt:lpstr>
      <vt:lpstr>Koreksi themohygro rotronic 202</vt:lpstr>
      <vt:lpstr>Sertifikat!Print_Area</vt:lpstr>
      <vt:lpstr>'Sertifikat dengan Logo'!Print_Area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drw1770</dc:creator>
  <cp:lastModifiedBy>Athalla Abhiyoga</cp:lastModifiedBy>
  <cp:lastPrinted>2026-04-01T07:52:19Z</cp:lastPrinted>
  <dcterms:created xsi:type="dcterms:W3CDTF">2022-04-27T09:33:00Z</dcterms:created>
  <dcterms:modified xsi:type="dcterms:W3CDTF">2026-04-08T22:56:24Z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47232675569D4D7DA5E853AA895FF55A_12</vt:lpwstr>
  </property>
  <property fmtid="{D5CDD505-2E9C-101B-9397-08002B2CF9AE}" pid="3" name="KSOProductBuildVer">
    <vt:lpwstr>1033-12.2.0.21546</vt:lpwstr>
  </property>
</Properties>
</file>