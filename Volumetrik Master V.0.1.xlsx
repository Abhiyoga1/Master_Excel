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e65d6d73070849b/Desktop/Master Excel Budget Ketidakpastian/Volumetrik/"/>
    </mc:Choice>
  </mc:AlternateContent>
  <xr:revisionPtr revIDLastSave="1214" documentId="8_{07A927E9-0156-4C85-8695-16F82A91A1D9}" xr6:coauthVersionLast="47" xr6:coauthVersionMax="47" xr10:uidLastSave="{B0027FDD-5A0F-4E47-AEF8-BE88CA26989B}"/>
  <bookViews>
    <workbookView xWindow="-108" yWindow="-108" windowWidth="23256" windowHeight="12456" tabRatio="683" activeTab="3" xr2:uid="{00000000-000D-0000-FFFF-FFFF00000000}"/>
  </bookViews>
  <sheets>
    <sheet name="Isian " sheetId="11" r:id="rId1"/>
    <sheet name="Pengambilan Data " sheetId="1" r:id="rId2"/>
    <sheet name="Peralatan &amp; Koefisien  " sheetId="7" r:id="rId3"/>
    <sheet name="Budget Ketidakpastian " sheetId="6" r:id="rId4"/>
    <sheet name="Sertifikat " sheetId="9" r:id="rId5"/>
    <sheet name="Thermohygro " sheetId="12" r:id="rId6"/>
    <sheet name="Database " sheetId="8" r:id="rId7"/>
  </sheets>
  <definedNames>
    <definedName name="_xlnm.Print_Area" localSheetId="1">'Pengambilan Data '!$L$1:$R$95</definedName>
    <definedName name="_xlnm.Print_Area" localSheetId="4">'Sertifikat '!$A$1:$L$105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6" l="1"/>
  <c r="K30" i="6" s="1" a="1"/>
  <c r="K30" i="6" s="1"/>
  <c r="G91" i="9" s="1"/>
  <c r="G95" i="9"/>
  <c r="G94" i="9"/>
  <c r="G93" i="9"/>
  <c r="G92" i="9"/>
  <c r="E95" i="9"/>
  <c r="E94" i="9"/>
  <c r="E93" i="9"/>
  <c r="E92" i="9"/>
  <c r="C95" i="9"/>
  <c r="C94" i="9"/>
  <c r="C93" i="9"/>
  <c r="C92" i="9"/>
  <c r="C91" i="9"/>
  <c r="E91" i="9" s="1"/>
  <c r="D111" i="6"/>
  <c r="K131" i="6" a="1"/>
  <c r="K131" i="6" s="1"/>
  <c r="K106" i="6" a="1"/>
  <c r="K106" i="6" s="1"/>
  <c r="K81" i="6" a="1"/>
  <c r="K81" i="6" s="1"/>
  <c r="D86" i="6"/>
  <c r="D61" i="6"/>
  <c r="D36" i="6"/>
  <c r="C61" i="6"/>
  <c r="C111" i="6"/>
  <c r="C86" i="6"/>
  <c r="C36" i="6"/>
  <c r="I49" i="8" a="1"/>
  <c r="I49" i="8" s="1"/>
  <c r="K56" i="6" a="1"/>
  <c r="K56" i="6" s="1"/>
  <c r="C10" i="6"/>
  <c r="AD2" i="7"/>
  <c r="AB2" i="7"/>
  <c r="X2" i="7"/>
  <c r="V2" i="7"/>
  <c r="I122" i="6"/>
  <c r="I123" i="6"/>
  <c r="I97" i="6"/>
  <c r="I98" i="6"/>
  <c r="I72" i="6"/>
  <c r="I73" i="6"/>
  <c r="I47" i="6"/>
  <c r="I48" i="6"/>
  <c r="E120" i="6"/>
  <c r="H120" i="6" s="1"/>
  <c r="E121" i="6"/>
  <c r="H121" i="6" s="1"/>
  <c r="E122" i="6"/>
  <c r="H122" i="6" s="1"/>
  <c r="E95" i="6"/>
  <c r="H95" i="6" s="1"/>
  <c r="E96" i="6"/>
  <c r="H96" i="6" s="1"/>
  <c r="E97" i="6"/>
  <c r="H97" i="6" s="1"/>
  <c r="J97" i="6" s="1"/>
  <c r="K97" i="6" s="1"/>
  <c r="L97" i="6" s="1"/>
  <c r="E70" i="6"/>
  <c r="H70" i="6" s="1"/>
  <c r="E71" i="6"/>
  <c r="H71" i="6" s="1"/>
  <c r="E72" i="6"/>
  <c r="H72" i="6" s="1"/>
  <c r="E45" i="6"/>
  <c r="H45" i="6" s="1"/>
  <c r="E46" i="6"/>
  <c r="H46" i="6" s="1"/>
  <c r="E47" i="6"/>
  <c r="H47" i="6"/>
  <c r="B53" i="7"/>
  <c r="B43" i="7"/>
  <c r="B33" i="7"/>
  <c r="B23" i="7"/>
  <c r="B13" i="7"/>
  <c r="D55" i="7"/>
  <c r="D45" i="7"/>
  <c r="D35" i="7"/>
  <c r="D25" i="7"/>
  <c r="AD10" i="7"/>
  <c r="AB10" i="7"/>
  <c r="Z10" i="7"/>
  <c r="X10" i="7"/>
  <c r="N137" i="7"/>
  <c r="N109" i="7"/>
  <c r="N81" i="7"/>
  <c r="N53" i="7"/>
  <c r="I113" i="7"/>
  <c r="I85" i="7"/>
  <c r="I57" i="7"/>
  <c r="I29" i="7"/>
  <c r="I1" i="7"/>
  <c r="L137" i="7"/>
  <c r="L135" i="7"/>
  <c r="N135" i="7" s="1"/>
  <c r="N133" i="7"/>
  <c r="L131" i="7"/>
  <c r="L130" i="7"/>
  <c r="L129" i="7"/>
  <c r="L128" i="7"/>
  <c r="L125" i="7"/>
  <c r="L122" i="7"/>
  <c r="L120" i="7"/>
  <c r="L109" i="7"/>
  <c r="L107" i="7"/>
  <c r="N107" i="7" s="1"/>
  <c r="N105" i="7"/>
  <c r="L103" i="7"/>
  <c r="L102" i="7"/>
  <c r="L101" i="7"/>
  <c r="L100" i="7"/>
  <c r="L97" i="7"/>
  <c r="L94" i="7"/>
  <c r="L92" i="7"/>
  <c r="L81" i="7"/>
  <c r="L79" i="7"/>
  <c r="N79" i="7" s="1"/>
  <c r="N77" i="7"/>
  <c r="L75" i="7"/>
  <c r="L74" i="7"/>
  <c r="L73" i="7"/>
  <c r="L72" i="7"/>
  <c r="L69" i="7"/>
  <c r="L66" i="7"/>
  <c r="L64" i="7"/>
  <c r="L53" i="7"/>
  <c r="L51" i="7"/>
  <c r="N51" i="7" s="1"/>
  <c r="N49" i="7"/>
  <c r="L47" i="7"/>
  <c r="L46" i="7"/>
  <c r="L45" i="7"/>
  <c r="L44" i="7"/>
  <c r="L41" i="7"/>
  <c r="L38" i="7"/>
  <c r="L36" i="7"/>
  <c r="L23" i="7"/>
  <c r="L19" i="7"/>
  <c r="L18" i="7"/>
  <c r="L17" i="7"/>
  <c r="L16" i="7"/>
  <c r="L13" i="7"/>
  <c r="L10" i="7"/>
  <c r="N21" i="7"/>
  <c r="N23" i="7"/>
  <c r="AB8" i="7"/>
  <c r="L8" i="7"/>
  <c r="AD8" i="7"/>
  <c r="B33" i="1"/>
  <c r="B27" i="1"/>
  <c r="Z2" i="7"/>
  <c r="B21" i="1"/>
  <c r="B15" i="1"/>
  <c r="AG84" i="1"/>
  <c r="AG85" i="1"/>
  <c r="AG86" i="1"/>
  <c r="AH86" i="1" s="1"/>
  <c r="AG87" i="1"/>
  <c r="AH87" i="1" s="1"/>
  <c r="AG88" i="1"/>
  <c r="AH88" i="1" s="1"/>
  <c r="AE84" i="1"/>
  <c r="AE85" i="1"/>
  <c r="AE86" i="1"/>
  <c r="AE87" i="1"/>
  <c r="AE88" i="1"/>
  <c r="AD84" i="1"/>
  <c r="AD85" i="1"/>
  <c r="AD86" i="1"/>
  <c r="AD87" i="1"/>
  <c r="AD88" i="1"/>
  <c r="Z84" i="1"/>
  <c r="Z85" i="1"/>
  <c r="Z86" i="1"/>
  <c r="AA86" i="1" s="1"/>
  <c r="Z87" i="1"/>
  <c r="AA87" i="1" s="1"/>
  <c r="Z88" i="1"/>
  <c r="AA88" i="1" s="1"/>
  <c r="X84" i="1"/>
  <c r="X85" i="1"/>
  <c r="X86" i="1"/>
  <c r="X87" i="1"/>
  <c r="X88" i="1"/>
  <c r="W84" i="1"/>
  <c r="W85" i="1"/>
  <c r="W86" i="1"/>
  <c r="W87" i="1"/>
  <c r="W88" i="1"/>
  <c r="S84" i="1"/>
  <c r="S85" i="1"/>
  <c r="S86" i="1"/>
  <c r="S87" i="1"/>
  <c r="T87" i="1" s="1"/>
  <c r="S88" i="1"/>
  <c r="T88" i="1" s="1"/>
  <c r="Q84" i="1"/>
  <c r="Q85" i="1"/>
  <c r="Q86" i="1"/>
  <c r="Q87" i="1"/>
  <c r="Q88" i="1"/>
  <c r="P84" i="1"/>
  <c r="P85" i="1"/>
  <c r="P86" i="1"/>
  <c r="P87" i="1"/>
  <c r="P88" i="1"/>
  <c r="L84" i="1"/>
  <c r="L85" i="1"/>
  <c r="M85" i="1" s="1"/>
  <c r="L86" i="1"/>
  <c r="M86" i="1" s="1"/>
  <c r="L87" i="1"/>
  <c r="M87" i="1" s="1"/>
  <c r="L88" i="1"/>
  <c r="M88" i="1" s="1"/>
  <c r="J84" i="1"/>
  <c r="J85" i="1"/>
  <c r="J86" i="1"/>
  <c r="J87" i="1"/>
  <c r="J88" i="1"/>
  <c r="C85" i="1"/>
  <c r="I84" i="1"/>
  <c r="I85" i="1"/>
  <c r="I86" i="1"/>
  <c r="I87" i="1"/>
  <c r="I88" i="1"/>
  <c r="AC82" i="1"/>
  <c r="V82" i="1"/>
  <c r="O82" i="1"/>
  <c r="H82" i="1"/>
  <c r="B82" i="1"/>
  <c r="T86" i="1"/>
  <c r="S89" i="1"/>
  <c r="C40" i="7" s="1"/>
  <c r="G26" i="9"/>
  <c r="M74" i="1"/>
  <c r="B66" i="1"/>
  <c r="J74" i="1"/>
  <c r="G74" i="1"/>
  <c r="D74" i="1"/>
  <c r="B60" i="1"/>
  <c r="B54" i="1"/>
  <c r="B48" i="1"/>
  <c r="B74" i="1"/>
  <c r="B42" i="1"/>
  <c r="O79" i="1"/>
  <c r="N79" i="1"/>
  <c r="L79" i="1"/>
  <c r="K79" i="1"/>
  <c r="I79" i="1"/>
  <c r="H79" i="1"/>
  <c r="F79" i="1"/>
  <c r="E79" i="1"/>
  <c r="B84" i="1"/>
  <c r="B70" i="1"/>
  <c r="B69" i="1"/>
  <c r="B68" i="1"/>
  <c r="B67" i="1"/>
  <c r="B64" i="1"/>
  <c r="B63" i="1"/>
  <c r="B62" i="1"/>
  <c r="B61" i="1"/>
  <c r="B58" i="1"/>
  <c r="B57" i="1"/>
  <c r="B56" i="1"/>
  <c r="B55" i="1"/>
  <c r="B52" i="1"/>
  <c r="B51" i="1"/>
  <c r="B50" i="1"/>
  <c r="B49" i="1"/>
  <c r="B46" i="1"/>
  <c r="B45" i="1"/>
  <c r="B44" i="1"/>
  <c r="B43" i="1"/>
  <c r="B85" i="1"/>
  <c r="B34" i="1"/>
  <c r="B35" i="1"/>
  <c r="B36" i="1"/>
  <c r="B37" i="1"/>
  <c r="B28" i="1"/>
  <c r="B29" i="1"/>
  <c r="B30" i="1"/>
  <c r="B31" i="1"/>
  <c r="B22" i="1"/>
  <c r="B23" i="1"/>
  <c r="B24" i="1"/>
  <c r="B25" i="1"/>
  <c r="B16" i="1"/>
  <c r="B17" i="1"/>
  <c r="B18" i="1"/>
  <c r="B19" i="1"/>
  <c r="B10" i="1"/>
  <c r="B11" i="1"/>
  <c r="B12" i="1"/>
  <c r="B13" i="1"/>
  <c r="B9" i="1"/>
  <c r="B79" i="1"/>
  <c r="H11" i="1"/>
  <c r="H2" i="1"/>
  <c r="H3" i="1" s="1"/>
  <c r="I17" i="1"/>
  <c r="I8" i="1"/>
  <c r="I16" i="1"/>
  <c r="I7" i="1"/>
  <c r="J122" i="6" l="1"/>
  <c r="K122" i="6" s="1"/>
  <c r="L122" i="6" s="1"/>
  <c r="J72" i="6"/>
  <c r="K72" i="6" s="1"/>
  <c r="L72" i="6" s="1"/>
  <c r="Y84" i="1"/>
  <c r="R88" i="1"/>
  <c r="J89" i="1"/>
  <c r="AE89" i="1"/>
  <c r="R84" i="1"/>
  <c r="Z89" i="1"/>
  <c r="S90" i="1"/>
  <c r="L63" i="7" s="1"/>
  <c r="L90" i="1"/>
  <c r="L35" i="7" s="1"/>
  <c r="N34" i="7" s="1"/>
  <c r="Y86" i="1"/>
  <c r="P89" i="1"/>
  <c r="AF84" i="1"/>
  <c r="N62" i="7"/>
  <c r="C50" i="7"/>
  <c r="L95" i="7"/>
  <c r="Q89" i="1"/>
  <c r="AG89" i="1"/>
  <c r="L67" i="7"/>
  <c r="Z90" i="1"/>
  <c r="L91" i="7" s="1"/>
  <c r="W89" i="1"/>
  <c r="AD89" i="1"/>
  <c r="Y87" i="1"/>
  <c r="AF86" i="1"/>
  <c r="AG90" i="1"/>
  <c r="L119" i="7" s="1"/>
  <c r="J47" i="6"/>
  <c r="K47" i="6" s="1"/>
  <c r="L47" i="6" s="1"/>
  <c r="V8" i="7"/>
  <c r="X5" i="7"/>
  <c r="E42" i="6" s="1"/>
  <c r="H42" i="6" s="1"/>
  <c r="Z5" i="7"/>
  <c r="E67" i="6" s="1"/>
  <c r="H67" i="6" s="1"/>
  <c r="Z8" i="7"/>
  <c r="X8" i="7"/>
  <c r="AF88" i="1"/>
  <c r="AF87" i="1"/>
  <c r="Y88" i="1"/>
  <c r="X89" i="1"/>
  <c r="R87" i="1"/>
  <c r="R86" i="1"/>
  <c r="K86" i="1"/>
  <c r="K87" i="1"/>
  <c r="K84" i="1"/>
  <c r="I89" i="1"/>
  <c r="K88" i="1"/>
  <c r="AF85" i="1"/>
  <c r="AH85" i="1"/>
  <c r="AH84" i="1"/>
  <c r="AH89" i="1" s="1"/>
  <c r="C57" i="7" s="1"/>
  <c r="Y85" i="1"/>
  <c r="AA85" i="1"/>
  <c r="AA84" i="1"/>
  <c r="AA89" i="1" s="1"/>
  <c r="C47" i="7" s="1"/>
  <c r="T85" i="1"/>
  <c r="R85" i="1"/>
  <c r="T84" i="1"/>
  <c r="L89" i="1"/>
  <c r="M84" i="1"/>
  <c r="M89" i="1" s="1"/>
  <c r="C27" i="7" s="1"/>
  <c r="K85" i="1"/>
  <c r="J16" i="1"/>
  <c r="H12" i="1"/>
  <c r="K16" i="1" s="1"/>
  <c r="J7" i="1"/>
  <c r="K7" i="1" s="1"/>
  <c r="E81" i="9" s="1"/>
  <c r="G6" i="1"/>
  <c r="G7" i="1"/>
  <c r="AB5" i="7" l="1"/>
  <c r="E92" i="6" s="1"/>
  <c r="H92" i="6" s="1"/>
  <c r="C60" i="7"/>
  <c r="L123" i="7"/>
  <c r="L39" i="7"/>
  <c r="L40" i="7" s="1"/>
  <c r="N38" i="7" s="1"/>
  <c r="X6" i="7" s="1"/>
  <c r="E43" i="6" s="1"/>
  <c r="H43" i="6" s="1"/>
  <c r="C30" i="7"/>
  <c r="L96" i="7"/>
  <c r="N94" i="7" s="1"/>
  <c r="AB6" i="7" s="1"/>
  <c r="E93" i="6" s="1"/>
  <c r="H93" i="6" s="1"/>
  <c r="N90" i="7"/>
  <c r="N118" i="7"/>
  <c r="L124" i="7"/>
  <c r="N122" i="7" s="1"/>
  <c r="AD6" i="7" s="1"/>
  <c r="E118" i="6" s="1"/>
  <c r="H118" i="6" s="1"/>
  <c r="AD5" i="7"/>
  <c r="E117" i="6" s="1"/>
  <c r="H117" i="6" s="1"/>
  <c r="AF89" i="1"/>
  <c r="C61" i="7" s="1"/>
  <c r="T89" i="1"/>
  <c r="C37" i="7" s="1"/>
  <c r="Y89" i="1"/>
  <c r="C51" i="7" s="1"/>
  <c r="R89" i="1"/>
  <c r="C41" i="7" s="1"/>
  <c r="K89" i="1"/>
  <c r="C31" i="7" s="1"/>
  <c r="G15" i="1"/>
  <c r="G16" i="1"/>
  <c r="G64" i="9"/>
  <c r="G27" i="9"/>
  <c r="D4" i="12"/>
  <c r="D3" i="12"/>
  <c r="C3" i="12"/>
  <c r="C4" i="12"/>
  <c r="B4" i="12"/>
  <c r="B3" i="12"/>
  <c r="B5" i="12" s="1"/>
  <c r="L68" i="7" l="1"/>
  <c r="N66" i="7" s="1"/>
  <c r="Z6" i="7" s="1"/>
  <c r="E68" i="6" s="1"/>
  <c r="H68" i="6" s="1"/>
  <c r="C5" i="12"/>
  <c r="C8" i="12" s="1"/>
  <c r="D5" i="12"/>
  <c r="D6" i="12" s="1"/>
  <c r="B8" i="12"/>
  <c r="B9" i="12" s="1"/>
  <c r="B6" i="12"/>
  <c r="B10" i="12" l="1"/>
  <c r="J74" i="9" s="1"/>
  <c r="C6" i="12"/>
  <c r="C10" i="12" s="1"/>
  <c r="J75" i="9" s="1"/>
  <c r="D7" i="12"/>
  <c r="D8" i="12"/>
  <c r="C7" i="12" l="1"/>
  <c r="C9" i="12" s="1"/>
  <c r="D9" i="12"/>
  <c r="D10" i="12"/>
  <c r="J76" i="9" s="1"/>
  <c r="G65" i="9"/>
  <c r="E76" i="9"/>
  <c r="E75" i="9"/>
  <c r="E24" i="9"/>
  <c r="E20" i="9"/>
  <c r="E18" i="9"/>
  <c r="E16" i="9"/>
  <c r="E22" i="9"/>
  <c r="E34" i="9"/>
  <c r="E32" i="9"/>
  <c r="C11" i="7"/>
  <c r="C12" i="7"/>
  <c r="E72" i="9"/>
  <c r="C84" i="1"/>
  <c r="C86" i="1"/>
  <c r="C87" i="1"/>
  <c r="C88" i="1"/>
  <c r="B86" i="1"/>
  <c r="B87" i="1"/>
  <c r="B88" i="1"/>
  <c r="C89" i="1" l="1"/>
  <c r="E84" i="1"/>
  <c r="E85" i="1"/>
  <c r="E86" i="1"/>
  <c r="E87" i="1"/>
  <c r="E88" i="1"/>
  <c r="C3" i="7" l="1"/>
  <c r="D3" i="7"/>
  <c r="L87" i="7" l="1"/>
  <c r="N87" i="7" s="1"/>
  <c r="L59" i="7"/>
  <c r="N59" i="7" s="1"/>
  <c r="L115" i="7"/>
  <c r="N115" i="7" s="1"/>
  <c r="L31" i="7"/>
  <c r="N31" i="7" s="1"/>
  <c r="L3" i="7"/>
  <c r="N3" i="7" s="1"/>
  <c r="E73" i="9"/>
  <c r="E70" i="9"/>
  <c r="E69" i="9"/>
  <c r="E71" i="9"/>
  <c r="M4" i="8" l="1"/>
  <c r="M5" i="8"/>
  <c r="M6" i="8"/>
  <c r="M7" i="8"/>
  <c r="M8" i="8"/>
  <c r="M9" i="8"/>
  <c r="M10" i="8"/>
  <c r="M11" i="8"/>
  <c r="M12" i="8"/>
  <c r="M13" i="8"/>
  <c r="M3" i="8"/>
  <c r="C10" i="7" s="1"/>
  <c r="C26" i="7" l="1"/>
  <c r="C56" i="7"/>
  <c r="C16" i="7"/>
  <c r="C19" i="7" s="1"/>
  <c r="C46" i="7"/>
  <c r="C36" i="7"/>
  <c r="L99" i="7"/>
  <c r="L71" i="7"/>
  <c r="L15" i="7"/>
  <c r="L127" i="7"/>
  <c r="L43" i="7"/>
  <c r="E90" i="1"/>
  <c r="L7" i="7" s="1"/>
  <c r="N6" i="7" l="1"/>
  <c r="C39" i="7"/>
  <c r="C38" i="7"/>
  <c r="C49" i="7"/>
  <c r="C48" i="7"/>
  <c r="C59" i="7"/>
  <c r="C58" i="7"/>
  <c r="C29" i="7"/>
  <c r="C28" i="7"/>
  <c r="E19" i="6"/>
  <c r="D15" i="7"/>
  <c r="U88" i="1" s="1"/>
  <c r="C79" i="1"/>
  <c r="L25" i="7"/>
  <c r="N25" i="7" s="1"/>
  <c r="U87" i="1"/>
  <c r="E7" i="7"/>
  <c r="N43" i="7" s="1"/>
  <c r="E6" i="7"/>
  <c r="O38" i="7" l="1"/>
  <c r="Y6" i="7" s="1"/>
  <c r="I43" i="6" s="1"/>
  <c r="J43" i="6" s="1"/>
  <c r="K43" i="6" s="1"/>
  <c r="L43" i="6" s="1"/>
  <c r="O49" i="7"/>
  <c r="Y8" i="7" s="1"/>
  <c r="I45" i="6" s="1"/>
  <c r="J45" i="6" s="1"/>
  <c r="K45" i="6" s="1"/>
  <c r="L45" i="6" s="1"/>
  <c r="O51" i="7"/>
  <c r="Y9" i="7" s="1"/>
  <c r="I46" i="6" s="1"/>
  <c r="J46" i="6" s="1"/>
  <c r="K46" i="6" s="1"/>
  <c r="L46" i="6" s="1"/>
  <c r="O43" i="7"/>
  <c r="Y7" i="7" s="1"/>
  <c r="I44" i="6" s="1"/>
  <c r="O127" i="7"/>
  <c r="AE7" i="7" s="1"/>
  <c r="I119" i="6" s="1"/>
  <c r="O122" i="7"/>
  <c r="AE6" i="7" s="1"/>
  <c r="I118" i="6" s="1"/>
  <c r="J118" i="6" s="1"/>
  <c r="K118" i="6" s="1"/>
  <c r="L118" i="6" s="1"/>
  <c r="O135" i="7"/>
  <c r="AE9" i="7" s="1"/>
  <c r="I121" i="6" s="1"/>
  <c r="J121" i="6" s="1"/>
  <c r="K121" i="6" s="1"/>
  <c r="L121" i="6" s="1"/>
  <c r="O133" i="7"/>
  <c r="AE8" i="7" s="1"/>
  <c r="I120" i="6" s="1"/>
  <c r="J120" i="6" s="1"/>
  <c r="K120" i="6" s="1"/>
  <c r="L120" i="6" s="1"/>
  <c r="O94" i="7"/>
  <c r="AC6" i="7" s="1"/>
  <c r="I93" i="6" s="1"/>
  <c r="J93" i="6" s="1"/>
  <c r="K93" i="6" s="1"/>
  <c r="L93" i="6" s="1"/>
  <c r="O107" i="7"/>
  <c r="AC9" i="7" s="1"/>
  <c r="I96" i="6" s="1"/>
  <c r="J96" i="6" s="1"/>
  <c r="K96" i="6" s="1"/>
  <c r="L96" i="6" s="1"/>
  <c r="O105" i="7"/>
  <c r="AC8" i="7" s="1"/>
  <c r="I95" i="6" s="1"/>
  <c r="J95" i="6" s="1"/>
  <c r="K95" i="6" s="1"/>
  <c r="L95" i="6" s="1"/>
  <c r="O99" i="7"/>
  <c r="AC7" i="7" s="1"/>
  <c r="I94" i="6" s="1"/>
  <c r="O66" i="7"/>
  <c r="AA6" i="7" s="1"/>
  <c r="I68" i="6" s="1"/>
  <c r="J68" i="6" s="1"/>
  <c r="K68" i="6" s="1"/>
  <c r="L68" i="6" s="1"/>
  <c r="O79" i="7"/>
  <c r="AA9" i="7" s="1"/>
  <c r="I71" i="6" s="1"/>
  <c r="J71" i="6" s="1"/>
  <c r="K71" i="6" s="1"/>
  <c r="L71" i="6" s="1"/>
  <c r="O77" i="7"/>
  <c r="AA8" i="7" s="1"/>
  <c r="I70" i="6" s="1"/>
  <c r="J70" i="6" s="1"/>
  <c r="K70" i="6" s="1"/>
  <c r="L70" i="6" s="1"/>
  <c r="O71" i="7"/>
  <c r="AA7" i="7" s="1"/>
  <c r="I69" i="6" s="1"/>
  <c r="N99" i="7"/>
  <c r="N71" i="7"/>
  <c r="N15" i="7"/>
  <c r="N127" i="7"/>
  <c r="E20" i="6"/>
  <c r="H20" i="6" s="1"/>
  <c r="V10" i="7"/>
  <c r="N87" i="1"/>
  <c r="N88" i="1"/>
  <c r="AI85" i="1"/>
  <c r="N86" i="1"/>
  <c r="AB85" i="1"/>
  <c r="U86" i="1"/>
  <c r="N84" i="1"/>
  <c r="AI86" i="1"/>
  <c r="U84" i="1"/>
  <c r="AB86" i="1"/>
  <c r="AB88" i="1"/>
  <c r="AI88" i="1"/>
  <c r="N85" i="1"/>
  <c r="AB84" i="1"/>
  <c r="AB87" i="1"/>
  <c r="AI84" i="1"/>
  <c r="AI87" i="1"/>
  <c r="U85" i="1"/>
  <c r="H19" i="6"/>
  <c r="O87" i="7" l="1"/>
  <c r="AC4" i="7" s="1"/>
  <c r="I91" i="6" s="1"/>
  <c r="O62" i="7"/>
  <c r="AA5" i="7" s="1"/>
  <c r="I67" i="6" s="1"/>
  <c r="J67" i="6" s="1"/>
  <c r="K67" i="6" s="1"/>
  <c r="L67" i="6" s="1"/>
  <c r="O59" i="7"/>
  <c r="AA4" i="7" s="1"/>
  <c r="I66" i="6" s="1"/>
  <c r="O118" i="7"/>
  <c r="AE5" i="7" s="1"/>
  <c r="I117" i="6" s="1"/>
  <c r="J117" i="6" s="1"/>
  <c r="K117" i="6" s="1"/>
  <c r="L117" i="6" s="1"/>
  <c r="O31" i="7"/>
  <c r="Y4" i="7" s="1"/>
  <c r="I41" i="6" s="1"/>
  <c r="O90" i="7"/>
  <c r="AC5" i="7" s="1"/>
  <c r="I92" i="6" s="1"/>
  <c r="J92" i="6" s="1"/>
  <c r="K92" i="6" s="1"/>
  <c r="L92" i="6" s="1"/>
  <c r="O34" i="7"/>
  <c r="Y5" i="7" s="1"/>
  <c r="I42" i="6" s="1"/>
  <c r="J42" i="6" s="1"/>
  <c r="K42" i="6" s="1"/>
  <c r="L42" i="6" s="1"/>
  <c r="O115" i="7"/>
  <c r="AE4" i="7" s="1"/>
  <c r="I116" i="6" s="1"/>
  <c r="U89" i="1"/>
  <c r="U90" i="1"/>
  <c r="N83" i="7" s="1"/>
  <c r="Z11" i="7" s="1"/>
  <c r="E73" i="6" s="1"/>
  <c r="H73" i="6" s="1"/>
  <c r="J73" i="6" s="1"/>
  <c r="K73" i="6" s="1"/>
  <c r="L73" i="6" s="1"/>
  <c r="E21" i="6"/>
  <c r="H21" i="6" s="1"/>
  <c r="J21" i="6" s="1"/>
  <c r="K21" i="6" s="1"/>
  <c r="L21" i="6" s="1"/>
  <c r="N89" i="1"/>
  <c r="N90" i="1"/>
  <c r="N55" i="7" s="1"/>
  <c r="X11" i="7" s="1"/>
  <c r="E48" i="6" s="1"/>
  <c r="H48" i="6" s="1"/>
  <c r="J48" i="6" s="1"/>
  <c r="K48" i="6" s="1"/>
  <c r="L48" i="6" s="1"/>
  <c r="V9" i="7"/>
  <c r="AB9" i="7"/>
  <c r="AD9" i="7"/>
  <c r="Z9" i="7"/>
  <c r="X9" i="7"/>
  <c r="AI89" i="1"/>
  <c r="AI90" i="1"/>
  <c r="N139" i="7" s="1"/>
  <c r="AD11" i="7" s="1"/>
  <c r="E123" i="6" s="1"/>
  <c r="H123" i="6" s="1"/>
  <c r="J123" i="6" s="1"/>
  <c r="K123" i="6" s="1"/>
  <c r="L123" i="6" s="1"/>
  <c r="AB90" i="1"/>
  <c r="N111" i="7" s="1"/>
  <c r="AB11" i="7" s="1"/>
  <c r="E98" i="6" s="1"/>
  <c r="H98" i="6" s="1"/>
  <c r="J98" i="6" s="1"/>
  <c r="K98" i="6" s="1"/>
  <c r="L98" i="6" s="1"/>
  <c r="AB89" i="1"/>
  <c r="E18" i="6"/>
  <c r="H18" i="6" s="1"/>
  <c r="AB7" i="7"/>
  <c r="E94" i="6" s="1"/>
  <c r="H94" i="6" s="1"/>
  <c r="J94" i="6" s="1"/>
  <c r="K94" i="6" s="1"/>
  <c r="L94" i="6" s="1"/>
  <c r="V7" i="7"/>
  <c r="Z7" i="7"/>
  <c r="E69" i="6" s="1"/>
  <c r="H69" i="6" s="1"/>
  <c r="J69" i="6" s="1"/>
  <c r="K69" i="6" s="1"/>
  <c r="L69" i="6" s="1"/>
  <c r="X7" i="7"/>
  <c r="E44" i="6" s="1"/>
  <c r="H44" i="6" s="1"/>
  <c r="J44" i="6" s="1"/>
  <c r="K44" i="6" s="1"/>
  <c r="L44" i="6" s="1"/>
  <c r="AD7" i="7"/>
  <c r="E119" i="6" s="1"/>
  <c r="H119" i="6" s="1"/>
  <c r="J119" i="6" s="1"/>
  <c r="K119" i="6" s="1"/>
  <c r="L119" i="6" s="1"/>
  <c r="E15" i="6"/>
  <c r="H15" i="6" s="1"/>
  <c r="AD4" i="7"/>
  <c r="E116" i="6" s="1"/>
  <c r="H116" i="6" s="1"/>
  <c r="AB4" i="7"/>
  <c r="E91" i="6" s="1"/>
  <c r="H91" i="6" s="1"/>
  <c r="J91" i="6" s="1"/>
  <c r="K91" i="6" s="1"/>
  <c r="V4" i="7"/>
  <c r="Z4" i="7"/>
  <c r="E66" i="6" s="1"/>
  <c r="H66" i="6" s="1"/>
  <c r="X4" i="7"/>
  <c r="E41" i="6" s="1"/>
  <c r="H41" i="6" s="1"/>
  <c r="F84" i="1"/>
  <c r="F85" i="1"/>
  <c r="F86" i="1"/>
  <c r="F87" i="1"/>
  <c r="F88" i="1"/>
  <c r="J41" i="6" l="1"/>
  <c r="K41" i="6" s="1"/>
  <c r="L91" i="6"/>
  <c r="L99" i="6" s="1"/>
  <c r="K99" i="6"/>
  <c r="K100" i="6" s="1"/>
  <c r="K101" i="6" s="1"/>
  <c r="K102" i="6" s="1"/>
  <c r="J66" i="6"/>
  <c r="K66" i="6" s="1"/>
  <c r="J116" i="6"/>
  <c r="K116" i="6" s="1"/>
  <c r="F89" i="1"/>
  <c r="C17" i="7" s="1"/>
  <c r="C18" i="7" s="1"/>
  <c r="E89" i="1"/>
  <c r="L116" i="6" l="1"/>
  <c r="L124" i="6" s="1"/>
  <c r="K124" i="6"/>
  <c r="K125" i="6" s="1"/>
  <c r="K126" i="6" s="1"/>
  <c r="K127" i="6" s="1"/>
  <c r="L66" i="6"/>
  <c r="L74" i="6" s="1"/>
  <c r="K74" i="6"/>
  <c r="K75" i="6" s="1"/>
  <c r="K76" i="6" s="1"/>
  <c r="K77" i="6" s="1"/>
  <c r="C20" i="7"/>
  <c r="O3" i="7" s="1"/>
  <c r="I15" i="6" s="1"/>
  <c r="J15" i="6" s="1"/>
  <c r="K15" i="6" s="1"/>
  <c r="L15" i="6" s="1"/>
  <c r="L11" i="7"/>
  <c r="L12" i="7" s="1"/>
  <c r="N10" i="7" s="1"/>
  <c r="K104" i="6"/>
  <c r="K105" i="6" s="1"/>
  <c r="K103" i="6"/>
  <c r="L41" i="6"/>
  <c r="L49" i="6" s="1"/>
  <c r="K49" i="6"/>
  <c r="K50" i="6" s="1"/>
  <c r="K51" i="6" s="1"/>
  <c r="K52" i="6" s="1"/>
  <c r="D88" i="1"/>
  <c r="G88" i="1" s="1"/>
  <c r="D86" i="1"/>
  <c r="G86" i="1" s="1"/>
  <c r="D87" i="1"/>
  <c r="G87" i="1" s="1"/>
  <c r="B89" i="1"/>
  <c r="D85" i="1"/>
  <c r="G85" i="1" s="1"/>
  <c r="D84" i="1"/>
  <c r="K53" i="6" l="1"/>
  <c r="K54" i="6"/>
  <c r="K55" i="6" s="1"/>
  <c r="K79" i="6"/>
  <c r="K80" i="6" s="1"/>
  <c r="K78" i="6"/>
  <c r="K129" i="6"/>
  <c r="K130" i="6" s="1"/>
  <c r="K128" i="6"/>
  <c r="W4" i="7"/>
  <c r="E17" i="6"/>
  <c r="H17" i="6" s="1"/>
  <c r="V6" i="7"/>
  <c r="E16" i="6"/>
  <c r="H16" i="6" s="1"/>
  <c r="V5" i="7"/>
  <c r="D89" i="1"/>
  <c r="C21" i="7" s="1"/>
  <c r="O23" i="7" s="1"/>
  <c r="G84" i="1"/>
  <c r="O21" i="7" l="1"/>
  <c r="O10" i="7"/>
  <c r="O15" i="7"/>
  <c r="O6" i="7"/>
  <c r="I19" i="6"/>
  <c r="J19" i="6" s="1"/>
  <c r="K19" i="6" s="1"/>
  <c r="L19" i="6" s="1"/>
  <c r="I18" i="6"/>
  <c r="J18" i="6" s="1"/>
  <c r="K18" i="6" s="1"/>
  <c r="L18" i="6" s="1"/>
  <c r="W5" i="7"/>
  <c r="W6" i="7"/>
  <c r="I20" i="6"/>
  <c r="I17" i="6"/>
  <c r="J17" i="6" s="1"/>
  <c r="K17" i="6" s="1"/>
  <c r="L17" i="6" s="1"/>
  <c r="G90" i="1"/>
  <c r="N27" i="7" s="1"/>
  <c r="G89" i="1"/>
  <c r="V11" i="7" l="1"/>
  <c r="I16" i="6"/>
  <c r="J16" i="6" s="1"/>
  <c r="K16" i="6" s="1"/>
  <c r="L16" i="6" s="1"/>
  <c r="W8" i="7"/>
  <c r="W9" i="7"/>
  <c r="W7" i="7"/>
  <c r="E22" i="6"/>
  <c r="H22" i="6" s="1"/>
  <c r="J22" i="6" s="1"/>
  <c r="K22" i="6" s="1"/>
  <c r="L22" i="6" s="1"/>
  <c r="J20" i="6"/>
  <c r="K20" i="6" s="1"/>
  <c r="L20" i="6" l="1"/>
  <c r="L23" i="6" s="1"/>
  <c r="K23" i="6"/>
  <c r="K24" i="6" s="1"/>
  <c r="K25" i="6" l="1"/>
  <c r="K26" i="6" s="1"/>
  <c r="K28" i="6" s="1"/>
  <c r="K29" i="6" l="1"/>
  <c r="K2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<sst xmlns="http://schemas.openxmlformats.org/spreadsheetml/2006/main" count="1059" uniqueCount="330">
  <si>
    <t>℃</t>
  </si>
  <si>
    <t>X1</t>
  </si>
  <si>
    <t>X2</t>
  </si>
  <si>
    <t>X3</t>
  </si>
  <si>
    <t>:</t>
  </si>
  <si>
    <t>%</t>
  </si>
  <si>
    <t>Tanggal Terima</t>
  </si>
  <si>
    <t>ml</t>
  </si>
  <si>
    <t>mg</t>
  </si>
  <si>
    <t>Normal</t>
  </si>
  <si>
    <t>Distribusi</t>
  </si>
  <si>
    <t>Pembagi</t>
  </si>
  <si>
    <t>ui</t>
  </si>
  <si>
    <t>Timbangan</t>
  </si>
  <si>
    <t>Resolusi</t>
  </si>
  <si>
    <t>Zero (g)</t>
  </si>
  <si>
    <t>Penimbangan Ke -</t>
  </si>
  <si>
    <t>X4</t>
  </si>
  <si>
    <t>X5</t>
  </si>
  <si>
    <t>Load(g)</t>
  </si>
  <si>
    <t>Zero(g)</t>
  </si>
  <si>
    <t xml:space="preserve">Load (g) </t>
  </si>
  <si>
    <t>Suhu Cairan (g)</t>
  </si>
  <si>
    <t xml:space="preserve">Analisis </t>
  </si>
  <si>
    <t>Penimbangan Bejana Kosong  (A)</t>
  </si>
  <si>
    <t>Penimbangan berisi air destilasi (B)</t>
  </si>
  <si>
    <t>B - A (g)</t>
  </si>
  <si>
    <t>Densitas Air Destilasi (g/cm^3)</t>
  </si>
  <si>
    <r>
      <t xml:space="preserve">Suhu Air Destilasi Terkoreksi </t>
    </r>
    <r>
      <rPr>
        <sz val="11"/>
        <color theme="1"/>
        <rFont val="Aptos Narrow"/>
        <family val="2"/>
      </rPr>
      <t> (</t>
    </r>
    <r>
      <rPr>
        <sz val="11"/>
        <color theme="1"/>
        <rFont val="Calibri"/>
        <family val="2"/>
        <charset val="1"/>
      </rPr>
      <t>◦C)</t>
    </r>
  </si>
  <si>
    <t>Volume pada Suhu 20◦C (ml)</t>
  </si>
  <si>
    <t>Rata-rata</t>
  </si>
  <si>
    <t>Standar Deviasi</t>
  </si>
  <si>
    <t xml:space="preserve">Peralatan </t>
  </si>
  <si>
    <t xml:space="preserve">Ketidakpastian </t>
  </si>
  <si>
    <t xml:space="preserve">Thermometer Cairan </t>
  </si>
  <si>
    <t>Thermometer lingkungan</t>
  </si>
  <si>
    <t xml:space="preserve">Higrometer </t>
  </si>
  <si>
    <t xml:space="preserve">Barometer </t>
  </si>
  <si>
    <t>Komponen</t>
  </si>
  <si>
    <t>Satuan</t>
  </si>
  <si>
    <t>U</t>
  </si>
  <si>
    <t>vi</t>
  </si>
  <si>
    <t>ci</t>
  </si>
  <si>
    <t>uici</t>
  </si>
  <si>
    <r>
      <rPr>
        <b/>
        <sz val="10"/>
        <rFont val="Times New Roman"/>
        <family val="1"/>
      </rPr>
      <t>(uici)</t>
    </r>
    <r>
      <rPr>
        <b/>
        <vertAlign val="superscript"/>
        <sz val="10"/>
        <rFont val="Times New Roman"/>
        <family val="1"/>
      </rPr>
      <t>2</t>
    </r>
  </si>
  <si>
    <r>
      <rPr>
        <b/>
        <sz val="10"/>
        <rFont val="Times New Roman"/>
        <family val="1"/>
      </rPr>
      <t>(uici)</t>
    </r>
    <r>
      <rPr>
        <b/>
        <vertAlign val="superscript"/>
        <sz val="10"/>
        <rFont val="Times New Roman"/>
        <family val="1"/>
      </rPr>
      <t>4</t>
    </r>
    <r>
      <rPr>
        <b/>
        <sz val="10"/>
        <rFont val="Times New Roman"/>
        <family val="1"/>
      </rPr>
      <t>/vi</t>
    </r>
  </si>
  <si>
    <t>Sums</t>
  </si>
  <si>
    <t>Ketidakpastian baku gabungan, uc, mg</t>
  </si>
  <si>
    <t>Dearajat kebebasan efektif, veff</t>
  </si>
  <si>
    <t>Faktor cakupan, k-student for veff and CL 95%</t>
  </si>
  <si>
    <t>Ketidakpastian bentangan, U = kuc, mg</t>
  </si>
  <si>
    <t>Atau ketidakpastian bentangan, U = kuc, mg</t>
  </si>
  <si>
    <t>Atau ketidakpastian bentangan, U = kuc, g</t>
  </si>
  <si>
    <t xml:space="preserve">Massa </t>
  </si>
  <si>
    <t xml:space="preserve">Suhu air destilasi </t>
  </si>
  <si>
    <t>Densitas air destilasi</t>
  </si>
  <si>
    <t xml:space="preserve">Densitas udara </t>
  </si>
  <si>
    <t xml:space="preserve">Densitas AT acuan </t>
  </si>
  <si>
    <t xml:space="preserve">Koefisien muai termal </t>
  </si>
  <si>
    <t xml:space="preserve">Meniskus </t>
  </si>
  <si>
    <t xml:space="preserve">Repeatability </t>
  </si>
  <si>
    <t xml:space="preserve">Koefisien </t>
  </si>
  <si>
    <t>Ul</t>
  </si>
  <si>
    <t>Um</t>
  </si>
  <si>
    <t xml:space="preserve">Nilai </t>
  </si>
  <si>
    <t>dm</t>
  </si>
  <si>
    <t>dt</t>
  </si>
  <si>
    <t>Ut</t>
  </si>
  <si>
    <t>U(tw)</t>
  </si>
  <si>
    <t>U(ts)</t>
  </si>
  <si>
    <t>U(pwform)</t>
  </si>
  <si>
    <t>B</t>
  </si>
  <si>
    <t>U(pwt)</t>
  </si>
  <si>
    <t>U(dpw)</t>
  </si>
  <si>
    <t>Upw(tw)</t>
  </si>
  <si>
    <t>pa</t>
  </si>
  <si>
    <t>PP</t>
  </si>
  <si>
    <t>TT</t>
  </si>
  <si>
    <t>HH</t>
  </si>
  <si>
    <t xml:space="preserve">Konversi </t>
  </si>
  <si>
    <t xml:space="preserve">Uform </t>
  </si>
  <si>
    <t>U(pa)</t>
  </si>
  <si>
    <t>U(b)</t>
  </si>
  <si>
    <t>U(pb)</t>
  </si>
  <si>
    <t>y</t>
  </si>
  <si>
    <t>Uy</t>
  </si>
  <si>
    <t xml:space="preserve">Pengukuran Diameter dan Tebal Garis </t>
  </si>
  <si>
    <t>Pengukuran Ke -</t>
  </si>
  <si>
    <t>Diameter (mm)</t>
  </si>
  <si>
    <t>Tebal Garis (mm)</t>
  </si>
  <si>
    <t>pi</t>
  </si>
  <si>
    <t>Rata -Rata</t>
  </si>
  <si>
    <t>-</t>
  </si>
  <si>
    <t>Urepeat</t>
  </si>
  <si>
    <t>pb</t>
  </si>
  <si>
    <t>l</t>
  </si>
  <si>
    <t>t-student</t>
  </si>
  <si>
    <t>Rect</t>
  </si>
  <si>
    <t xml:space="preserve">Besaran yang diukur : </t>
  </si>
  <si>
    <t>Jenis alat yang dikalibrasi :</t>
  </si>
  <si>
    <t>UNCERTAINTY BUDGET SEBAGAI PENDUKUNG KLAIM CMC</t>
  </si>
  <si>
    <t>Volume</t>
  </si>
  <si>
    <t xml:space="preserve">Model matematis   :             </t>
  </si>
  <si>
    <t>Tekanan</t>
  </si>
  <si>
    <t>pw</t>
  </si>
  <si>
    <t>A</t>
  </si>
  <si>
    <t>C</t>
  </si>
  <si>
    <t xml:space="preserve">Koefiesen </t>
  </si>
  <si>
    <t>m</t>
  </si>
  <si>
    <t>Simbol koef</t>
  </si>
  <si>
    <t>Koefisien Sesitivitas (ci)</t>
  </si>
  <si>
    <t>Ketidakpastian baku (U)</t>
  </si>
  <si>
    <t xml:space="preserve"> nilai U</t>
  </si>
  <si>
    <t>ml/g</t>
  </si>
  <si>
    <t>ml/C</t>
  </si>
  <si>
    <t>ml2/g</t>
  </si>
  <si>
    <t>C.ml</t>
  </si>
  <si>
    <t>Umeniskus</t>
  </si>
  <si>
    <t>Rotronik Suhu</t>
  </si>
  <si>
    <t>Standar Terkoreksi</t>
  </si>
  <si>
    <t xml:space="preserve">Pembacaan </t>
  </si>
  <si>
    <t>Koreksi</t>
  </si>
  <si>
    <t>Ketidakpastian</t>
  </si>
  <si>
    <t xml:space="preserve">Rotronik Kelembaban </t>
  </si>
  <si>
    <t>Testo</t>
  </si>
  <si>
    <t>Note: Angka diambil dari contoh standar acuan SNSU PK M-05:2023</t>
  </si>
  <si>
    <t xml:space="preserve">Satuan </t>
  </si>
  <si>
    <t>Pa</t>
  </si>
  <si>
    <t>Pembacaan</t>
  </si>
  <si>
    <t>Aktual</t>
  </si>
  <si>
    <t>U95</t>
  </si>
  <si>
    <t>Beban</t>
  </si>
  <si>
    <t xml:space="preserve">Timbangan HM </t>
  </si>
  <si>
    <t>Rotronik tekanan</t>
  </si>
  <si>
    <t xml:space="preserve">Timbangan Scientech </t>
  </si>
  <si>
    <t>Timbangan Sartorius LC5101S</t>
  </si>
  <si>
    <t>Pembacaan Alat</t>
  </si>
  <si>
    <t xml:space="preserve">Pembacaan alat </t>
  </si>
  <si>
    <t xml:space="preserve">Uncertainty </t>
  </si>
  <si>
    <t xml:space="preserve">Koreksi </t>
  </si>
  <si>
    <t>S E R T I F I K A T    K A L I B R A S I</t>
  </si>
  <si>
    <t>C A L I B R A T I O N    C E R T I F I C A T E</t>
  </si>
  <si>
    <t>IDENTITAS ALAT</t>
  </si>
  <si>
    <t>INSTRUMENT DETAILS</t>
  </si>
  <si>
    <t>Nama Alat</t>
  </si>
  <si>
    <r>
      <t>Instrument Name</t>
    </r>
    <r>
      <rPr>
        <sz val="11"/>
        <color rgb="FF000000"/>
        <rFont val="Bookman Old Style"/>
        <family val="1"/>
      </rPr>
      <t xml:space="preserve"> </t>
    </r>
  </si>
  <si>
    <r>
      <t>Merek</t>
    </r>
    <r>
      <rPr>
        <i/>
        <sz val="8"/>
        <color rgb="FF000000"/>
        <rFont val="Bookman Old Style"/>
        <family val="1"/>
      </rPr>
      <t xml:space="preserve"> </t>
    </r>
  </si>
  <si>
    <t>Brand</t>
  </si>
  <si>
    <t>Tipe</t>
  </si>
  <si>
    <t xml:space="preserve">Type </t>
  </si>
  <si>
    <t>Nomor Identifikasi</t>
  </si>
  <si>
    <t>Identification Number</t>
  </si>
  <si>
    <t xml:space="preserve">Nomor Seri </t>
  </si>
  <si>
    <t>Serial Number</t>
  </si>
  <si>
    <t>Lain-lain</t>
  </si>
  <si>
    <t xml:space="preserve">Kapasitas </t>
  </si>
  <si>
    <t>Others</t>
  </si>
  <si>
    <t xml:space="preserve">Kecermatan </t>
  </si>
  <si>
    <t>IDENTITAS PEMILIK</t>
  </si>
  <si>
    <t>Owner’s Identification</t>
  </si>
  <si>
    <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</si>
  <si>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</si>
  <si>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</si>
  <si>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</si>
  <si>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Halaman 1 dari 2 halaman</t>
  </si>
  <si>
    <t>Page          of            page</t>
  </si>
  <si>
    <t>Date of Issue</t>
  </si>
  <si>
    <t>Nomor</t>
  </si>
  <si>
    <t>No. Order</t>
  </si>
  <si>
    <t>Halaman</t>
  </si>
  <si>
    <t>: 2 dari 2</t>
  </si>
  <si>
    <t>SPESIFIKASI ALAT</t>
  </si>
  <si>
    <t>Nama</t>
  </si>
  <si>
    <t>Merek / Tipe</t>
  </si>
  <si>
    <t>No. Identifikasi / No. Seri</t>
  </si>
  <si>
    <t>Kecermatan</t>
  </si>
  <si>
    <t>Kondisi ruang</t>
  </si>
  <si>
    <t>Prosedur Kalibrasi</t>
  </si>
  <si>
    <t>Temperatur</t>
  </si>
  <si>
    <t xml:space="preserve">Kelembaban </t>
  </si>
  <si>
    <t>Tanggal Kalibrasi</t>
  </si>
  <si>
    <t>Lokasi Alat</t>
  </si>
  <si>
    <t>: Lab Volumetrik BBSPJILM</t>
  </si>
  <si>
    <t>HASIL KALIBRASI</t>
  </si>
  <si>
    <r>
      <t>Ketidakpastian U</t>
    </r>
    <r>
      <rPr>
        <b/>
        <vertAlign val="subscript"/>
        <sz val="11"/>
        <color theme="1"/>
        <rFont val="Bookman Old Style"/>
        <family val="1"/>
      </rPr>
      <t>95</t>
    </r>
    <r>
      <rPr>
        <b/>
        <sz val="11"/>
        <color theme="1"/>
        <rFont val="Bookman Old Style"/>
        <family val="1"/>
      </rPr>
      <t xml:space="preserve">% (k=2) </t>
    </r>
  </si>
  <si>
    <t>(mL)</t>
  </si>
  <si>
    <t xml:space="preserve">Catatan   : </t>
  </si>
  <si>
    <t xml:space="preserve">Nilai koef </t>
  </si>
  <si>
    <t>Deskripsi</t>
  </si>
  <si>
    <t>Isi</t>
  </si>
  <si>
    <t>No Order</t>
  </si>
  <si>
    <t>Pemilik Alat</t>
  </si>
  <si>
    <t>Alamat Pemilik Alat</t>
  </si>
  <si>
    <t>Nama  Alat</t>
  </si>
  <si>
    <t xml:space="preserve">Merk </t>
  </si>
  <si>
    <t>No Seri</t>
  </si>
  <si>
    <t>Kapasitas</t>
  </si>
  <si>
    <t>No. Identifikasi</t>
  </si>
  <si>
    <t xml:space="preserve">Graduasi </t>
  </si>
  <si>
    <t xml:space="preserve">Kondisi Ruangan </t>
  </si>
  <si>
    <t xml:space="preserve">Awal </t>
  </si>
  <si>
    <t xml:space="preserve">Akhir </t>
  </si>
  <si>
    <t xml:space="preserve">Suhu </t>
  </si>
  <si>
    <t xml:space="preserve">Tekanan </t>
  </si>
  <si>
    <t>A Terkoreksi  (g)</t>
  </si>
  <si>
    <t>B Terkoreksi (g)</t>
  </si>
  <si>
    <t xml:space="preserve">Kalibrator </t>
  </si>
  <si>
    <t>Thermometer</t>
  </si>
  <si>
    <t xml:space="preserve">Timbangan </t>
  </si>
  <si>
    <t xml:space="preserve">Thermohygro </t>
  </si>
  <si>
    <t>Merek</t>
  </si>
  <si>
    <t>N/S</t>
  </si>
  <si>
    <t xml:space="preserve">Resolusi </t>
  </si>
  <si>
    <t>Sartorius 5101S</t>
  </si>
  <si>
    <t xml:space="preserve">AND HM 300 </t>
  </si>
  <si>
    <t>U95 (mg)</t>
  </si>
  <si>
    <t>Koreksi (g)</t>
  </si>
  <si>
    <t>Rotronik</t>
  </si>
  <si>
    <t>Testo 110</t>
  </si>
  <si>
    <t>Scientech SP 2050D</t>
  </si>
  <si>
    <t xml:space="preserve">&lt;-------------dropdown perlu disesuaikan </t>
  </si>
  <si>
    <t>`</t>
  </si>
  <si>
    <t xml:space="preserve">Tekanan Terkoreksi </t>
  </si>
  <si>
    <t xml:space="preserve">Humidity terkoreksi </t>
  </si>
  <si>
    <t xml:space="preserve">Suhu terkoreksi </t>
  </si>
  <si>
    <t xml:space="preserve">Volume Nominal </t>
  </si>
  <si>
    <t xml:space="preserve">ml </t>
  </si>
  <si>
    <t>Iwaki</t>
  </si>
  <si>
    <t>%RH</t>
  </si>
  <si>
    <t>Thermohygro Rotronic data 2025</t>
  </si>
  <si>
    <t>Awal</t>
  </si>
  <si>
    <t>Koreksi suhu</t>
  </si>
  <si>
    <t xml:space="preserve">Koreksi RH </t>
  </si>
  <si>
    <t>Akhir</t>
  </si>
  <si>
    <t>T (°C)</t>
  </si>
  <si>
    <t xml:space="preserve">Koreksi  </t>
  </si>
  <si>
    <t>RH (%)</t>
  </si>
  <si>
    <t>Rata2</t>
  </si>
  <si>
    <t>Terkoreksi</t>
  </si>
  <si>
    <t>Fluktuasi suhu</t>
  </si>
  <si>
    <t>Flu+U95</t>
  </si>
  <si>
    <t>Kondisi Ruang</t>
  </si>
  <si>
    <t>Suhu (°C)</t>
  </si>
  <si>
    <t xml:space="preserve">Koreksi Tekanan </t>
  </si>
  <si>
    <t>Jl. A. H. Nasution No. 117, Pasir Endah, Kec. ujung Berung, Bandung 40619</t>
  </si>
  <si>
    <t>UPTD. Laboratorium Lingkungan Hidup, DLH Jawa Barat</t>
  </si>
  <si>
    <t>K683-1</t>
  </si>
  <si>
    <t>Pipet Volume</t>
  </si>
  <si>
    <t>24 November 2025</t>
  </si>
  <si>
    <t>1 Desember 2025</t>
  </si>
  <si>
    <r>
      <t xml:space="preserve">Nomor / </t>
    </r>
    <r>
      <rPr>
        <i/>
        <sz val="11"/>
        <color rgb="FF000000"/>
        <rFont val="Bookman Old Style"/>
        <family val="1"/>
      </rPr>
      <t xml:space="preserve">Number </t>
    </r>
    <r>
      <rPr>
        <sz val="11"/>
        <color rgb="FF000000"/>
        <rFont val="Bookman Old Style"/>
        <family val="1"/>
      </rPr>
      <t>: 0187-2.3/KALIBRASI BBLM/XII/2025</t>
    </r>
  </si>
  <si>
    <t>Penguji Mutu Barang Ahli Madya</t>
  </si>
  <si>
    <t>NIP. 197109301994032002</t>
  </si>
  <si>
    <t>Diterbitkan Tanggal 17 Desember 2025</t>
  </si>
  <si>
    <t>: SNSU PK.M-05:2023</t>
  </si>
  <si>
    <r>
      <t xml:space="preserve">1. Alat ini dikalibrasi dengan Timbangan Analitik AND-MH300 ns: 13504868 dan
</t>
    </r>
    <r>
      <rPr>
        <i/>
        <sz val="11"/>
        <color rgb="FF000000"/>
        <rFont val="Bookman Old Style"/>
        <family val="1"/>
      </rPr>
      <t xml:space="preserve">    Termohygrometer</t>
    </r>
    <r>
      <rPr>
        <sz val="11"/>
        <color rgb="FF000000"/>
        <rFont val="Bookman Old Style"/>
        <family val="1"/>
      </rPr>
      <t xml:space="preserve"> Rotronic ns: A20010112 yang tertelusur ke SI melalui LK-001-IDN. </t>
    </r>
  </si>
  <si>
    <t xml:space="preserve">: Koreksi pembacaan Timbangan dilakukan pada beban </t>
  </si>
  <si>
    <t>: Timbangan dilakukan penyetelan sebelum dilakukan</t>
  </si>
  <si>
    <t xml:space="preserve">  kalibrasi sesuai dengan prosedur manufaktur.</t>
  </si>
  <si>
    <t>Sebelum penyetelan</t>
  </si>
  <si>
    <t>Setelah Penyetelan</t>
  </si>
  <si>
    <t>PRE-ADJUSTMENT</t>
  </si>
  <si>
    <t>E2</t>
  </si>
  <si>
    <t>ADJUSTMENT</t>
  </si>
  <si>
    <t>(max )</t>
  </si>
  <si>
    <t>g</t>
  </si>
  <si>
    <t xml:space="preserve">Beban </t>
  </si>
  <si>
    <t>Massa konvensional dari sertifikat</t>
  </si>
  <si>
    <t xml:space="preserve"> Reading</t>
  </si>
  <si>
    <t xml:space="preserve">Means </t>
  </si>
  <si>
    <t xml:space="preserve"> </t>
  </si>
  <si>
    <t>Nominal 
(g)</t>
  </si>
  <si>
    <t>Massa konvensional 
(g)</t>
  </si>
  <si>
    <t>U95 
(mg)</t>
  </si>
  <si>
    <t>200*</t>
  </si>
  <si>
    <t>20*</t>
  </si>
  <si>
    <t>2*</t>
  </si>
  <si>
    <t>0.2*</t>
  </si>
  <si>
    <t>E2 KERN GERMANY</t>
  </si>
  <si>
    <t>AT Standar</t>
  </si>
  <si>
    <t>Timbangan Analitik</t>
  </si>
  <si>
    <t>Difference ri-zi</t>
  </si>
  <si>
    <t>Correction Mi-(ri-zi)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</si>
  <si>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</si>
  <si>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</si>
  <si>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</si>
  <si>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</si>
  <si>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</si>
  <si>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</si>
  <si>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</si>
  <si>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</si>
  <si>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</si>
  <si>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</si>
  <si>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</si>
  <si>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</si>
  <si>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</si>
  <si>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</si>
  <si>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</si>
  <si>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</si>
  <si>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</si>
  <si>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</si>
  <si>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</si>
  <si>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</si>
  <si>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Nominal  (ml)</t>
  </si>
  <si>
    <t>Nominal (ml)</t>
  </si>
  <si>
    <t xml:space="preserve">-----------------&gt; REKAP NILAI </t>
  </si>
  <si>
    <t xml:space="preserve">Nilai U </t>
  </si>
  <si>
    <t xml:space="preserve">Koefiesien Sensitivitas </t>
  </si>
  <si>
    <t xml:space="preserve">Komponen </t>
  </si>
  <si>
    <t>CMC</t>
  </si>
  <si>
    <t xml:space="preserve">CMC Gelas Ukur </t>
  </si>
  <si>
    <t>Range</t>
  </si>
  <si>
    <t>CMC Labu Ukur</t>
  </si>
  <si>
    <t>Buret</t>
  </si>
  <si>
    <t xml:space="preserve">Pipet Ukur </t>
  </si>
  <si>
    <t>cmc</t>
  </si>
  <si>
    <t>List</t>
  </si>
  <si>
    <t xml:space="preserve">Gelas Ukur </t>
  </si>
  <si>
    <t xml:space="preserve">Labu Ukur </t>
  </si>
  <si>
    <t xml:space="preserve">Buret </t>
  </si>
  <si>
    <t xml:space="preserve">Pipet Volume </t>
  </si>
  <si>
    <t xml:space="preserve">Pipet Ukur  </t>
  </si>
  <si>
    <t>IF</t>
  </si>
  <si>
    <t>Range 1</t>
  </si>
  <si>
    <t>Range 2</t>
  </si>
  <si>
    <t>kap</t>
  </si>
  <si>
    <t xml:space="preserve">Output </t>
  </si>
  <si>
    <t>Database CMC</t>
  </si>
  <si>
    <t xml:space="preserve">&lt;----- Isi angka saja </t>
  </si>
  <si>
    <t>Elis Sofianti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</si>
</sst>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.000000"/>
    <numFmt numFmtId="166" formatCode="0.0000"/>
    <numFmt numFmtId="167" formatCode="0.00000"/>
    <numFmt numFmtId="168" formatCode="0.0000000"/>
    <numFmt numFmtId="169" formatCode="0.0000000000"/>
    <numFmt numFmtId="170" formatCode="0.00000E+00"/>
    <numFmt numFmtId="171" formatCode="0.000"/>
  </numFmts>
  <fonts count="3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mbria Math"/>
      <family val="1"/>
      <charset val="1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1"/>
      <name val="Calibri"/>
      <family val="2"/>
    </font>
    <font>
      <b/>
      <sz val="18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i/>
      <sz val="11"/>
      <color rgb="FF000000"/>
      <name val="Bookman Old Style"/>
      <family val="1"/>
    </font>
    <font>
      <b/>
      <u/>
      <sz val="11"/>
      <name val="Bookman Old Style"/>
      <family val="1"/>
    </font>
    <font>
      <b/>
      <i/>
      <sz val="8"/>
      <name val="Bookman Old Style"/>
      <family val="1"/>
    </font>
    <font>
      <sz val="11"/>
      <name val="Bookman Old Style"/>
      <family val="1"/>
    </font>
    <font>
      <i/>
      <sz val="8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1"/>
      <color rgb="FF000000"/>
      <name val="Calibri"/>
      <family val="2"/>
    </font>
    <font>
      <sz val="12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color rgb="FF000000"/>
      <name val="Bookman Old Style"/>
      <family val="1"/>
    </font>
    <font>
      <b/>
      <sz val="11"/>
      <color theme="1"/>
      <name val="Bookman Old Style"/>
      <family val="1"/>
    </font>
    <font>
      <b/>
      <vertAlign val="subscript"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11"/>
      <color theme="1"/>
      <name val="Bookman Old Style"/>
      <family val="1"/>
    </font>
    <font>
      <sz val="11"/>
      <color rgb="FF000000"/>
      <name val="Bookman Old Style"/>
      <family val="1"/>
      <charset val="1"/>
    </font>
    <font>
      <u/>
      <sz val="11"/>
      <color rgb="FF000000"/>
      <name val="Bookman Old Style"/>
      <family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70C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theme="8" tint="0.79989013336588644"/>
        <bgColor rgb="FFE7E6E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/>
        <bgColor rgb="FF99CCFF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12" fillId="0" borderId="0">
      <alignment vertical="center"/>
    </xf>
    <xf numFmtId="0" fontId="25" fillId="0" borderId="0"/>
    <xf numFmtId="0" fontId="1" fillId="0" borderId="0"/>
  </cellStyleXfs>
  <cellXfs count="194">
    <xf numFmtId="0" fontId="0" fillId="0" borderId="0" xfId="0"/>
    <xf numFmtId="0" fontId="2" fillId="0" borderId="0" xfId="3" applyAlignment="1">
      <alignment horizontal="center"/>
    </xf>
    <xf numFmtId="0" fontId="2" fillId="0" borderId="0" xfId="3"/>
    <xf numFmtId="0" fontId="3" fillId="0" borderId="0" xfId="3" applyFont="1" applyAlignment="1">
      <alignment horizontal="center" vertical="top"/>
    </xf>
    <xf numFmtId="0" fontId="2" fillId="0" borderId="0" xfId="3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4" fillId="0" borderId="0" xfId="3" applyFont="1"/>
    <xf numFmtId="166" fontId="2" fillId="0" borderId="0" xfId="3" applyNumberFormat="1"/>
    <xf numFmtId="165" fontId="2" fillId="0" borderId="0" xfId="3" applyNumberFormat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3" borderId="5" xfId="0" applyFont="1" applyFill="1" applyBorder="1"/>
    <xf numFmtId="0" fontId="8" fillId="3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/>
    <xf numFmtId="0" fontId="8" fillId="0" borderId="9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0" fontId="8" fillId="0" borderId="11" xfId="0" applyFont="1" applyBorder="1"/>
    <xf numFmtId="0" fontId="8" fillId="0" borderId="12" xfId="0" applyFont="1" applyBorder="1"/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2" fontId="8" fillId="0" borderId="5" xfId="0" applyNumberFormat="1" applyFont="1" applyBorder="1" applyAlignment="1">
      <alignment horizontal="right"/>
    </xf>
    <xf numFmtId="0" fontId="8" fillId="0" borderId="14" xfId="0" applyFont="1" applyBorder="1"/>
    <xf numFmtId="0" fontId="8" fillId="0" borderId="15" xfId="0" applyFont="1" applyBorder="1"/>
    <xf numFmtId="0" fontId="8" fillId="0" borderId="14" xfId="0" applyFont="1" applyBorder="1" applyAlignment="1">
      <alignment horizontal="center"/>
    </xf>
    <xf numFmtId="0" fontId="8" fillId="0" borderId="16" xfId="0" applyFont="1" applyBorder="1"/>
    <xf numFmtId="0" fontId="0" fillId="0" borderId="17" xfId="0" applyBorder="1"/>
    <xf numFmtId="167" fontId="0" fillId="0" borderId="0" xfId="0" applyNumberFormat="1"/>
    <xf numFmtId="0" fontId="10" fillId="0" borderId="0" xfId="0" applyFont="1"/>
    <xf numFmtId="0" fontId="0" fillId="5" borderId="1" xfId="0" applyFill="1" applyBorder="1"/>
    <xf numFmtId="167" fontId="2" fillId="0" borderId="0" xfId="3" applyNumberFormat="1"/>
    <xf numFmtId="166" fontId="8" fillId="4" borderId="6" xfId="0" applyNumberFormat="1" applyFont="1" applyFill="1" applyBorder="1" applyAlignment="1">
      <alignment horizontal="right"/>
    </xf>
    <xf numFmtId="168" fontId="8" fillId="0" borderId="7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0" xfId="0" applyFont="1"/>
    <xf numFmtId="169" fontId="0" fillId="0" borderId="0" xfId="0" applyNumberFormat="1"/>
    <xf numFmtId="0" fontId="11" fillId="0" borderId="0" xfId="0" applyFont="1"/>
    <xf numFmtId="166" fontId="8" fillId="0" borderId="4" xfId="4" applyNumberFormat="1" applyFont="1" applyBorder="1" applyAlignment="1">
      <alignment horizontal="center"/>
    </xf>
    <xf numFmtId="166" fontId="8" fillId="3" borderId="5" xfId="0" applyNumberFormat="1" applyFont="1" applyFill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166" fontId="8" fillId="0" borderId="6" xfId="0" applyNumberFormat="1" applyFont="1" applyBorder="1" applyAlignment="1">
      <alignment horizontal="center"/>
    </xf>
    <xf numFmtId="0" fontId="0" fillId="6" borderId="0" xfId="0" applyFill="1"/>
    <xf numFmtId="0" fontId="8" fillId="0" borderId="7" xfId="0" applyFont="1" applyBorder="1"/>
    <xf numFmtId="0" fontId="0" fillId="6" borderId="19" xfId="0" applyFill="1" applyBorder="1"/>
    <xf numFmtId="0" fontId="0" fillId="0" borderId="19" xfId="0" applyBorder="1"/>
    <xf numFmtId="0" fontId="8" fillId="4" borderId="19" xfId="0" applyFont="1" applyFill="1" applyBorder="1"/>
    <xf numFmtId="0" fontId="0" fillId="4" borderId="19" xfId="0" applyFill="1" applyBorder="1"/>
    <xf numFmtId="0" fontId="8" fillId="4" borderId="18" xfId="0" applyFont="1" applyFill="1" applyBorder="1"/>
    <xf numFmtId="0" fontId="10" fillId="0" borderId="19" xfId="0" applyFont="1" applyBorder="1"/>
    <xf numFmtId="0" fontId="10" fillId="0" borderId="18" xfId="0" applyFont="1" applyBorder="1"/>
    <xf numFmtId="167" fontId="0" fillId="0" borderId="19" xfId="0" applyNumberFormat="1" applyBorder="1"/>
    <xf numFmtId="0" fontId="12" fillId="0" borderId="0" xfId="5">
      <alignment vertical="center"/>
    </xf>
    <xf numFmtId="0" fontId="15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2" fillId="0" borderId="0" xfId="5" applyAlignment="1">
      <alignment vertical="center" wrapText="1"/>
    </xf>
    <xf numFmtId="0" fontId="18" fillId="0" borderId="0" xfId="5" applyFont="1">
      <alignment vertical="center"/>
    </xf>
    <xf numFmtId="0" fontId="15" fillId="0" borderId="0" xfId="5" applyFont="1">
      <alignment vertical="center"/>
    </xf>
    <xf numFmtId="0" fontId="19" fillId="0" borderId="0" xfId="5" applyFont="1" applyAlignment="1">
      <alignment horizontal="right" vertical="center"/>
    </xf>
    <xf numFmtId="0" fontId="20" fillId="0" borderId="0" xfId="5" applyFont="1">
      <alignment vertical="center"/>
    </xf>
    <xf numFmtId="0" fontId="15" fillId="0" borderId="0" xfId="5" applyFont="1" applyAlignment="1">
      <alignment horizontal="justify" vertical="center"/>
    </xf>
    <xf numFmtId="0" fontId="20" fillId="0" borderId="0" xfId="5" applyFont="1" applyAlignment="1">
      <alignment horizontal="justify" vertical="center"/>
    </xf>
    <xf numFmtId="0" fontId="12" fillId="0" borderId="0" xfId="5" applyAlignment="1">
      <alignment horizontal="right" vertical="center"/>
    </xf>
    <xf numFmtId="0" fontId="21" fillId="0" borderId="0" xfId="5" applyFont="1">
      <alignment vertical="center"/>
    </xf>
    <xf numFmtId="0" fontId="22" fillId="0" borderId="0" xfId="5" applyFont="1">
      <alignment vertical="center"/>
    </xf>
    <xf numFmtId="0" fontId="23" fillId="0" borderId="0" xfId="5" applyFont="1">
      <alignment vertical="center"/>
    </xf>
    <xf numFmtId="0" fontId="15" fillId="0" borderId="0" xfId="5" applyFont="1" applyAlignment="1">
      <alignment vertical="top" wrapText="1"/>
    </xf>
    <xf numFmtId="0" fontId="24" fillId="0" borderId="0" xfId="5" applyFont="1">
      <alignment vertical="center"/>
    </xf>
    <xf numFmtId="0" fontId="20" fillId="0" borderId="0" xfId="5" applyFont="1" applyAlignment="1">
      <alignment horizontal="center" vertical="center"/>
    </xf>
    <xf numFmtId="0" fontId="23" fillId="0" borderId="0" xfId="5" applyFont="1" applyAlignment="1">
      <alignment horizontal="center" vertical="center"/>
    </xf>
    <xf numFmtId="0" fontId="25" fillId="0" borderId="0" xfId="6"/>
    <xf numFmtId="0" fontId="19" fillId="0" borderId="0" xfId="5" applyFont="1">
      <alignment vertical="center"/>
    </xf>
    <xf numFmtId="0" fontId="26" fillId="0" borderId="0" xfId="5" applyFont="1">
      <alignment vertical="center"/>
    </xf>
    <xf numFmtId="0" fontId="21" fillId="0" borderId="0" xfId="5" applyFont="1" applyAlignment="1">
      <alignment horizontal="left" vertical="center"/>
    </xf>
    <xf numFmtId="0" fontId="27" fillId="0" borderId="0" xfId="7" applyFont="1" applyAlignment="1">
      <alignment vertical="center" wrapText="1"/>
    </xf>
    <xf numFmtId="1" fontId="29" fillId="0" borderId="0" xfId="7" applyNumberFormat="1" applyFont="1" applyAlignment="1">
      <alignment horizontal="center" vertical="center" wrapText="1"/>
    </xf>
    <xf numFmtId="2" fontId="29" fillId="0" borderId="0" xfId="7" applyNumberFormat="1" applyFont="1" applyAlignment="1">
      <alignment vertical="center"/>
    </xf>
    <xf numFmtId="171" fontId="29" fillId="0" borderId="0" xfId="7" applyNumberFormat="1" applyFont="1" applyAlignment="1">
      <alignment vertical="center"/>
    </xf>
    <xf numFmtId="0" fontId="0" fillId="0" borderId="22" xfId="0" applyBorder="1"/>
    <xf numFmtId="0" fontId="10" fillId="0" borderId="22" xfId="0" applyFont="1" applyBorder="1"/>
    <xf numFmtId="0" fontId="0" fillId="0" borderId="23" xfId="0" applyBorder="1"/>
    <xf numFmtId="0" fontId="0" fillId="0" borderId="21" xfId="0" applyBorder="1"/>
    <xf numFmtId="0" fontId="0" fillId="6" borderId="23" xfId="0" applyFill="1" applyBorder="1"/>
    <xf numFmtId="0" fontId="10" fillId="6" borderId="22" xfId="0" applyFont="1" applyFill="1" applyBorder="1"/>
    <xf numFmtId="165" fontId="10" fillId="0" borderId="22" xfId="0" applyNumberFormat="1" applyFont="1" applyBorder="1"/>
    <xf numFmtId="170" fontId="10" fillId="0" borderId="22" xfId="0" applyNumberFormat="1" applyFont="1" applyBorder="1"/>
    <xf numFmtId="168" fontId="0" fillId="0" borderId="22" xfId="0" applyNumberFormat="1" applyBorder="1"/>
    <xf numFmtId="0" fontId="0" fillId="0" borderId="20" xfId="0" applyBorder="1"/>
    <xf numFmtId="0" fontId="30" fillId="0" borderId="1" xfId="0" applyFont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9" fillId="0" borderId="0" xfId="0" applyFont="1"/>
    <xf numFmtId="0" fontId="9" fillId="0" borderId="1" xfId="0" applyFont="1" applyBorder="1"/>
    <xf numFmtId="0" fontId="0" fillId="7" borderId="1" xfId="0" applyFill="1" applyBorder="1"/>
    <xf numFmtId="2" fontId="0" fillId="0" borderId="0" xfId="0" applyNumberFormat="1"/>
    <xf numFmtId="0" fontId="2" fillId="0" borderId="0" xfId="3" applyAlignment="1">
      <alignment wrapText="1"/>
    </xf>
    <xf numFmtId="0" fontId="9" fillId="4" borderId="1" xfId="0" applyFont="1" applyFill="1" applyBorder="1" applyAlignment="1">
      <alignment horizontal="left"/>
    </xf>
    <xf numFmtId="164" fontId="0" fillId="0" borderId="0" xfId="0" applyNumberFormat="1"/>
    <xf numFmtId="0" fontId="9" fillId="3" borderId="1" xfId="0" applyFont="1" applyFill="1" applyBorder="1"/>
    <xf numFmtId="0" fontId="19" fillId="0" borderId="0" xfId="0" applyFont="1"/>
    <xf numFmtId="0" fontId="31" fillId="0" borderId="0" xfId="0" applyFont="1"/>
    <xf numFmtId="0" fontId="31" fillId="0" borderId="0" xfId="0" applyFont="1" applyAlignment="1">
      <alignment horizontal="center"/>
    </xf>
    <xf numFmtId="0" fontId="31" fillId="8" borderId="0" xfId="0" applyFont="1" applyFill="1"/>
    <xf numFmtId="49" fontId="9" fillId="4" borderId="1" xfId="0" applyNumberFormat="1" applyFont="1" applyFill="1" applyBorder="1"/>
    <xf numFmtId="49" fontId="9" fillId="4" borderId="1" xfId="0" applyNumberFormat="1" applyFont="1" applyFill="1" applyBorder="1" applyAlignment="1">
      <alignment horizontal="left"/>
    </xf>
    <xf numFmtId="0" fontId="32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5" fillId="0" borderId="0" xfId="5" quotePrefix="1" applyFont="1" applyAlignment="1">
      <alignment horizontal="left" vertical="center"/>
    </xf>
    <xf numFmtId="0" fontId="0" fillId="0" borderId="0" xfId="0" applyAlignment="1">
      <alignment vertical="center"/>
    </xf>
    <xf numFmtId="0" fontId="3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4" fillId="0" borderId="0" xfId="5" applyFont="1">
      <alignment vertical="center"/>
    </xf>
    <xf numFmtId="0" fontId="35" fillId="0" borderId="0" xfId="0" applyFont="1"/>
    <xf numFmtId="0" fontId="36" fillId="0" borderId="0" xfId="0" applyFont="1" applyAlignment="1">
      <alignment horizontal="right" vertical="center"/>
    </xf>
    <xf numFmtId="167" fontId="36" fillId="0" borderId="0" xfId="0" applyNumberFormat="1" applyFont="1" applyAlignment="1">
      <alignment vertical="center"/>
    </xf>
    <xf numFmtId="0" fontId="37" fillId="9" borderId="0" xfId="0" applyFont="1" applyFill="1"/>
    <xf numFmtId="0" fontId="37" fillId="0" borderId="1" xfId="0" applyFont="1" applyBorder="1"/>
    <xf numFmtId="166" fontId="37" fillId="10" borderId="1" xfId="0" applyNumberFormat="1" applyFont="1" applyFill="1" applyBorder="1"/>
    <xf numFmtId="2" fontId="37" fillId="0" borderId="1" xfId="0" applyNumberFormat="1" applyFont="1" applyBorder="1"/>
    <xf numFmtId="167" fontId="37" fillId="0" borderId="1" xfId="0" applyNumberFormat="1" applyFont="1" applyBorder="1"/>
    <xf numFmtId="166" fontId="37" fillId="0" borderId="1" xfId="0" applyNumberFormat="1" applyFont="1" applyBorder="1"/>
    <xf numFmtId="166" fontId="38" fillId="0" borderId="1" xfId="0" applyNumberFormat="1" applyFont="1" applyBorder="1"/>
    <xf numFmtId="0" fontId="36" fillId="11" borderId="1" xfId="0" applyFont="1" applyFill="1" applyBorder="1" applyAlignment="1">
      <alignment horizontal="center" vertical="center" wrapText="1"/>
    </xf>
    <xf numFmtId="0" fontId="12" fillId="0" borderId="1" xfId="5" applyBorder="1" applyAlignment="1"/>
    <xf numFmtId="165" fontId="12" fillId="0" borderId="25" xfId="5" applyNumberFormat="1" applyBorder="1" applyAlignment="1">
      <alignment horizontal="right"/>
    </xf>
    <xf numFmtId="0" fontId="12" fillId="0" borderId="1" xfId="5" applyBorder="1" applyAlignment="1">
      <alignment horizontal="right"/>
    </xf>
    <xf numFmtId="165" fontId="37" fillId="0" borderId="0" xfId="5" applyNumberFormat="1" applyFont="1" applyAlignment="1"/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9" fillId="0" borderId="0" xfId="0" applyFont="1" applyAlignment="1">
      <alignment vertical="center"/>
    </xf>
    <xf numFmtId="0" fontId="2" fillId="12" borderId="0" xfId="3" applyFill="1" applyAlignment="1">
      <alignment horizontal="center"/>
    </xf>
    <xf numFmtId="0" fontId="2" fillId="12" borderId="0" xfId="3" applyFill="1"/>
    <xf numFmtId="0" fontId="9" fillId="4" borderId="1" xfId="0" applyFont="1" applyFill="1" applyBorder="1"/>
    <xf numFmtId="0" fontId="2" fillId="13" borderId="0" xfId="3" applyFill="1" applyAlignment="1">
      <alignment horizontal="center"/>
    </xf>
    <xf numFmtId="0" fontId="2" fillId="13" borderId="0" xfId="3" applyFill="1"/>
    <xf numFmtId="0" fontId="37" fillId="14" borderId="1" xfId="0" applyFont="1" applyFill="1" applyBorder="1"/>
    <xf numFmtId="0" fontId="37" fillId="0" borderId="0" xfId="0" applyFont="1"/>
    <xf numFmtId="0" fontId="9" fillId="0" borderId="0" xfId="0" quotePrefix="1" applyFont="1"/>
    <xf numFmtId="165" fontId="0" fillId="0" borderId="1" xfId="0" applyNumberFormat="1" applyBorder="1"/>
    <xf numFmtId="170" fontId="0" fillId="0" borderId="1" xfId="0" applyNumberFormat="1" applyBorder="1"/>
    <xf numFmtId="0" fontId="8" fillId="0" borderId="1" xfId="0" applyFont="1" applyBorder="1"/>
    <xf numFmtId="168" fontId="0" fillId="0" borderId="1" xfId="0" applyNumberFormat="1" applyBorder="1"/>
    <xf numFmtId="0" fontId="8" fillId="4" borderId="1" xfId="0" applyFont="1" applyFill="1" applyBorder="1"/>
    <xf numFmtId="0" fontId="0" fillId="0" borderId="26" xfId="0" applyBorder="1"/>
    <xf numFmtId="0" fontId="9" fillId="0" borderId="0" xfId="0" applyFont="1" applyAlignment="1">
      <alignment vertical="center" wrapText="1"/>
    </xf>
    <xf numFmtId="0" fontId="9" fillId="7" borderId="1" xfId="0" applyFont="1" applyFill="1" applyBorder="1" applyAlignment="1">
      <alignment horizontal="left"/>
    </xf>
    <xf numFmtId="167" fontId="31" fillId="8" borderId="0" xfId="0" applyNumberFormat="1" applyFont="1" applyFill="1"/>
    <xf numFmtId="171" fontId="31" fillId="8" borderId="0" xfId="0" applyNumberFormat="1" applyFont="1" applyFill="1"/>
    <xf numFmtId="0" fontId="0" fillId="0" borderId="0" xfId="0" quotePrefix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31" fillId="0" borderId="24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0" xfId="3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171" fontId="29" fillId="0" borderId="1" xfId="7" applyNumberFormat="1" applyFont="1" applyBorder="1" applyAlignment="1">
      <alignment horizontal="center" vertical="center"/>
    </xf>
    <xf numFmtId="0" fontId="29" fillId="0" borderId="2" xfId="7" applyFont="1" applyBorder="1" applyAlignment="1">
      <alignment horizontal="center" vertical="center" wrapText="1"/>
    </xf>
    <xf numFmtId="0" fontId="29" fillId="0" borderId="25" xfId="7" applyFont="1" applyBorder="1" applyAlignment="1">
      <alignment horizontal="center" vertical="center" wrapText="1"/>
    </xf>
    <xf numFmtId="164" fontId="29" fillId="0" borderId="1" xfId="7" applyNumberFormat="1" applyFont="1" applyBorder="1" applyAlignment="1">
      <alignment horizontal="center" vertical="center"/>
    </xf>
    <xf numFmtId="164" fontId="29" fillId="0" borderId="2" xfId="7" applyNumberFormat="1" applyFont="1" applyBorder="1" applyAlignment="1">
      <alignment horizontal="center" vertical="center" wrapText="1"/>
    </xf>
    <xf numFmtId="164" fontId="29" fillId="0" borderId="25" xfId="7" applyNumberFormat="1" applyFont="1" applyBorder="1" applyAlignment="1">
      <alignment horizontal="center" vertical="center" wrapText="1"/>
    </xf>
    <xf numFmtId="171" fontId="29" fillId="0" borderId="2" xfId="7" applyNumberFormat="1" applyFont="1" applyBorder="1" applyAlignment="1">
      <alignment horizontal="center" vertical="center" wrapText="1"/>
    </xf>
    <xf numFmtId="171" fontId="29" fillId="0" borderId="27" xfId="7" applyNumberFormat="1" applyFont="1" applyBorder="1" applyAlignment="1">
      <alignment horizontal="center" vertical="center" wrapText="1"/>
    </xf>
    <xf numFmtId="171" fontId="29" fillId="0" borderId="25" xfId="7" applyNumberFormat="1" applyFont="1" applyBorder="1" applyAlignment="1">
      <alignment horizontal="center" vertical="center" wrapText="1"/>
    </xf>
    <xf numFmtId="0" fontId="15" fillId="0" borderId="0" xfId="5" applyFont="1" applyAlignment="1">
      <alignment horizontal="left" vertical="center" wrapText="1"/>
    </xf>
    <xf numFmtId="0" fontId="13" fillId="0" borderId="0" xfId="5" applyFont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5" fillId="0" borderId="0" xfId="5" applyFont="1" applyAlignment="1">
      <alignment horizontal="center" vertical="center"/>
    </xf>
    <xf numFmtId="0" fontId="19" fillId="0" borderId="0" xfId="5" applyFont="1" applyAlignment="1">
      <alignment horizontal="left" vertical="top" wrapText="1"/>
    </xf>
    <xf numFmtId="0" fontId="15" fillId="0" borderId="0" xfId="5" applyFont="1" applyAlignment="1">
      <alignment horizontal="left" vertical="top" wrapText="1"/>
    </xf>
    <xf numFmtId="0" fontId="27" fillId="0" borderId="3" xfId="7" applyFont="1" applyBorder="1" applyAlignment="1">
      <alignment horizontal="center" vertical="center" wrapText="1"/>
    </xf>
    <xf numFmtId="0" fontId="27" fillId="0" borderId="3" xfId="7" applyFont="1" applyBorder="1" applyAlignment="1">
      <alignment horizontal="center" vertical="top" wrapText="1"/>
    </xf>
    <xf numFmtId="0" fontId="27" fillId="0" borderId="20" xfId="7" applyFont="1" applyBorder="1" applyAlignment="1">
      <alignment horizontal="center" vertical="center" wrapText="1"/>
    </xf>
    <xf numFmtId="0" fontId="27" fillId="0" borderId="21" xfId="7" applyFont="1" applyBorder="1" applyAlignment="1">
      <alignment horizontal="center" vertical="center" wrapText="1"/>
    </xf>
    <xf numFmtId="0" fontId="27" fillId="0" borderId="18" xfId="7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1" fontId="29" fillId="0" borderId="1" xfId="7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8">
    <cellStyle name="Comma" xfId="4" builtinId="3"/>
    <cellStyle name="Normal" xfId="0" builtinId="0"/>
    <cellStyle name="Normal 2" xfId="1" xr:uid="{00000000-0005-0000-0000-000006000000}"/>
    <cellStyle name="Normal 2 2" xfId="7" xr:uid="{A71830F6-6F63-4C54-BCD5-C58868DD7DB4}"/>
    <cellStyle name="Normal 3" xfId="2" xr:uid="{00000000-0005-0000-0000-000007000000}"/>
    <cellStyle name="Normal 3 2" xfId="5" xr:uid="{DE1B11EC-64F6-4B87-A861-0B2AE485911F}"/>
    <cellStyle name="Normal 4" xfId="3" xr:uid="{00000000-0005-0000-0000-000008000000}"/>
    <cellStyle name="Normal 6" xfId="6" xr:uid="{F615AE91-890F-4803-8807-40911EDC1EDD}"/>
  </cellStyles>
  <dxfs count="41">
    <dxf>
      <numFmt numFmtId="0" formatCode="General"/>
    </dxf>
    <dxf>
      <numFmt numFmtId="0" formatCode="General"/>
    </dxf>
    <dxf>
      <numFmt numFmtId="2" formatCode="0.00"/>
    </dxf>
    <dxf>
      <numFmt numFmtId="166" formatCode="0.0000"/>
    </dxf>
    <dxf>
      <numFmt numFmtId="166" formatCode="0.000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166" formatCode="0.0000"/>
    </dxf>
    <dxf>
      <numFmt numFmtId="166" formatCode="0.000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166" formatCode="0.0000"/>
    </dxf>
    <dxf>
      <numFmt numFmtId="166" formatCode="0.000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166" formatCode="0.0000"/>
    </dxf>
    <dxf>
      <numFmt numFmtId="166" formatCode="0.000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166" formatCode="0.0000"/>
    </dxf>
    <dxf>
      <numFmt numFmtId="166" formatCode="0.000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E6B9B8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84807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Koreksi Scientech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'Database '!$Y$2</c:f>
              <c:strCache>
                <c:ptCount val="1"/>
                <c:pt idx="0">
                  <c:v>Koreksi (g)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104593175853021"/>
                  <c:y val="-4.37368766404199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'Database '!$X$3:$X$12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'Database '!$Y$3:$Y$12</c:f>
              <c:numCache>
                <c:formatCode>General</c:formatCode>
                <c:ptCount val="10"/>
                <c:pt idx="0">
                  <c:v>0</c:v>
                </c:pt>
                <c:pt idx="1">
                  <c:v>-1E-3</c:v>
                </c:pt>
                <c:pt idx="2">
                  <c:v>-2E-3</c:v>
                </c:pt>
                <c:pt idx="3">
                  <c:v>-1E-3</c:v>
                </c:pt>
                <c:pt idx="4">
                  <c:v>-2E-3</c:v>
                </c:pt>
                <c:pt idx="5">
                  <c:v>-4.0000000000000001E-3</c:v>
                </c:pt>
                <c:pt idx="6">
                  <c:v>-8.0000000000000002E-3</c:v>
                </c:pt>
                <c:pt idx="7">
                  <c:v>-4.0000000000000001E-3</c:v>
                </c:pt>
                <c:pt idx="8">
                  <c:v>-6.0000000000000001E-3</c:v>
                </c:pt>
                <c:pt idx="9">
                  <c:v>-8.0000000000000002E-3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3-4E38-AA83-4ECC09502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813711"/>
        <c:axId val="1794816591"/>
      </c:scatterChart>
      <c:valAx>
        <c:axId val="179481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816591"/>
        <c:crosses val="autoZero"/>
        <c:crossBetween val="midCat"/>
      </c:valAx>
      <c:valAx>
        <c:axId val="179481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81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Koreksi Sartorius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'Database '!$AC$2</c:f>
              <c:strCache>
                <c:ptCount val="1"/>
                <c:pt idx="0">
                  <c:v>Koreksi (g)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3.9081422514493383E-2"/>
                  <c:y val="-0.387787331181303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'Database '!$AB$3:$AB$12</c:f>
              <c:numCache>
                <c:formatCode>General</c:formatCode>
                <c:ptCount val="10"/>
                <c:pt idx="0">
                  <c:v>250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5000</c:v>
                </c:pt>
              </c:numCache>
            </c:numRef>
          </c:xVal>
          <c:yVal>
            <c:numRef>
              <c:f>'Database '!$AC$3:$AC$12</c:f>
              <c:numCache>
                <c:formatCode>General</c:formatCode>
                <c:ptCount val="10"/>
                <c:pt idx="0">
                  <c:v>-2E-3</c:v>
                </c:pt>
                <c:pt idx="1">
                  <c:v>-0.01</c:v>
                </c:pt>
                <c:pt idx="2">
                  <c:v>-1.7999999999999999E-2</c:v>
                </c:pt>
                <c:pt idx="3">
                  <c:v>-2.3E-2</c:v>
                </c:pt>
                <c:pt idx="4">
                  <c:v>-2.9000000000000001E-2</c:v>
                </c:pt>
                <c:pt idx="5">
                  <c:v>-2.9000000000000001E-2</c:v>
                </c:pt>
                <c:pt idx="6">
                  <c:v>-0.03</c:v>
                </c:pt>
                <c:pt idx="7">
                  <c:v>-2.4E-2</c:v>
                </c:pt>
                <c:pt idx="8">
                  <c:v>-2.7E-2</c:v>
                </c:pt>
                <c:pt idx="9">
                  <c:v>-3.5000000000000003E-2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0-4CB3-BAA2-03D8A6FB2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946095"/>
        <c:axId val="1742949455"/>
      </c:scatterChart>
      <c:valAx>
        <c:axId val="174294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49455"/>
        <c:crosses val="autoZero"/>
        <c:crossBetween val="midCat"/>
      </c:valAx>
      <c:valAx>
        <c:axId val="17429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4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Koreksi HM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'Database '!$U$2</c:f>
              <c:strCache>
                <c:ptCount val="1"/>
                <c:pt idx="0">
                  <c:v>Koreksi (g)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3351878634218345"/>
                  <c:y val="0.387159297395517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'Database '!$T$3:$T$12</c:f>
              <c:numCache>
                <c:formatCode>General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xVal>
          <c:yVal>
            <c:numRef>
              <c:f>'Database '!$U$3:$U$12</c:f>
              <c:numCache>
                <c:formatCode>0.00000</c:formatCode>
                <c:ptCount val="10"/>
                <c:pt idx="0" formatCode="General">
                  <c:v>5.0000000000000002E-5</c:v>
                </c:pt>
                <c:pt idx="1">
                  <c:v>2.9999999999999997E-4</c:v>
                </c:pt>
                <c:pt idx="2" formatCode="General">
                  <c:v>4.8000000000000001E-4</c:v>
                </c:pt>
                <c:pt idx="3" formatCode="General">
                  <c:v>5.5999999999999995E-4</c:v>
                </c:pt>
                <c:pt idx="4" formatCode="General">
                  <c:v>5.5000000000000003E-4</c:v>
                </c:pt>
                <c:pt idx="5" formatCode="General">
                  <c:v>3.5E-4</c:v>
                </c:pt>
                <c:pt idx="6" formatCode="General">
                  <c:v>3.3E-4</c:v>
                </c:pt>
                <c:pt idx="7" formatCode="General">
                  <c:v>5.0000000000000002E-5</c:v>
                </c:pt>
                <c:pt idx="8" formatCode="General">
                  <c:v>1.4999999999999999E-4</c:v>
                </c:pt>
                <c:pt idx="9" formatCode="General">
                  <c:v>5.8E-4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3-4579-A823-F83618711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146447"/>
        <c:axId val="1930145487"/>
      </c:scatterChart>
      <c:valAx>
        <c:axId val="193014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45487"/>
        <c:crosses val="autoZero"/>
        <c:crossBetween val="midCat"/>
      </c:valAx>
      <c:valAx>
        <c:axId val="193014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4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Koreksi Testo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'Database '!$Q$2</c:f>
              <c:strCache>
                <c:ptCount val="1"/>
                <c:pt idx="0">
                  <c:v>Koreksi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4926089462697759"/>
                  <c:y val="-0.38695662801521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'Database '!$P$3:$P$11</c:f>
              <c:numCache>
                <c:formatCode>General</c:formatCode>
                <c:ptCount val="9"/>
                <c:pt idx="0">
                  <c:v>16.3</c:v>
                </c:pt>
                <c:pt idx="1">
                  <c:v>18</c:v>
                </c:pt>
                <c:pt idx="2">
                  <c:v>19.3</c:v>
                </c:pt>
                <c:pt idx="3">
                  <c:v>20.100000000000001</c:v>
                </c:pt>
                <c:pt idx="4">
                  <c:v>21.1</c:v>
                </c:pt>
                <c:pt idx="5">
                  <c:v>24.2</c:v>
                </c:pt>
                <c:pt idx="6">
                  <c:v>25.1</c:v>
                </c:pt>
                <c:pt idx="7">
                  <c:v>26.1</c:v>
                </c:pt>
                <c:pt idx="8">
                  <c:v>30.1</c:v>
                </c:pt>
              </c:numCache>
            </c:numRef>
          </c:xVal>
          <c:yVal>
            <c:numRef>
              <c:f>'Database '!$Q$3:$Q$11</c:f>
              <c:numCache>
                <c:formatCode>General</c:formatCode>
                <c:ptCount val="9"/>
                <c:pt idx="0">
                  <c:v>0.1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-0.1</c:v>
                </c:pt>
                <c:pt idx="5">
                  <c:v>-0.2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A-4635-B23D-EDB85965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67823"/>
        <c:axId val="533368303"/>
      </c:scatterChart>
      <c:valAx>
        <c:axId val="53336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68303"/>
        <c:crosses val="autoZero"/>
        <c:crossBetween val="midCat"/>
      </c:valAx>
      <c:valAx>
        <c:axId val="5333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6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Koreksi Rotronik</a:t>
            </a:r>
            <a:r>
              <a:rPr lang="en-US" baseline="0"/>
              <a:t> Suhu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985623418694291E-2"/>
          <c:y val="0.16575506012296035"/>
          <c:w val="0.86627864084556994"/>
          <c:h val="0.725982783041830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'Database '!$C$2</c:f>
              <c:strCache>
                <c:ptCount val="1"/>
                <c:pt idx="0">
                  <c:v>Koreksi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941851471464616"/>
                  <c:y val="-8.8489619530080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'Database '!$B$3:$B$7</c:f>
              <c:numCache>
                <c:formatCode>General</c:formatCode>
                <c:ptCount val="5"/>
                <c:pt idx="0">
                  <c:v>19.899999999999999</c:v>
                </c:pt>
                <c:pt idx="1">
                  <c:v>25.2</c:v>
                </c:pt>
                <c:pt idx="2">
                  <c:v>30.3</c:v>
                </c:pt>
                <c:pt idx="3">
                  <c:v>35.6</c:v>
                </c:pt>
                <c:pt idx="4">
                  <c:v>40.700000000000003</c:v>
                </c:pt>
              </c:numCache>
            </c:numRef>
          </c:xVal>
          <c:yVal>
            <c:numRef>
              <c:f>'Database '!$C$3:$C$7</c:f>
              <c:numCache>
                <c:formatCode>General</c:formatCode>
                <c:ptCount val="5"/>
                <c:pt idx="0">
                  <c:v>0.1</c:v>
                </c:pt>
                <c:pt idx="1">
                  <c:v>-0.2</c:v>
                </c:pt>
                <c:pt idx="2">
                  <c:v>-0.3</c:v>
                </c:pt>
                <c:pt idx="3">
                  <c:v>-0.6</c:v>
                </c:pt>
                <c:pt idx="4">
                  <c:v>-0.7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7-497F-86B1-D304BAAA2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83551"/>
        <c:axId val="1809085471"/>
      </c:scatterChart>
      <c:valAx>
        <c:axId val="18090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85471"/>
        <c:crosses val="autoZero"/>
        <c:crossBetween val="midCat"/>
      </c:valAx>
      <c:valAx>
        <c:axId val="18090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8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Koreksi Rotronik</a:t>
            </a:r>
            <a:r>
              <a:rPr lang="en-US" baseline="0"/>
              <a:t> Kelembaban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'Database '!$H$2</c:f>
              <c:strCache>
                <c:ptCount val="1"/>
                <c:pt idx="0">
                  <c:v>Koreksi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4629689850253638"/>
                  <c:y val="-3.13866275190177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'Database '!$G$3:$G$7</c:f>
              <c:numCache>
                <c:formatCode>General</c:formatCode>
                <c:ptCount val="5"/>
                <c:pt idx="0">
                  <c:v>39.799999999999997</c:v>
                </c:pt>
                <c:pt idx="1">
                  <c:v>50.3</c:v>
                </c:pt>
                <c:pt idx="2">
                  <c:v>60.3</c:v>
                </c:pt>
                <c:pt idx="3">
                  <c:v>70.099999999999994</c:v>
                </c:pt>
                <c:pt idx="4">
                  <c:v>80.599999999999994</c:v>
                </c:pt>
              </c:numCache>
            </c:numRef>
          </c:xVal>
          <c:yVal>
            <c:numRef>
              <c:f>'Database '!$H$3:$H$7</c:f>
              <c:numCache>
                <c:formatCode>General</c:formatCode>
                <c:ptCount val="5"/>
                <c:pt idx="0">
                  <c:v>0.2</c:v>
                </c:pt>
                <c:pt idx="1">
                  <c:v>-0.3</c:v>
                </c:pt>
                <c:pt idx="2">
                  <c:v>-0.3</c:v>
                </c:pt>
                <c:pt idx="3">
                  <c:v>-0.1</c:v>
                </c:pt>
                <c:pt idx="4">
                  <c:v>-0.6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A9-4B33-9AB5-ACE1E1BC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645007"/>
        <c:axId val="1927642127"/>
      </c:scatterChart>
      <c:valAx>
        <c:axId val="192764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642127"/>
        <c:crosses val="autoZero"/>
        <c:crossBetween val="midCat"/>
      </c:valAx>
      <c:valAx>
        <c:axId val="192764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64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Koreksi Rotronik Tekanan </a:t>
            </a:r>
          </a:p>
        </c:rich>
      </c:tx>
      <c:layout>
        <c:manualLayout>
          <c:xMode val="edge"/>
          <c:yMode val="edge"/>
          <c:x val="0.3565740740740741"/>
          <c:y val="3.2258064516129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'Database '!$M$2</c:f>
              <c:strCache>
                <c:ptCount val="1"/>
                <c:pt idx="0">
                  <c:v>Koreksi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2237945951200545"/>
                  <c:y val="0.11176234019134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'Database '!$L$3:$L$13</c:f>
              <c:numCache>
                <c:formatCode>General</c:formatCode>
                <c:ptCount val="11"/>
                <c:pt idx="0">
                  <c:v>936</c:v>
                </c:pt>
                <c:pt idx="1">
                  <c:v>957</c:v>
                </c:pt>
                <c:pt idx="2">
                  <c:v>977</c:v>
                </c:pt>
                <c:pt idx="3">
                  <c:v>987</c:v>
                </c:pt>
                <c:pt idx="4">
                  <c:v>997</c:v>
                </c:pt>
                <c:pt idx="5">
                  <c:v>1007</c:v>
                </c:pt>
                <c:pt idx="6">
                  <c:v>1017</c:v>
                </c:pt>
                <c:pt idx="7">
                  <c:v>1027</c:v>
                </c:pt>
                <c:pt idx="8">
                  <c:v>1037</c:v>
                </c:pt>
                <c:pt idx="9">
                  <c:v>1048</c:v>
                </c:pt>
                <c:pt idx="10">
                  <c:v>1058</c:v>
                </c:pt>
              </c:numCache>
            </c:numRef>
          </c:xVal>
          <c:yVal>
            <c:numRef>
              <c:f>'Database '!$M$3:$M$13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1-4A77-BF83-0BBCCE94F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74031"/>
        <c:axId val="1813162511"/>
      </c:scatterChart>
      <c:valAx>
        <c:axId val="181317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62511"/>
        <c:crosses val="autoZero"/>
        <c:crossBetween val="midCat"/>
      </c:valAx>
      <c:valAx>
        <c:axId val="181316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7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mamikos.com/room/kost-kota-bandung-kost-putra-eksklusif-kost-sekut-tipe-b1-coblong-bandung-2?redirection_source=property%20recommendatio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mamikos.com/room/kost-kota-bandung-kost-putra-eksklusif-kost-sekut-tipe-b1-coblong-bandung-2?redirection_source=property%20recommendation" TargetMode="Externa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29</xdr:row>
      <xdr:rowOff>0</xdr:rowOff>
    </xdr:from>
    <xdr:ext cx="304800" cy="303415"/>
    <xdr:sp macro="" textlink="">
      <xdr:nvSpPr>
        <xdr:cNvPr id="2" name="AutoShape 4" descr="Kos Andalan Logo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46F76B8-1C1F-4FD6-B00D-E5BAC8D6B493}"/>
            </a:ext>
          </a:extLst>
        </xdr:cNvPr>
        <xdr:cNvSpPr>
          <a:spLocks noChangeAspect="1" noChangeArrowheads="1"/>
        </xdr:cNvSpPr>
      </xdr:nvSpPr>
      <xdr:spPr bwMode="auto">
        <a:xfrm>
          <a:off x="3520440" y="10408920"/>
          <a:ext cx="304800" cy="30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-1</xdr:colOff>
      <xdr:row>42</xdr:row>
      <xdr:rowOff>190499</xdr:rowOff>
    </xdr:from>
    <xdr:to>
      <xdr:col>4</xdr:col>
      <xdr:colOff>71436</xdr:colOff>
      <xdr:row>45</xdr:row>
      <xdr:rowOff>190498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DE0DE-5D65-B000-CCD0-66A6C1ED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1687" y="8346280"/>
          <a:ext cx="571499" cy="5714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590550</xdr:colOff>
      <xdr:row>15</xdr:row>
      <xdr:rowOff>161925</xdr:rowOff>
    </xdr:from>
    <xdr:to>
      <xdr:col>40</xdr:col>
      <xdr:colOff>190499</xdr:colOff>
      <xdr:row>30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B0ABE-D02F-EB25-424D-1E5DC25D7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400050</xdr:colOff>
      <xdr:row>15</xdr:row>
      <xdr:rowOff>161924</xdr:rowOff>
    </xdr:from>
    <xdr:to>
      <xdr:col>48</xdr:col>
      <xdr:colOff>66676</xdr:colOff>
      <xdr:row>30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8EEED-DCE5-1DBB-9E12-AEE3A205B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561974</xdr:colOff>
      <xdr:row>16</xdr:row>
      <xdr:rowOff>28575</xdr:rowOff>
    </xdr:from>
    <xdr:to>
      <xdr:col>32</xdr:col>
      <xdr:colOff>171449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00876F-8776-ED60-826F-DDC075573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152399</xdr:colOff>
      <xdr:row>16</xdr:row>
      <xdr:rowOff>66674</xdr:rowOff>
    </xdr:from>
    <xdr:to>
      <xdr:col>24</xdr:col>
      <xdr:colOff>447674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F01C5B-7744-EB2E-24DC-463EB2345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16</xdr:row>
      <xdr:rowOff>85725</xdr:rowOff>
    </xdr:from>
    <xdr:to>
      <xdr:col>5</xdr:col>
      <xdr:colOff>104775</xdr:colOff>
      <xdr:row>31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71BDE-E899-DD70-1F81-69FAF3145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200024</xdr:colOff>
      <xdr:row>16</xdr:row>
      <xdr:rowOff>104775</xdr:rowOff>
    </xdr:from>
    <xdr:to>
      <xdr:col>11</xdr:col>
      <xdr:colOff>323849</xdr:colOff>
      <xdr:row>29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8F6B68-6C43-8DEB-8EA4-8A69E3862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400050</xdr:colOff>
      <xdr:row>16</xdr:row>
      <xdr:rowOff>76200</xdr:rowOff>
    </xdr:from>
    <xdr:to>
      <xdr:col>17</xdr:col>
      <xdr:colOff>857250</xdr:colOff>
      <xdr:row>30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2A6CAB-09AE-2550-4F45-76C2C80C1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304800</xdr:colOff>
      <xdr:row>40</xdr:row>
      <xdr:rowOff>137160</xdr:rowOff>
    </xdr:to>
    <xdr:sp macro="" textlink="">
      <xdr:nvSpPr>
        <xdr:cNvPr id="1028" name="AutoShape 4" descr="Kos Andalan Logo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84D5C77E-240C-CB05-E1A3-98F527AE4394}"/>
            </a:ext>
          </a:extLst>
        </xdr:cNvPr>
        <xdr:cNvSpPr>
          <a:spLocks noChangeAspect="1" noChangeArrowheads="1"/>
        </xdr:cNvSpPr>
      </xdr:nvSpPr>
      <xdr:spPr bwMode="auto">
        <a:xfrm>
          <a:off x="4732020" y="65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62</xdr:row>
      <xdr:rowOff>0</xdr:rowOff>
    </xdr:from>
    <xdr:ext cx="304800" cy="303415"/>
    <xdr:sp macro="" textlink="">
      <xdr:nvSpPr>
        <xdr:cNvPr id="5" name="AutoShape 4" descr="Kos Andalan Logo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9A6D4A6A-CC76-43BC-A26A-A06752A11FEB}"/>
            </a:ext>
          </a:extLst>
        </xdr:cNvPr>
        <xdr:cNvSpPr>
          <a:spLocks noChangeAspect="1" noChangeArrowheads="1"/>
        </xdr:cNvSpPr>
      </xdr:nvSpPr>
      <xdr:spPr bwMode="auto">
        <a:xfrm>
          <a:off x="4738255" y="6477000"/>
          <a:ext cx="304800" cy="30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F5C5CD-F2E1-43EF-92E8-EEEFFE8B3D5D}" name="Table2" displayName="Table2" ref="A8:E37" totalsRowShown="0" tableBorderDxfId="40" headerRowCellStyle="Normal 4" dataCellStyle="Normal 4">
  <autoFilter ref="A8:E37" xr:uid="{54F5C5CD-F2E1-43EF-92E8-EEEFFE8B3D5D}"/>
  <tableColumns count="5">
    <tableColumn id="5" xr3:uid="{931443A8-8735-4DF1-B842-4020EBA88286}" name="Penimbangan Ke -" dataDxfId="39" dataCellStyle="Normal 4"/>
    <tableColumn id="1" xr3:uid="{9B5288AA-5E6C-43EE-811B-95F2B17B09D6}" name="Nominal  (ml)" dataDxfId="38" dataCellStyle="Normal 4">
      <calculatedColumnFormula>'Isian '!$B$10/5</calculatedColumnFormula>
    </tableColumn>
    <tableColumn id="2" xr3:uid="{C3CCB349-ABBB-42C2-A3E8-2E378CF0986D}" name="Zero (g)" dataCellStyle="Normal 4"/>
    <tableColumn id="3" xr3:uid="{5D760CA9-F930-48C2-853D-0C04382A552E}" name="Load(g)" dataCellStyle="Normal 4"/>
    <tableColumn id="4" xr3:uid="{906CC14A-264D-465B-87A0-2033A608F367}" name="Zero(g)" dataCellStyle="Normal 4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4B2A10-875F-40AC-93FC-71503E2AC03A}" name="Table3" displayName="Table3" ref="A41:F70" totalsRowShown="0" headerRowCellStyle="Normal 4" dataCellStyle="Normal 4">
  <autoFilter ref="A41:F70" xr:uid="{A74B2A10-875F-40AC-93FC-71503E2AC03A}"/>
  <tableColumns count="6">
    <tableColumn id="6" xr3:uid="{AD46E587-FCD3-4FFE-BF0A-07624DDA90AE}" name="Penimbangan Ke -" dataDxfId="37" dataCellStyle="Normal 4"/>
    <tableColumn id="1" xr3:uid="{2DA39B06-3142-400A-93B8-EAC9F336F484}" name="Nominal (ml)" dataDxfId="36" dataCellStyle="Normal 4"/>
    <tableColumn id="2" xr3:uid="{0B11F821-E2BA-4073-8A0F-C69DA81374A1}" name="Zero (g)" dataCellStyle="Normal 4"/>
    <tableColumn id="3" xr3:uid="{B506E499-332A-4E11-8F5C-7AC88A2968C0}" name="Load (g) " dataCellStyle="Normal 4"/>
    <tableColumn id="4" xr3:uid="{E3C342B8-3344-41E9-9341-97AD32726080}" name="Zero(g)" dataCellStyle="Normal 4"/>
    <tableColumn id="5" xr3:uid="{8CD5F86C-1F96-4716-AA9E-9AFEA874ECDB}" name="Suhu Cairan (g)" dataDxfId="35" dataCellStyle="Normal 4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F5E675-82C8-4D64-9A58-C41931D5ECD8}" name="Table4" displayName="Table4" ref="A83:G88" totalsRowShown="0" headerRowCellStyle="Normal 4" dataCellStyle="Normal 4">
  <autoFilter ref="A83:G88" xr:uid="{7BF5E675-82C8-4D64-9A58-C41931D5ECD8}"/>
  <tableColumns count="7">
    <tableColumn id="1" xr3:uid="{5C7B8F35-F65F-4F69-8BD6-4906C9AA7FD7}" name="Penimbangan Ke -" dataDxfId="34" dataCellStyle="Normal 4"/>
    <tableColumn id="2" xr3:uid="{E4FCC596-E2F3-4D75-A85B-8DAD7B082D2B}" name="A Terkoreksi  (g)" dataDxfId="33" dataCellStyle="Normal 4">
      <calculatedColumnFormula>IF('Isian '!$B$16='Database '!$AG$2,
    'Pengambilan Data '!D9 + FORECAST('Pengambilan Data '!D9, 'Database '!$U$3:$U$12, 'Database '!$T$3:$T$12),
IF('Isian '!$B$16='Database '!$AG$3,
    'Pengambilan Data '!D9 + FORECAST('Pengambilan Data '!D9, 'Database '!$AC$3:$AC$12, 'Database '!$AB$3:$AB$12),
IF('Isian '!$B$16='Database '!$AG$4,
    'Pengambilan Data '!D9 + FORECAST('Pengambilan Data '!D9, 'Database '!$Y$3:$Y$12, 'Database '!$X$3:$X$12),
0)))</calculatedColumnFormula>
    </tableColumn>
    <tableColumn id="3" xr3:uid="{7431B9BB-7A1F-4090-9D89-76468D8689F7}" name="B Terkoreksi (g)" dataDxfId="32" dataCellStyle="Normal 4">
      <calculatedColumnFormula>IF('Isian '!$B$16='Database '!$AG$2,
    'Pengambilan Data '!D42 + FORECAST('Pengambilan Data '!D42, 'Database '!$U$3:$U$12, 'Database '!$T$3:$T$12),
IF('Isian '!$B$16='Database '!$AG$3,
    'Pengambilan Data '!D42 + FORECAST('Pengambilan Data '!D42, 'Database '!$AC$3:$AC$12, 'Database '!$AB$3:$AB$12),
IF('Isian '!$B$16='Database '!$AG$4,
    'Pengambilan Data '!D42 + FORECAST('Pengambilan Data '!D42, 'Database '!$Y$3:$Y$12, 'Database '!$X$3:$X$12),
0)))</calculatedColumnFormula>
    </tableColumn>
    <tableColumn id="4" xr3:uid="{2B14CC06-349D-4E3A-B152-EFB24407DA43}" name="B - A (g)" dataDxfId="31" dataCellStyle="Normal 4">
      <calculatedColumnFormula>Table4[[#This Row],[B Terkoreksi (g)]]-Table4[[#This Row],[A Terkoreksi  (g)]]</calculatedColumnFormula>
    </tableColumn>
    <tableColumn id="5" xr3:uid="{6D89C567-B7D9-4EF5-955E-5E7C601838EC}" name="Suhu Air Destilasi Terkoreksi  (◦C)" dataDxfId="30" dataCellStyle="Normal 4">
      <calculatedColumnFormula>F42+FORECAST(F42,'Database '!$Q$3:$Q$11,'Database '!$P$3:$P$11)</calculatedColumnFormula>
    </tableColumn>
    <tableColumn id="6" xr3:uid="{8E199E23-C172-48B0-AA66-21EA80F68579}" name="Densitas Air Destilasi (g/cm^3)" dataDxfId="29" dataCellStyle="Normal 4">
      <calculatedColumnFormula>0.99997495*(1 - (((E84-3.983035)^2*(E84+301.797))/(522528.9*(E84+69.34881))))</calculatedColumnFormula>
    </tableColumn>
    <tableColumn id="7" xr3:uid="{43875532-7480-4D45-9C75-48EBA4A1BF76}" name="Volume pada Suhu 20◦C (ml)" dataDxfId="28" dataCellStyle="Normal 4">
      <calculatedColumnFormula>Table4[[#This Row],[B - A (g)]]*(1/(Table4[[#This Row],[Densitas Air Destilasi (g/cm^3)]]-'Peralatan &amp; Koefisien  '!$L$15))*(1-('Peralatan &amp; Koefisien  '!$L$15/'Peralatan &amp; Koefisien  '!$D$15)*(1-'Peralatan &amp; Koefisien  '!$L$23*(Table4[[#This Row],[Suhu Air Destilasi Terkoreksi  (◦C)]]-20)))</calculatedColumnFormula>
    </tableColumn>
  </tableColumns>
  <tableStyleInfo name="TableStyleMedium20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BBF12-F1A0-4DE8-970E-FAE9C04B9D16}" name="Table1" displayName="Table1" ref="A75:C78" totalsRowShown="0" headerRowCellStyle="Normal 4" dataCellStyle="Normal 4">
  <autoFilter ref="A75:C78" xr:uid="{858BBF12-F1A0-4DE8-970E-FAE9C04B9D16}"/>
  <tableColumns count="3">
    <tableColumn id="1" xr3:uid="{62DCFDF9-0396-49DF-9B8B-D3B9A4B791EF}" name="Pengukuran Ke -" dataCellStyle="Normal 4"/>
    <tableColumn id="2" xr3:uid="{2B5BBB0D-2C34-4F74-A459-5E482007C9C3}" name="Diameter (mm)" dataCellStyle="Normal 4"/>
    <tableColumn id="3" xr3:uid="{5B87085C-456F-47CD-BF19-FC402A46713E}" name="Tebal Garis (mm)" dataCellStyle="Normal 4"/>
  </tableColumns>
  <tableStyleInfo name="TableStyleMedium18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2F5F36-17F2-4C79-93F8-275DE8991404}" name="Table5" displayName="Table5" ref="A1:C4" totalsRowShown="0" headerRowCellStyle="Normal 4" dataCellStyle="Normal 4">
  <autoFilter ref="A1:C4" xr:uid="{462F5F36-17F2-4C79-93F8-275DE8991404}"/>
  <tableColumns count="3">
    <tableColumn id="1" xr3:uid="{9273E483-B52F-4A02-BD43-AF805606998A}" name="Kondisi Ruangan " dataCellStyle="Normal 4"/>
    <tableColumn id="2" xr3:uid="{C88991B7-902D-4132-BE3B-A88B5627ECA9}" name="Awal " dataCellStyle="Normal 4"/>
    <tableColumn id="3" xr3:uid="{617056EE-4705-4AE8-8EC8-673288AD4774}" name="Akhir " dataCellStyle="Normal 4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FC1A51-1DD6-4A34-84AA-B936F3E4A321}" name="Table17" displayName="Table17" ref="D75:F78" totalsRowShown="0" headerRowCellStyle="Normal 4" dataCellStyle="Normal 4">
  <autoFilter ref="D75:F78" xr:uid="{65FC1A51-1DD6-4A34-84AA-B936F3E4A321}"/>
  <tableColumns count="3">
    <tableColumn id="1" xr3:uid="{C843C9FB-AD0B-4DD5-BF5B-31D7BE50162D}" name="Pengukuran Ke -" dataCellStyle="Normal 4"/>
    <tableColumn id="2" xr3:uid="{43F09EC5-EBDF-4536-A7FB-6BA26CD8D021}" name="Diameter (mm)" dataCellStyle="Normal 4"/>
    <tableColumn id="3" xr3:uid="{C05F0D1A-305A-40E4-A27B-1D89EF7DD0F2}" name="Tebal Garis (mm)" dataCellStyle="Normal 4"/>
  </tableColumns>
  <tableStyleInfo name="TableStyleMedium18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890571-E06F-427A-A039-6B67F9FBA5BA}" name="Table178" displayName="Table178" ref="G75:I78" totalsRowShown="0" headerRowCellStyle="Normal 4" dataCellStyle="Normal 4">
  <autoFilter ref="G75:I78" xr:uid="{C0890571-E06F-427A-A039-6B67F9FBA5BA}"/>
  <tableColumns count="3">
    <tableColumn id="1" xr3:uid="{2DDB150C-49F8-4F3E-9676-3F501D4B1E85}" name="Pengukuran Ke -" dataCellStyle="Normal 4"/>
    <tableColumn id="2" xr3:uid="{67DDEDF0-DF88-4928-8A6B-5929AEE1F55D}" name="Diameter (mm)" dataCellStyle="Normal 4"/>
    <tableColumn id="3" xr3:uid="{7BD31EA1-3016-4201-AAD2-946980CBC0E7}" name="Tebal Garis (mm)" dataCellStyle="Normal 4"/>
  </tableColumns>
  <tableStyleInfo name="TableStyleMedium18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F118AF-135A-43E2-ACB2-1D3E293C61E9}" name="Table179" displayName="Table179" ref="J75:L78" totalsRowShown="0" headerRowCellStyle="Normal 4" dataCellStyle="Normal 4">
  <autoFilter ref="J75:L78" xr:uid="{56F118AF-135A-43E2-ACB2-1D3E293C61E9}"/>
  <tableColumns count="3">
    <tableColumn id="1" xr3:uid="{CB768329-64EC-4616-B4E2-3AC29CE5DF11}" name="Pengukuran Ke -" dataCellStyle="Normal 4"/>
    <tableColumn id="2" xr3:uid="{AD8D294E-5B9F-489E-9565-D8BEAED04C46}" name="Diameter (mm)" dataCellStyle="Normal 4"/>
    <tableColumn id="3" xr3:uid="{06831A55-06CC-4DB5-A582-881D2FF78DF0}" name="Tebal Garis (mm)" dataCellStyle="Normal 4"/>
  </tableColumns>
  <tableStyleInfo name="TableStyleMedium18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11F113-E793-4B8C-963C-4BE1D0D1333B}" name="Table1710" displayName="Table1710" ref="M75:O78" totalsRowShown="0" headerRowCellStyle="Normal 4" dataCellStyle="Normal 4">
  <autoFilter ref="M75:O78" xr:uid="{0D11F113-E793-4B8C-963C-4BE1D0D1333B}"/>
  <tableColumns count="3">
    <tableColumn id="1" xr3:uid="{D3534F27-AABC-4D98-B17F-18DA7F4C2D5D}" name="Pengukuran Ke -" dataCellStyle="Normal 4"/>
    <tableColumn id="2" xr3:uid="{0D7F0E30-0B4A-4BB0-AC7C-2168E7C9AD18}" name="Diameter (mm)" dataCellStyle="Normal 4"/>
    <tableColumn id="3" xr3:uid="{F6AD2CB7-939A-41EE-AA50-3704912948BC}" name="Tebal Garis (mm)" dataCellStyle="Normal 4"/>
  </tableColumns>
  <tableStyleInfo name="TableStyleMedium18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A23C55-3AD6-4D17-A763-FD98DEE224EF}" name="Table411" displayName="Table411" ref="H83:N88" totalsRowShown="0" headerRowCellStyle="Normal 4" dataCellStyle="Normal 4">
  <autoFilter ref="H83:N88" xr:uid="{0CA23C55-3AD6-4D17-A763-FD98DEE224EF}"/>
  <tableColumns count="7">
    <tableColumn id="1" xr3:uid="{C625B8D6-9A3B-4CA0-ABE1-2BFFD84CCFAE}" name="Penimbangan Ke -" dataDxfId="27" dataCellStyle="Normal 4"/>
    <tableColumn id="2" xr3:uid="{39375F38-EED5-46A0-9B02-2C836EF061BF}" name="A Terkoreksi  (g)" dataDxfId="26" dataCellStyle="Normal 4">
      <calculatedColumnFormula>IF('Isian '!$B$16='Database '!$AG$2,
    D15+ FORECAST(    D15, 'Database '!$U$3:$U$12, 'Database '!$T$3:$T$12),
IF('Isian '!$B$16='Database '!$AG$3,
    D15+ FORECAST(D15, 'Database '!$AC$3:$AC$12, 'Database '!$AB$3:$AB$12),
IF('Isian '!$B$16='Database '!$AG$4,
   D15+ FORECAST(D15, 'Database '!$Y$3:$Y$12, 'Database '!$X$3:$X$12),
0)))</calculatedColumnFormula>
    </tableColumn>
    <tableColumn id="3" xr3:uid="{3AAFB2D8-4875-4C6C-BAB0-8D20C76B26D6}" name="B Terkoreksi (g)" dataDxfId="25" dataCellStyle="Normal 4">
      <calculatedColumnFormula>IF('Isian '!$B$16='Database '!$AG$2,
D48+ FORECAST(D48, 'Database '!$U$3:$U$12, 'Database '!$T$3:$T$12),
IF('Isian '!$B$16='Database '!$AG$3,
   D48 + FORECAST(D48, 'Database '!$AC$3:$AC$12, 'Database '!$AB$3:$AB$12),
IF('Isian '!$B$16='Database '!$AG$4,
 D48 + FORECAST(D48, 'Database '!$Y$3:$Y$12, 'Database '!$X$3:$X$12),
0)))</calculatedColumnFormula>
    </tableColumn>
    <tableColumn id="4" xr3:uid="{CA88AA78-F038-4881-8317-17274AC89368}" name="B - A (g)" dataDxfId="24" dataCellStyle="Normal 4">
      <calculatedColumnFormula>Table411[[#This Row],[B Terkoreksi (g)]]-Table411[[#This Row],[A Terkoreksi  (g)]]</calculatedColumnFormula>
    </tableColumn>
    <tableColumn id="5" xr3:uid="{320391F9-737A-49D6-809F-2345D2016407}" name="Suhu Air Destilasi Terkoreksi  (◦C)" dataDxfId="23" dataCellStyle="Normal 4">
      <calculatedColumnFormula>F48+FORECAST(F48,'Database '!$Q$3:$Q$11,'Database '!$P$3:$P$11)</calculatedColumnFormula>
    </tableColumn>
    <tableColumn id="6" xr3:uid="{12CA8BA1-2793-4157-9C65-74A6572E92A0}" name="Densitas Air Destilasi (g/cm^3)" dataDxfId="22" dataCellStyle="Normal 4">
      <calculatedColumnFormula>0.99997495*(1 - (((L84-3.983035)^2*(L84+301.797))/(522528.9*(L84+69.34881))))</calculatedColumnFormula>
    </tableColumn>
    <tableColumn id="7" xr3:uid="{0B339FE9-0DCA-4E2C-B0C1-AC3D022FFAFD}" name="Volume pada Suhu 20◦C (ml)" dataDxfId="21" dataCellStyle="Normal 4">
      <calculatedColumnFormula>Table411[[#This Row],[B - A (g)]]*(1/(Table411[[#This Row],[Densitas Air Destilasi (g/cm^3)]]-'Peralatan &amp; Koefisien  '!$L$15))*(1-('Peralatan &amp; Koefisien  '!$L$15/'Peralatan &amp; Koefisien  '!$D$15)*(1-'Peralatan &amp; Koefisien  '!$L$23*(Table411[[#This Row],[Suhu Air Destilasi Terkoreksi  (◦C)]]-20)))</calculatedColumnFormula>
    </tableColumn>
  </tableColumns>
  <tableStyleInfo name="TableStyleMedium20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C7B87D9-9D58-45AB-ADDC-BF6A92332424}" name="Table412" displayName="Table412" ref="O83:U88" totalsRowShown="0" headerRowCellStyle="Normal 4" dataCellStyle="Normal 4">
  <autoFilter ref="O83:U88" xr:uid="{FC7B87D9-9D58-45AB-ADDC-BF6A92332424}"/>
  <tableColumns count="7">
    <tableColumn id="1" xr3:uid="{FBE0D2C6-8BF9-49DD-B661-57FF60FFE905}" name="Penimbangan Ke -" dataDxfId="20" dataCellStyle="Normal 4"/>
    <tableColumn id="2" xr3:uid="{D1353770-C9E1-41DB-8932-13C12C68A6C9}" name="A Terkoreksi  (g)" dataDxfId="19" dataCellStyle="Normal 4">
      <calculatedColumnFormula>IF('Isian '!$B$16='Database '!$AG$2,
 D21 + FORECAST(  D21, 'Database '!$U$3:$U$12, 'Database '!$T$3:$T$12),
IF('Isian '!$B$16='Database '!$AG$3,
 D21   + FORECAST( D21, 'Database '!$AC$3:$AC$12, 'Database '!$AB$3:$AB$12),
IF('Isian '!$B$16='Database '!$AG$4,
   D21   + FORECAST(  D21, 'Database '!$Y$3:$Y$12, 'Database '!$X$3:$X$12),
0)))</calculatedColumnFormula>
    </tableColumn>
    <tableColumn id="3" xr3:uid="{827566A4-935B-42E1-843F-C0235645F599}" name="B Terkoreksi (g)" dataDxfId="18" dataCellStyle="Normal 4">
      <calculatedColumnFormula>IF('Isian '!$B$16='Database '!$AG$2,
    D54 + FORECAST(   D54, 'Database '!$U$3:$U$12, 'Database '!$T$3:$T$12),
IF('Isian '!$B$16='Database '!$AG$3,
       D54 + FORECAST(   D54, 'Database '!$AC$3:$AC$12, 'Database '!$AB$3:$AB$12),
IF('Isian '!$B$16='Database '!$AG$4,
       D54+ FORECAST(   D54, 'Database '!$Y$3:$Y$12, 'Database '!$X$3:$X$12),
0)))</calculatedColumnFormula>
    </tableColumn>
    <tableColumn id="4" xr3:uid="{42356297-868B-4FE7-B926-5778AE86F82B}" name="B - A (g)" dataDxfId="17" dataCellStyle="Normal 4">
      <calculatedColumnFormula>Table412[[#This Row],[B Terkoreksi (g)]]-Table412[[#This Row],[A Terkoreksi  (g)]]</calculatedColumnFormula>
    </tableColumn>
    <tableColumn id="5" xr3:uid="{3D9FB665-37C1-455D-A1ED-A070CB615A85}" name="Suhu Air Destilasi Terkoreksi  (◦C)" dataDxfId="16" dataCellStyle="Normal 4">
      <calculatedColumnFormula>F54+FORECAST(F54,'Database '!$Q$3:$Q$11,'Database '!$P$3:$P$11)</calculatedColumnFormula>
    </tableColumn>
    <tableColumn id="6" xr3:uid="{93171317-E0B9-44E6-9364-F17D10110D60}" name="Densitas Air Destilasi (g/cm^3)" dataDxfId="15" dataCellStyle="Normal 4">
      <calculatedColumnFormula>0.99997495*(1 - (((S84-3.983035)^2*(S84+301.797))/(522528.9*(S84+69.34881))))</calculatedColumnFormula>
    </tableColumn>
    <tableColumn id="7" xr3:uid="{2791FCB0-642D-4943-B13F-254AA302C5B7}" name="Volume pada Suhu 20◦C (ml)" dataDxfId="14" dataCellStyle="Normal 4">
      <calculatedColumnFormula>Table412[[#This Row],[B - A (g)]]*(1/(Table412[[#This Row],[Densitas Air Destilasi (g/cm^3)]]-'Peralatan &amp; Koefisien  '!$L$15))*(1-('Peralatan &amp; Koefisien  '!$L$15/'Peralatan &amp; Koefisien  '!$D$15)*(1-'Peralatan &amp; Koefisien  '!$L$23*(Table412[[#This Row],[Suhu Air Destilasi Terkoreksi  (◦C)]]-20)))</calculatedColumnFormula>
    </tableColumn>
  </tableColumns>
  <tableStyleInfo name="TableStyleMedium20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F4EEB51-9B54-47BD-B105-4DE5104C5D8D}" name="Table413" displayName="Table413" ref="V83:AB88" totalsRowShown="0" headerRowCellStyle="Normal 4" dataCellStyle="Normal 4">
  <autoFilter ref="V83:AB88" xr:uid="{AF4EEB51-9B54-47BD-B105-4DE5104C5D8D}"/>
  <tableColumns count="7">
    <tableColumn id="1" xr3:uid="{C5480E1C-64C5-4095-AAB8-9B783320C499}" name="Penimbangan Ke -" dataDxfId="13" dataCellStyle="Normal 4"/>
    <tableColumn id="2" xr3:uid="{50BF6FA8-7C5E-44F6-B5CA-62C21FBC09D6}" name="A Terkoreksi  (g)" dataDxfId="12" dataCellStyle="Normal 4">
      <calculatedColumnFormula>IF('Isian '!$B$16='Database '!$AG$2,
   D27 + FORECAST(D27, 'Database '!$U$3:$U$12, 'Database '!$T$3:$T$12),
IF('Isian '!$B$16='Database '!$AG$3,
    D27 + FORECAST(D27, 'Database '!$AC$3:$AC$12, 'Database '!$AB$3:$AB$12),
IF('Isian '!$B$16='Database '!$AG$4,
  D27 + FORECAST(D27, 'Database '!$Y$3:$Y$12, 'Database '!$X$3:$X$12),
0)))</calculatedColumnFormula>
    </tableColumn>
    <tableColumn id="3" xr3:uid="{BA4A45F5-CB26-4020-990A-98CAF3B38EF0}" name="B Terkoreksi (g)" dataDxfId="11" dataCellStyle="Normal 4">
      <calculatedColumnFormula>IF('Isian '!$B$16='Database '!$AG$2,
    D60 + FORECAST(D60, 'Database '!$U$3:$U$12, 'Database '!$T$3:$T$12),
IF('Isian '!$B$16='Database '!$AG$3,
   D60 + FORECAST(D60, 'Database '!$AC$3:$AC$12, 'Database '!$AB$3:$AB$12),
IF('Isian '!$B$16='Database '!$AG$4,
   D60 + FORECAST(D60, 'Database '!$Y$3:$Y$12, 'Database '!$X$3:$X$12),
0)))</calculatedColumnFormula>
    </tableColumn>
    <tableColumn id="4" xr3:uid="{6F2AED78-EE46-4C2D-B12C-3A85D535AD57}" name="B - A (g)" dataDxfId="10" dataCellStyle="Normal 4">
      <calculatedColumnFormula>Table413[[#This Row],[B Terkoreksi (g)]]-Table413[[#This Row],[A Terkoreksi  (g)]]</calculatedColumnFormula>
    </tableColumn>
    <tableColumn id="5" xr3:uid="{F6176607-457E-40B9-98E4-742F253060C8}" name="Suhu Air Destilasi Terkoreksi  (◦C)" dataDxfId="9" dataCellStyle="Normal 4">
      <calculatedColumnFormula>F60+FORECAST(F60,'Database '!$Q$3:$Q$11,'Database '!$P$3:$P$11)</calculatedColumnFormula>
    </tableColumn>
    <tableColumn id="6" xr3:uid="{44353173-9F7D-4896-A4A2-B48ED5F618A4}" name="Densitas Air Destilasi (g/cm^3)" dataDxfId="8" dataCellStyle="Normal 4">
      <calculatedColumnFormula>0.99997495*(1 - (((Z84-3.983035)^2*(Z84+301.797))/(522528.9*(Z84+69.34881))))</calculatedColumnFormula>
    </tableColumn>
    <tableColumn id="7" xr3:uid="{C480CB33-FB5C-4E28-B89B-2ACF323B0415}" name="Volume pada Suhu 20◦C (ml)" dataDxfId="7" dataCellStyle="Normal 4">
      <calculatedColumnFormula>Table413[[#This Row],[B - A (g)]]*(1/(Table413[[#This Row],[Densitas Air Destilasi (g/cm^3)]]-'Peralatan &amp; Koefisien  '!$L$15))*(1-('Peralatan &amp; Koefisien  '!$L$15/'Peralatan &amp; Koefisien  '!$D$15)*(1-'Peralatan &amp; Koefisien  '!$L$23*(Table413[[#This Row],[Suhu Air Destilasi Terkoreksi  (◦C)]]-20)))</calculatedColumnFormula>
    </tableColumn>
  </tableColumns>
  <tableStyleInfo name="TableStyleMedium20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8C69775-DFEB-4891-83D1-216C264A3D12}" name="Table414" displayName="Table414" ref="AC83:AI88" totalsRowShown="0" headerRowCellStyle="Normal 4" dataCellStyle="Normal 4">
  <autoFilter ref="AC83:AI88" xr:uid="{28C69775-DFEB-4891-83D1-216C264A3D12}"/>
  <tableColumns count="7">
    <tableColumn id="1" xr3:uid="{05581AE5-ECFD-42F9-AD20-D67C5A60A99E}" name="Penimbangan Ke -" dataDxfId="6" dataCellStyle="Normal 4"/>
    <tableColumn id="2" xr3:uid="{14AE36CE-787D-4F48-BAE0-F2A3C8A1240B}" name="A Terkoreksi  (g)" dataDxfId="5" dataCellStyle="Normal 4">
      <calculatedColumnFormula>IF('Isian '!$B$16='Database '!$AG$2,
   D33 + FORECAST(  D33, 'Database '!$U$3:$U$12, 'Database '!$T$3:$T$12),
IF('Isian '!$B$16='Database '!$AG$3,
      D33+ FORECAST(   D33, 'Database '!$AC$3:$AC$12, 'Database '!$AB$3:$AB$12),
IF('Isian '!$B$16='Database '!$AG$4,
       D33 + FORECAST(   D33, 'Database '!$Y$3:$Y$12, 'Database '!$X$3:$X$12),
0)))</calculatedColumnFormula>
    </tableColumn>
    <tableColumn id="3" xr3:uid="{7E096DFC-1557-469C-B9F6-6D34393A222E}" name="B Terkoreksi (g)" dataDxfId="4" dataCellStyle="Normal 4">
      <calculatedColumnFormula>IF('Isian '!$B$16='Database '!$AG$2,
   D66 + FORECAST(D66, 'Database '!$U$3:$U$12, 'Database '!$T$3:$T$12),
IF('Isian '!$B$16='Database '!$AG$3,
   D66+ FORECAST(D66, 'Database '!$AC$3:$AC$12, 'Database '!$AB$3:$AB$12),
IF('Isian '!$B$16='Database '!$AG$4,
   D66 + FORECAST(D66, 'Database '!$Y$3:$Y$12, 'Database '!$X$3:$X$12),
0)))</calculatedColumnFormula>
    </tableColumn>
    <tableColumn id="4" xr3:uid="{01DD33BF-4E77-4B16-A0BB-7B6103DE9627}" name="B - A (g)" dataDxfId="3" dataCellStyle="Normal 4">
      <calculatedColumnFormula>Table414[[#This Row],[B Terkoreksi (g)]]-Table414[[#This Row],[A Terkoreksi  (g)]]</calculatedColumnFormula>
    </tableColumn>
    <tableColumn id="5" xr3:uid="{FD075157-3293-4D9F-B25F-0CBE98F7DD40}" name="Suhu Air Destilasi Terkoreksi  (◦C)" dataDxfId="2" dataCellStyle="Normal 4">
      <calculatedColumnFormula>F66+FORECAST(F66,'Database '!$Q$3:$Q$11,'Database '!$P$3:$P$11)</calculatedColumnFormula>
    </tableColumn>
    <tableColumn id="6" xr3:uid="{AB583596-07E6-4B9B-A941-5901E41CCE21}" name="Densitas Air Destilasi (g/cm^3)" dataDxfId="1" dataCellStyle="Normal 4">
      <calculatedColumnFormula>0.99997495*(1 - (((AG84-3.983035)^2*(AG84+301.797))/(522528.9*(AG84+69.34881))))</calculatedColumnFormula>
    </tableColumn>
    <tableColumn id="7" xr3:uid="{60015B66-5398-4624-94DA-B5A3F102CD2C}" name="Volume pada Suhu 20◦C (ml)" dataDxfId="0" dataCellStyle="Normal 4">
      <calculatedColumnFormula>Table414[[#This Row],[B - A (g)]]*(1/(Table414[[#This Row],[Densitas Air Destilasi (g/cm^3)]]-'Peralatan &amp; Koefisien  '!$L$15))*(1-('Peralatan &amp; Koefisien  '!$L$15/'Peralatan &amp; Koefisien  '!$D$15)*(1-'Peralatan &amp; Koefisien  '!$L$23*(Table414[[#This Row],[Suhu Air Destilasi Terkoreksi  (◦C)]]-20)))</calculatedColumnFormula>
    </tableColumn>
  </tableColumns>
  <tableStyleInfo name="TableStyleMedium20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19A4-AB80-40D2-B907-D830B4BEE997}">
  <sheetPr>
    <tabColor rgb="FFFFC000"/>
  </sheetPr>
  <dimension ref="A1:D19"/>
  <sheetViews>
    <sheetView workbookViewId="0">
      <selection activeCell="D12" sqref="D12"/>
    </sheetView>
  </sheetViews>
  <sheetFormatPr defaultRowHeight="13.2" x14ac:dyDescent="0.25"/>
  <cols>
    <col min="1" max="1" width="16.44140625" bestFit="1" customWidth="1"/>
    <col min="2" max="2" width="65.77734375" bestFit="1" customWidth="1"/>
  </cols>
  <sheetData>
    <row r="1" spans="1:4" ht="14.4" x14ac:dyDescent="0.3">
      <c r="A1" s="100" t="s">
        <v>188</v>
      </c>
      <c r="B1" s="100" t="s">
        <v>189</v>
      </c>
    </row>
    <row r="2" spans="1:4" x14ac:dyDescent="0.25">
      <c r="A2" s="101" t="s">
        <v>190</v>
      </c>
      <c r="B2" s="145" t="s">
        <v>246</v>
      </c>
    </row>
    <row r="3" spans="1:4" x14ac:dyDescent="0.25">
      <c r="A3" s="101" t="s">
        <v>191</v>
      </c>
      <c r="B3" s="145" t="s">
        <v>245</v>
      </c>
    </row>
    <row r="4" spans="1:4" x14ac:dyDescent="0.25">
      <c r="A4" s="101" t="s">
        <v>192</v>
      </c>
      <c r="B4" s="145" t="s">
        <v>244</v>
      </c>
    </row>
    <row r="5" spans="1:4" x14ac:dyDescent="0.25">
      <c r="A5" s="101" t="s">
        <v>181</v>
      </c>
      <c r="B5" s="145" t="s">
        <v>244</v>
      </c>
    </row>
    <row r="6" spans="1:4" x14ac:dyDescent="0.25">
      <c r="A6" s="101" t="s">
        <v>193</v>
      </c>
      <c r="B6" s="158" t="s">
        <v>317</v>
      </c>
      <c r="C6" s="103" t="s">
        <v>220</v>
      </c>
    </row>
    <row r="7" spans="1:4" x14ac:dyDescent="0.25">
      <c r="A7" s="101" t="s">
        <v>194</v>
      </c>
      <c r="B7" s="102" t="s">
        <v>227</v>
      </c>
    </row>
    <row r="8" spans="1:4" x14ac:dyDescent="0.25">
      <c r="A8" s="110" t="s">
        <v>148</v>
      </c>
      <c r="B8" s="108" t="s">
        <v>92</v>
      </c>
    </row>
    <row r="9" spans="1:4" x14ac:dyDescent="0.25">
      <c r="A9" s="101" t="s">
        <v>195</v>
      </c>
      <c r="B9" s="108" t="s">
        <v>92</v>
      </c>
    </row>
    <row r="10" spans="1:4" x14ac:dyDescent="0.25">
      <c r="A10" s="101" t="s">
        <v>196</v>
      </c>
      <c r="B10" s="108">
        <v>10</v>
      </c>
      <c r="C10" t="s">
        <v>7</v>
      </c>
      <c r="D10" s="103" t="s">
        <v>328</v>
      </c>
    </row>
    <row r="11" spans="1:4" x14ac:dyDescent="0.25">
      <c r="A11" s="101" t="s">
        <v>198</v>
      </c>
      <c r="B11" s="108" t="s">
        <v>92</v>
      </c>
      <c r="C11" s="103" t="s">
        <v>7</v>
      </c>
      <c r="D11" t="s">
        <v>328</v>
      </c>
    </row>
    <row r="12" spans="1:4" x14ac:dyDescent="0.25">
      <c r="A12" s="101" t="s">
        <v>197</v>
      </c>
      <c r="B12" s="102">
        <v>1</v>
      </c>
    </row>
    <row r="13" spans="1:4" x14ac:dyDescent="0.25">
      <c r="A13" s="101" t="s">
        <v>6</v>
      </c>
      <c r="B13" s="115" t="s">
        <v>248</v>
      </c>
    </row>
    <row r="14" spans="1:4" x14ac:dyDescent="0.25">
      <c r="A14" s="101" t="s">
        <v>180</v>
      </c>
      <c r="B14" s="116" t="s">
        <v>249</v>
      </c>
    </row>
    <row r="15" spans="1:4" x14ac:dyDescent="0.25">
      <c r="A15" s="164" t="s">
        <v>206</v>
      </c>
      <c r="B15" s="165"/>
    </row>
    <row r="16" spans="1:4" x14ac:dyDescent="0.25">
      <c r="A16" s="104" t="s">
        <v>208</v>
      </c>
      <c r="B16" s="105" t="s">
        <v>214</v>
      </c>
      <c r="C16" s="103" t="s">
        <v>220</v>
      </c>
    </row>
    <row r="17" spans="1:3" x14ac:dyDescent="0.25">
      <c r="A17" s="104" t="s">
        <v>207</v>
      </c>
      <c r="B17" s="105" t="s">
        <v>218</v>
      </c>
      <c r="C17" s="103" t="s">
        <v>220</v>
      </c>
    </row>
    <row r="18" spans="1:3" x14ac:dyDescent="0.25">
      <c r="A18" s="104" t="s">
        <v>209</v>
      </c>
      <c r="B18" s="105" t="s">
        <v>217</v>
      </c>
      <c r="C18" s="103" t="s">
        <v>220</v>
      </c>
    </row>
    <row r="19" spans="1:3" x14ac:dyDescent="0.25">
      <c r="A19" s="103"/>
    </row>
  </sheetData>
  <mergeCells count="1">
    <mergeCell ref="A15:B1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F8A8248B-96A4-4033-A031-6DBA45EAB055}">
          <x14:formula1>
            <xm:f>'Database '!$AG$2:$AG$4</xm:f>
          </x14:formula1>
          <xm:sqref>B16</xm:sqref>
        </x14:dataValidation>
        <x14:dataValidation type="list" showInputMessage="1" showErrorMessage="1" xr:uid="{FC123262-E5D1-45EB-A28B-F8E7A4D4D149}">
          <x14:formula1>
            <xm:f>'Database '!$AG$6</xm:f>
          </x14:formula1>
          <xm:sqref>B17</xm:sqref>
        </x14:dataValidation>
        <x14:dataValidation type="list" allowBlank="1" showInputMessage="1" showErrorMessage="1" xr:uid="{F30B2714-699A-4672-8FB4-872AD0AD4F5C}">
          <x14:formula1>
            <xm:f>'Database '!$AG$8</xm:f>
          </x14:formula1>
          <xm:sqref>B18</xm:sqref>
        </x14:dataValidation>
        <x14:dataValidation type="list" allowBlank="1" showInputMessage="1" showErrorMessage="1" xr:uid="{FE946ADE-6453-40E2-A06F-432B9C6DE0F8}">
          <x14:formula1>
            <xm:f>'Database '!$A$36:$A$40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4807"/>
  </sheetPr>
  <dimension ref="A1:AI131"/>
  <sheetViews>
    <sheetView zoomScale="47" zoomScaleNormal="47" workbookViewId="0">
      <selection activeCell="R54" sqref="R54"/>
    </sheetView>
  </sheetViews>
  <sheetFormatPr defaultColWidth="7.21875" defaultRowHeight="14.4" x14ac:dyDescent="0.3"/>
  <cols>
    <col min="1" max="1" width="34.5546875" style="2" bestFit="1" customWidth="1"/>
    <col min="2" max="2" width="17.109375" style="2" bestFit="1" customWidth="1"/>
    <col min="3" max="3" width="18.5546875" style="2" bestFit="1" customWidth="1"/>
    <col min="4" max="4" width="18.21875" style="2" bestFit="1" customWidth="1"/>
    <col min="5" max="5" width="30" style="2" customWidth="1"/>
    <col min="6" max="6" width="30.44140625" style="2" bestFit="1" customWidth="1"/>
    <col min="7" max="7" width="28.5546875" style="2" bestFit="1" customWidth="1"/>
    <col min="8" max="8" width="24.6640625" style="2" customWidth="1"/>
    <col min="9" max="10" width="23.6640625" style="2" customWidth="1"/>
    <col min="11" max="11" width="20.109375" style="2" customWidth="1"/>
    <col min="12" max="12" width="25.88671875" style="2" customWidth="1"/>
    <col min="13" max="13" width="23.5546875" style="2" customWidth="1"/>
    <col min="14" max="14" width="23.44140625" style="2" customWidth="1"/>
    <col min="15" max="15" width="17.109375" style="2" customWidth="1"/>
    <col min="16" max="16" width="14.5546875" style="2" customWidth="1"/>
    <col min="17" max="17" width="30" style="2" customWidth="1"/>
    <col min="18" max="18" width="28.109375" style="2" customWidth="1"/>
    <col min="19" max="19" width="27" style="2" customWidth="1"/>
    <col min="20" max="20" width="29" style="2" customWidth="1"/>
    <col min="21" max="21" width="29.88671875" style="2" customWidth="1"/>
    <col min="22" max="22" width="20.21875" style="2" customWidth="1"/>
    <col min="23" max="23" width="17.77734375" style="2" customWidth="1"/>
    <col min="24" max="24" width="17.88671875" style="2" customWidth="1"/>
    <col min="25" max="25" width="18.33203125" style="2" customWidth="1"/>
    <col min="26" max="26" width="28.5546875" style="2" customWidth="1"/>
    <col min="27" max="27" width="29.5546875" style="2" customWidth="1"/>
    <col min="28" max="28" width="29.109375" style="2" customWidth="1"/>
    <col min="29" max="29" width="14.77734375" style="2" customWidth="1"/>
    <col min="30" max="30" width="24.88671875" style="2" customWidth="1"/>
    <col min="31" max="31" width="19.33203125" style="2" customWidth="1"/>
    <col min="32" max="32" width="17.5546875" style="2" customWidth="1"/>
    <col min="33" max="33" width="25.5546875" style="2" customWidth="1"/>
    <col min="34" max="34" width="22.6640625" style="2" customWidth="1"/>
    <col min="35" max="35" width="26.109375" style="2" customWidth="1"/>
    <col min="36" max="16384" width="7.21875" style="2"/>
  </cols>
  <sheetData>
    <row r="1" spans="1:15" ht="15" customHeight="1" x14ac:dyDescent="0.3">
      <c r="A1" s="2" t="s">
        <v>199</v>
      </c>
      <c r="B1" s="2" t="s">
        <v>200</v>
      </c>
      <c r="C1" s="2" t="s">
        <v>201</v>
      </c>
      <c r="G1" s="125" t="s">
        <v>261</v>
      </c>
      <c r="H1" s="126" t="s">
        <v>262</v>
      </c>
      <c r="I1" s="121"/>
      <c r="J1" s="121"/>
      <c r="K1" s="121"/>
    </row>
    <row r="2" spans="1:15" ht="15" customHeight="1" x14ac:dyDescent="0.3">
      <c r="A2" s="2" t="s">
        <v>202</v>
      </c>
      <c r="B2" s="2">
        <v>20.100000000000001</v>
      </c>
      <c r="C2" s="2">
        <v>20.7</v>
      </c>
      <c r="G2" s="142" t="s">
        <v>279</v>
      </c>
      <c r="H2" s="121">
        <f>IF('Isian '!B16 = 'Database '!AG2, 200, IF('Isian '!B16='Database '!AG3, 5000,IF('Isian '!B16='Database '!AG4,2000,0)))</f>
        <v>200</v>
      </c>
      <c r="I2" s="121" t="s">
        <v>264</v>
      </c>
      <c r="J2" s="121" t="s">
        <v>265</v>
      </c>
      <c r="K2" s="121"/>
      <c r="O2" s="3" t="s">
        <v>0</v>
      </c>
    </row>
    <row r="3" spans="1:15" ht="15" customHeight="1" x14ac:dyDescent="0.3">
      <c r="A3" s="2" t="s">
        <v>179</v>
      </c>
      <c r="B3" s="2">
        <v>60.5</v>
      </c>
      <c r="C3" s="2">
        <v>60</v>
      </c>
      <c r="G3" s="121" t="s">
        <v>266</v>
      </c>
      <c r="H3" s="127">
        <f>VLOOKUP(H2,A112:C131,2,FALSE)</f>
        <v>199.99982</v>
      </c>
      <c r="I3" s="149" t="s">
        <v>267</v>
      </c>
      <c r="J3" s="121"/>
      <c r="K3" s="128"/>
      <c r="O3" s="3" t="s">
        <v>0</v>
      </c>
    </row>
    <row r="4" spans="1:15" ht="15" customHeight="1" x14ac:dyDescent="0.3">
      <c r="A4" s="2" t="s">
        <v>203</v>
      </c>
      <c r="B4" s="2">
        <v>925</v>
      </c>
      <c r="C4" s="2">
        <v>927</v>
      </c>
      <c r="G4" s="148" t="s">
        <v>131</v>
      </c>
      <c r="H4" s="148" t="s">
        <v>268</v>
      </c>
      <c r="I4" s="148" t="s">
        <v>269</v>
      </c>
      <c r="J4" s="148" t="s">
        <v>281</v>
      </c>
      <c r="K4" s="148" t="s">
        <v>282</v>
      </c>
    </row>
    <row r="5" spans="1:15" ht="15" customHeight="1" x14ac:dyDescent="0.3">
      <c r="C5" s="2" t="s">
        <v>221</v>
      </c>
      <c r="G5" s="129">
        <v>0</v>
      </c>
      <c r="H5" s="130">
        <v>0</v>
      </c>
      <c r="I5" s="131"/>
      <c r="J5" s="131"/>
      <c r="K5" s="131"/>
      <c r="L5" s="4"/>
    </row>
    <row r="6" spans="1:15" ht="15" customHeight="1" x14ac:dyDescent="0.3">
      <c r="G6" s="132">
        <f>H3</f>
        <v>199.99982</v>
      </c>
      <c r="H6" s="130">
        <v>199.9973</v>
      </c>
      <c r="I6" s="131"/>
      <c r="J6" s="131"/>
      <c r="K6" s="131"/>
      <c r="L6" s="4"/>
    </row>
    <row r="7" spans="1:15" ht="15" customHeight="1" x14ac:dyDescent="0.3">
      <c r="A7" s="7" t="s">
        <v>24</v>
      </c>
      <c r="G7" s="132">
        <f>H3</f>
        <v>199.99982</v>
      </c>
      <c r="H7" s="130">
        <v>199.9974</v>
      </c>
      <c r="I7" s="133">
        <f>(H6+H7)/2</f>
        <v>199.99734999999998</v>
      </c>
      <c r="J7" s="133">
        <f>I7-I8</f>
        <v>199.99734999999998</v>
      </c>
      <c r="K7" s="134">
        <f>H3-(J7)</f>
        <v>2.4700000000166256E-3</v>
      </c>
      <c r="L7" s="4"/>
    </row>
    <row r="8" spans="1:15" ht="15" customHeight="1" x14ac:dyDescent="0.3">
      <c r="A8" s="2" t="s">
        <v>16</v>
      </c>
      <c r="B8" s="2" t="s">
        <v>303</v>
      </c>
      <c r="C8" s="2" t="s">
        <v>15</v>
      </c>
      <c r="D8" s="2" t="s">
        <v>19</v>
      </c>
      <c r="E8" s="2" t="s">
        <v>20</v>
      </c>
      <c r="G8" s="129">
        <v>0</v>
      </c>
      <c r="H8" s="130">
        <v>0</v>
      </c>
      <c r="I8" s="133">
        <f>(H5+H8)/2</f>
        <v>0</v>
      </c>
      <c r="J8" s="133"/>
      <c r="K8" s="131"/>
      <c r="L8" s="4"/>
    </row>
    <row r="9" spans="1:15" ht="15" customHeight="1" x14ac:dyDescent="0.3">
      <c r="A9" s="1" t="s">
        <v>1</v>
      </c>
      <c r="B9" s="1" t="str">
        <f>CONCATENATE('Isian '!$B$10/5," ml")</f>
        <v>2 ml</v>
      </c>
      <c r="C9" s="2">
        <v>0</v>
      </c>
      <c r="D9" s="2">
        <v>17.0763</v>
      </c>
      <c r="E9" s="2">
        <v>0</v>
      </c>
      <c r="L9" s="4"/>
    </row>
    <row r="10" spans="1:15" ht="15" customHeight="1" x14ac:dyDescent="0.3">
      <c r="A10" s="1" t="s">
        <v>2</v>
      </c>
      <c r="B10" s="1" t="str">
        <f>CONCATENATE('Isian '!$B$10/5," ml")</f>
        <v>2 ml</v>
      </c>
      <c r="C10" s="2">
        <v>0</v>
      </c>
      <c r="D10" s="2">
        <v>17.075900000000001</v>
      </c>
      <c r="E10" s="2">
        <v>0</v>
      </c>
      <c r="G10" s="125" t="s">
        <v>263</v>
      </c>
      <c r="H10" s="121"/>
      <c r="I10" s="121"/>
      <c r="J10" s="121"/>
      <c r="K10" s="121"/>
      <c r="L10" s="4"/>
    </row>
    <row r="11" spans="1:15" ht="15" customHeight="1" x14ac:dyDescent="0.3">
      <c r="A11" s="1" t="s">
        <v>3</v>
      </c>
      <c r="B11" s="1" t="str">
        <f>CONCATENATE('Isian '!$B$10/5," ml")</f>
        <v>2 ml</v>
      </c>
      <c r="C11" s="2">
        <v>0</v>
      </c>
      <c r="D11" s="2">
        <v>17.075600000000001</v>
      </c>
      <c r="E11" s="2">
        <v>0</v>
      </c>
      <c r="G11" s="142" t="s">
        <v>279</v>
      </c>
      <c r="H11" s="121">
        <f>IF('Isian '!B16 = 'Database '!AG2, 200, IF('Isian '!B16='Database '!AG3, 5000,IF('Isian '!B16='Database '!AG4,2000,0)))</f>
        <v>200</v>
      </c>
      <c r="I11" s="121" t="s">
        <v>264</v>
      </c>
      <c r="J11" s="121"/>
      <c r="K11" s="121"/>
      <c r="L11" s="4"/>
    </row>
    <row r="12" spans="1:15" ht="15" customHeight="1" x14ac:dyDescent="0.3">
      <c r="A12" s="1" t="s">
        <v>17</v>
      </c>
      <c r="B12" s="1" t="str">
        <f>CONCATENATE('Isian '!$B$10/5," ml")</f>
        <v>2 ml</v>
      </c>
      <c r="C12" s="2">
        <v>0</v>
      </c>
      <c r="D12" s="2">
        <v>17.075900000000001</v>
      </c>
      <c r="E12" s="2">
        <v>0</v>
      </c>
      <c r="G12" s="121" t="s">
        <v>266</v>
      </c>
      <c r="H12" s="127">
        <f>VLOOKUP(H2,A112:C131,2,FALSE)</f>
        <v>199.99982</v>
      </c>
      <c r="I12" s="149" t="s">
        <v>267</v>
      </c>
      <c r="J12" s="121"/>
      <c r="K12" s="128"/>
      <c r="L12" s="4"/>
    </row>
    <row r="13" spans="1:15" ht="15" customHeight="1" x14ac:dyDescent="0.3">
      <c r="A13" s="1" t="s">
        <v>18</v>
      </c>
      <c r="B13" s="1" t="str">
        <f>CONCATENATE('Isian '!$B$10/5," ml")</f>
        <v>2 ml</v>
      </c>
      <c r="C13" s="2">
        <v>0</v>
      </c>
      <c r="D13" s="2">
        <v>17.075600000000001</v>
      </c>
      <c r="E13" s="2">
        <v>0</v>
      </c>
      <c r="G13" s="148" t="s">
        <v>131</v>
      </c>
      <c r="H13" s="148" t="s">
        <v>268</v>
      </c>
      <c r="I13" s="148" t="s">
        <v>269</v>
      </c>
      <c r="J13" s="148" t="s">
        <v>281</v>
      </c>
      <c r="K13" s="148" t="s">
        <v>282</v>
      </c>
      <c r="L13" s="4"/>
    </row>
    <row r="14" spans="1:15" ht="15" customHeight="1" x14ac:dyDescent="0.3">
      <c r="A14" s="146"/>
      <c r="B14" s="146"/>
      <c r="C14" s="147"/>
      <c r="D14" s="147"/>
      <c r="E14" s="147"/>
      <c r="G14" s="129">
        <v>0</v>
      </c>
      <c r="H14" s="130">
        <v>0</v>
      </c>
      <c r="I14" s="131"/>
      <c r="J14" s="131"/>
      <c r="K14" s="131"/>
      <c r="L14" s="4"/>
    </row>
    <row r="15" spans="1:15" ht="15" customHeight="1" x14ac:dyDescent="0.3">
      <c r="A15" s="1" t="s">
        <v>283</v>
      </c>
      <c r="B15" s="1" t="str">
        <f>CONCATENATE('Isian '!$B$10*2/5," ml")</f>
        <v>4 ml</v>
      </c>
      <c r="C15" s="2">
        <v>0</v>
      </c>
      <c r="D15" s="2">
        <v>17.0763</v>
      </c>
      <c r="E15" s="2">
        <v>0</v>
      </c>
      <c r="G15" s="129">
        <f>H12</f>
        <v>199.99982</v>
      </c>
      <c r="H15" s="130">
        <v>200.00020000000001</v>
      </c>
      <c r="I15" s="131"/>
      <c r="J15" s="131"/>
      <c r="K15" s="131"/>
      <c r="L15" s="4"/>
    </row>
    <row r="16" spans="1:15" ht="15" customHeight="1" x14ac:dyDescent="0.3">
      <c r="A16" s="1" t="s">
        <v>284</v>
      </c>
      <c r="B16" s="1" t="str">
        <f>CONCATENATE('Isian '!$B$10*2/5," ml")</f>
        <v>4 ml</v>
      </c>
      <c r="C16" s="2">
        <v>0</v>
      </c>
      <c r="D16" s="2">
        <v>17.075900000000001</v>
      </c>
      <c r="E16" s="2">
        <v>0</v>
      </c>
      <c r="G16" s="129">
        <f>H12</f>
        <v>199.99982</v>
      </c>
      <c r="H16" s="130">
        <v>200.0001</v>
      </c>
      <c r="I16" s="133">
        <f>(H15+H16)/2</f>
        <v>200.00015000000002</v>
      </c>
      <c r="J16" s="133">
        <f>I16-I17</f>
        <v>200.00015000000002</v>
      </c>
      <c r="K16" s="134">
        <f>H12-(I16)</f>
        <v>-3.3000000001948138E-4</v>
      </c>
      <c r="L16" s="4"/>
    </row>
    <row r="17" spans="1:12" ht="15" customHeight="1" x14ac:dyDescent="0.3">
      <c r="A17" s="1" t="s">
        <v>285</v>
      </c>
      <c r="B17" s="1" t="str">
        <f>CONCATENATE('Isian '!$B$10*2/5," ml")</f>
        <v>4 ml</v>
      </c>
      <c r="C17" s="2">
        <v>0</v>
      </c>
      <c r="D17" s="2">
        <v>17.075600000000001</v>
      </c>
      <c r="E17" s="2">
        <v>0</v>
      </c>
      <c r="G17" s="129" t="s">
        <v>270</v>
      </c>
      <c r="H17" s="130">
        <v>0</v>
      </c>
      <c r="I17" s="133">
        <f>(H14+H17)/2</f>
        <v>0</v>
      </c>
      <c r="J17" s="133"/>
      <c r="K17" s="131"/>
      <c r="L17" s="4"/>
    </row>
    <row r="18" spans="1:12" ht="15" customHeight="1" x14ac:dyDescent="0.3">
      <c r="A18" s="1" t="s">
        <v>286</v>
      </c>
      <c r="B18" s="1" t="str">
        <f>CONCATENATE('Isian '!$B$10*2/5," ml")</f>
        <v>4 ml</v>
      </c>
      <c r="C18" s="2">
        <v>0</v>
      </c>
      <c r="D18" s="2">
        <v>17.075900000000001</v>
      </c>
      <c r="E18" s="2">
        <v>0</v>
      </c>
      <c r="L18" s="4"/>
    </row>
    <row r="19" spans="1:12" ht="15" customHeight="1" x14ac:dyDescent="0.3">
      <c r="A19" s="1" t="s">
        <v>287</v>
      </c>
      <c r="B19" s="1" t="str">
        <f>CONCATENATE('Isian '!$B$10*2/5," ml")</f>
        <v>4 ml</v>
      </c>
      <c r="C19" s="2">
        <v>0</v>
      </c>
      <c r="D19" s="2">
        <v>17.075600000000001</v>
      </c>
      <c r="E19" s="2">
        <v>0</v>
      </c>
      <c r="L19" s="4"/>
    </row>
    <row r="20" spans="1:12" ht="15" customHeight="1" x14ac:dyDescent="0.3">
      <c r="A20" s="146"/>
      <c r="B20" s="146"/>
      <c r="C20" s="147"/>
      <c r="D20" s="147"/>
      <c r="E20" s="147"/>
      <c r="K20" s="4"/>
    </row>
    <row r="21" spans="1:12" ht="15" customHeight="1" x14ac:dyDescent="0.3">
      <c r="A21" s="1" t="s">
        <v>288</v>
      </c>
      <c r="B21" s="1" t="str">
        <f>CONCATENATE('Isian '!$B$10*3/5," ml")</f>
        <v>6 ml</v>
      </c>
      <c r="C21" s="2">
        <v>0</v>
      </c>
      <c r="D21" s="2">
        <v>17.0763</v>
      </c>
      <c r="E21" s="2">
        <v>0</v>
      </c>
      <c r="K21" s="4"/>
    </row>
    <row r="22" spans="1:12" ht="15" customHeight="1" x14ac:dyDescent="0.3">
      <c r="A22" s="1" t="s">
        <v>289</v>
      </c>
      <c r="B22" s="1" t="str">
        <f>CONCATENATE('Isian '!$B$10*3/5," ml")</f>
        <v>6 ml</v>
      </c>
      <c r="C22" s="2">
        <v>0</v>
      </c>
      <c r="D22" s="2">
        <v>17.075900000000001</v>
      </c>
      <c r="E22" s="2">
        <v>0</v>
      </c>
      <c r="K22" s="4"/>
    </row>
    <row r="23" spans="1:12" ht="15" customHeight="1" x14ac:dyDescent="0.3">
      <c r="A23" s="1" t="s">
        <v>290</v>
      </c>
      <c r="B23" s="1" t="str">
        <f>CONCATENATE('Isian '!$B$10*3/5," ml")</f>
        <v>6 ml</v>
      </c>
      <c r="C23" s="2">
        <v>0</v>
      </c>
      <c r="D23" s="2">
        <v>17.075600000000001</v>
      </c>
      <c r="E23" s="2">
        <v>0</v>
      </c>
      <c r="K23" s="4"/>
    </row>
    <row r="24" spans="1:12" ht="15" customHeight="1" x14ac:dyDescent="0.3">
      <c r="A24" s="1" t="s">
        <v>291</v>
      </c>
      <c r="B24" s="1" t="str">
        <f>CONCATENATE('Isian '!$B$10*3/5," ml")</f>
        <v>6 ml</v>
      </c>
      <c r="C24" s="2">
        <v>0</v>
      </c>
      <c r="D24" s="2">
        <v>17.075900000000001</v>
      </c>
      <c r="E24" s="2">
        <v>0</v>
      </c>
      <c r="K24" s="4"/>
    </row>
    <row r="25" spans="1:12" ht="15" customHeight="1" x14ac:dyDescent="0.3">
      <c r="A25" s="1" t="s">
        <v>292</v>
      </c>
      <c r="B25" s="1" t="str">
        <f>CONCATENATE('Isian '!$B$10*3/5," ml")</f>
        <v>6 ml</v>
      </c>
      <c r="C25" s="2">
        <v>0</v>
      </c>
      <c r="D25" s="2">
        <v>17.075600000000001</v>
      </c>
      <c r="E25" s="2">
        <v>0</v>
      </c>
      <c r="K25" s="4"/>
    </row>
    <row r="26" spans="1:12" ht="15" customHeight="1" x14ac:dyDescent="0.3">
      <c r="A26" s="146"/>
      <c r="B26" s="146"/>
      <c r="C26" s="147"/>
      <c r="D26" s="147"/>
      <c r="E26" s="147"/>
      <c r="K26" s="4"/>
    </row>
    <row r="27" spans="1:12" ht="15" customHeight="1" x14ac:dyDescent="0.3">
      <c r="A27" s="1" t="s">
        <v>293</v>
      </c>
      <c r="B27" s="1" t="str">
        <f>CONCATENATE('Isian '!$B$10*4/5," ml")</f>
        <v>8 ml</v>
      </c>
      <c r="C27" s="2">
        <v>0</v>
      </c>
      <c r="D27" s="2">
        <v>17.0763</v>
      </c>
      <c r="E27" s="2">
        <v>0</v>
      </c>
      <c r="K27" s="4"/>
    </row>
    <row r="28" spans="1:12" ht="15" customHeight="1" x14ac:dyDescent="0.3">
      <c r="A28" s="1" t="s">
        <v>294</v>
      </c>
      <c r="B28" s="1" t="str">
        <f>CONCATENATE('Isian '!$B$10*4/5," ml")</f>
        <v>8 ml</v>
      </c>
      <c r="C28" s="2">
        <v>0</v>
      </c>
      <c r="D28" s="2">
        <v>17.075900000000001</v>
      </c>
      <c r="E28" s="2">
        <v>0</v>
      </c>
      <c r="K28" s="4"/>
    </row>
    <row r="29" spans="1:12" ht="15" customHeight="1" x14ac:dyDescent="0.3">
      <c r="A29" s="1" t="s">
        <v>295</v>
      </c>
      <c r="B29" s="1" t="str">
        <f>CONCATENATE('Isian '!$B$10*4/5," ml")</f>
        <v>8 ml</v>
      </c>
      <c r="C29" s="2">
        <v>0</v>
      </c>
      <c r="D29" s="2">
        <v>17.075600000000001</v>
      </c>
      <c r="E29" s="2">
        <v>0</v>
      </c>
      <c r="K29" s="4"/>
    </row>
    <row r="30" spans="1:12" ht="15" customHeight="1" x14ac:dyDescent="0.3">
      <c r="A30" s="1" t="s">
        <v>296</v>
      </c>
      <c r="B30" s="1" t="str">
        <f>CONCATENATE('Isian '!$B$10*4/5," ml")</f>
        <v>8 ml</v>
      </c>
      <c r="C30" s="2">
        <v>0</v>
      </c>
      <c r="D30" s="2">
        <v>17.075900000000001</v>
      </c>
      <c r="E30" s="2">
        <v>0</v>
      </c>
      <c r="K30" s="4"/>
    </row>
    <row r="31" spans="1:12" ht="15" customHeight="1" x14ac:dyDescent="0.3">
      <c r="A31" s="1" t="s">
        <v>297</v>
      </c>
      <c r="B31" s="1" t="str">
        <f>CONCATENATE('Isian '!$B$10*4/5," ml")</f>
        <v>8 ml</v>
      </c>
      <c r="C31" s="2">
        <v>0</v>
      </c>
      <c r="D31" s="2">
        <v>17.075600000000001</v>
      </c>
      <c r="E31" s="2">
        <v>0</v>
      </c>
      <c r="K31" s="4"/>
    </row>
    <row r="32" spans="1:12" ht="15" customHeight="1" x14ac:dyDescent="0.3">
      <c r="A32" s="146"/>
      <c r="B32" s="146"/>
      <c r="C32" s="147"/>
      <c r="D32" s="147"/>
      <c r="E32" s="147"/>
      <c r="K32" s="4"/>
    </row>
    <row r="33" spans="1:12" ht="15" customHeight="1" x14ac:dyDescent="0.3">
      <c r="A33" s="1" t="s">
        <v>298</v>
      </c>
      <c r="B33" s="1" t="str">
        <f>CONCATENATE('Isian '!$B$10*5/5," ml")</f>
        <v>10 ml</v>
      </c>
      <c r="C33" s="2">
        <v>0</v>
      </c>
      <c r="D33" s="2">
        <v>17.0763</v>
      </c>
      <c r="E33" s="2">
        <v>0</v>
      </c>
      <c r="K33" s="4"/>
    </row>
    <row r="34" spans="1:12" ht="15" customHeight="1" x14ac:dyDescent="0.3">
      <c r="A34" s="1" t="s">
        <v>299</v>
      </c>
      <c r="B34" s="1" t="str">
        <f>CONCATENATE('Isian '!$B$10*5/5," ml")</f>
        <v>10 ml</v>
      </c>
      <c r="C34" s="2">
        <v>0</v>
      </c>
      <c r="D34" s="2">
        <v>17.075900000000001</v>
      </c>
      <c r="E34" s="2">
        <v>0</v>
      </c>
      <c r="K34" s="4"/>
    </row>
    <row r="35" spans="1:12" ht="15" customHeight="1" x14ac:dyDescent="0.3">
      <c r="A35" s="1" t="s">
        <v>300</v>
      </c>
      <c r="B35" s="1" t="str">
        <f>CONCATENATE('Isian '!$B$10*5/5," ml")</f>
        <v>10 ml</v>
      </c>
      <c r="C35" s="2">
        <v>0</v>
      </c>
      <c r="D35" s="2">
        <v>17.075600000000001</v>
      </c>
      <c r="E35" s="2">
        <v>0</v>
      </c>
      <c r="K35" s="4"/>
    </row>
    <row r="36" spans="1:12" ht="15" customHeight="1" x14ac:dyDescent="0.3">
      <c r="A36" s="1" t="s">
        <v>301</v>
      </c>
      <c r="B36" s="1" t="str">
        <f>CONCATENATE('Isian '!$B$10*5/5," ml")</f>
        <v>10 ml</v>
      </c>
      <c r="C36" s="2">
        <v>0</v>
      </c>
      <c r="D36" s="2">
        <v>17.075900000000001</v>
      </c>
      <c r="E36" s="2">
        <v>0</v>
      </c>
      <c r="K36" s="4"/>
    </row>
    <row r="37" spans="1:12" ht="15" customHeight="1" x14ac:dyDescent="0.3">
      <c r="A37" s="1" t="s">
        <v>302</v>
      </c>
      <c r="B37" s="1" t="str">
        <f>CONCATENATE('Isian '!$B$10*5/5," ml")</f>
        <v>10 ml</v>
      </c>
      <c r="C37" s="2">
        <v>0</v>
      </c>
      <c r="D37" s="2">
        <v>17.075600000000001</v>
      </c>
      <c r="E37" s="2">
        <v>0</v>
      </c>
      <c r="K37" s="4"/>
    </row>
    <row r="38" spans="1:12" ht="15" customHeight="1" x14ac:dyDescent="0.3">
      <c r="A38" s="1"/>
      <c r="K38" s="4"/>
    </row>
    <row r="39" spans="1:12" ht="15" customHeight="1" x14ac:dyDescent="0.3">
      <c r="L39" s="4"/>
    </row>
    <row r="40" spans="1:12" ht="15" customHeight="1" x14ac:dyDescent="0.3">
      <c r="A40" s="7" t="s">
        <v>25</v>
      </c>
      <c r="L40" s="4"/>
    </row>
    <row r="41" spans="1:12" ht="15" customHeight="1" x14ac:dyDescent="0.3">
      <c r="A41" s="2" t="s">
        <v>16</v>
      </c>
      <c r="B41" s="2" t="s">
        <v>304</v>
      </c>
      <c r="C41" s="2" t="s">
        <v>15</v>
      </c>
      <c r="D41" s="2" t="s">
        <v>21</v>
      </c>
      <c r="E41" s="2" t="s">
        <v>20</v>
      </c>
      <c r="F41" s="2" t="s">
        <v>22</v>
      </c>
      <c r="J41" s="4"/>
    </row>
    <row r="42" spans="1:12" ht="15" customHeight="1" x14ac:dyDescent="0.3">
      <c r="A42" s="1" t="s">
        <v>1</v>
      </c>
      <c r="B42" s="1" t="str">
        <f>CONCATENATE('Isian '!$B$10/5," ml")</f>
        <v>2 ml</v>
      </c>
      <c r="C42" s="2">
        <v>0</v>
      </c>
      <c r="D42" s="8">
        <v>18.0641</v>
      </c>
      <c r="E42" s="2">
        <v>0</v>
      </c>
      <c r="F42" s="2">
        <v>20</v>
      </c>
      <c r="J42" s="4"/>
    </row>
    <row r="43" spans="1:12" ht="15" customHeight="1" x14ac:dyDescent="0.3">
      <c r="A43" s="1" t="s">
        <v>2</v>
      </c>
      <c r="B43" s="1" t="str">
        <f>CONCATENATE('Isian '!$B$10/5," ml")</f>
        <v>2 ml</v>
      </c>
      <c r="C43" s="2">
        <v>0</v>
      </c>
      <c r="D43" s="2">
        <v>18.0641</v>
      </c>
      <c r="E43" s="2">
        <v>0</v>
      </c>
      <c r="F43" s="2">
        <v>20</v>
      </c>
      <c r="J43" s="4"/>
    </row>
    <row r="44" spans="1:12" ht="15" customHeight="1" x14ac:dyDescent="0.3">
      <c r="A44" s="1" t="s">
        <v>3</v>
      </c>
      <c r="B44" s="1" t="str">
        <f>CONCATENATE('Isian '!$B$10/5," ml")</f>
        <v>2 ml</v>
      </c>
      <c r="C44" s="2">
        <v>0</v>
      </c>
      <c r="D44" s="2">
        <v>18.070799999999998</v>
      </c>
      <c r="E44" s="2">
        <v>0</v>
      </c>
      <c r="F44" s="2">
        <v>20.2</v>
      </c>
      <c r="J44" s="4"/>
    </row>
    <row r="45" spans="1:12" ht="15" customHeight="1" x14ac:dyDescent="0.3">
      <c r="A45" s="1" t="s">
        <v>17</v>
      </c>
      <c r="B45" s="1" t="str">
        <f>CONCATENATE('Isian '!$B$10/5," ml")</f>
        <v>2 ml</v>
      </c>
      <c r="C45" s="2">
        <v>0</v>
      </c>
      <c r="D45" s="8">
        <v>18.0641</v>
      </c>
      <c r="E45" s="2">
        <v>0</v>
      </c>
      <c r="F45" s="2">
        <v>20.2</v>
      </c>
      <c r="J45" s="4"/>
    </row>
    <row r="46" spans="1:12" ht="15" customHeight="1" x14ac:dyDescent="0.3">
      <c r="A46" s="1" t="s">
        <v>18</v>
      </c>
      <c r="B46" s="1" t="str">
        <f>CONCATENATE('Isian '!$B$10/5," ml")</f>
        <v>2 ml</v>
      </c>
      <c r="C46" s="2">
        <v>0</v>
      </c>
      <c r="D46" s="2">
        <v>18.070799999999998</v>
      </c>
      <c r="E46" s="2">
        <v>0</v>
      </c>
      <c r="F46" s="2">
        <v>20</v>
      </c>
      <c r="J46" s="4"/>
    </row>
    <row r="47" spans="1:12" ht="15" customHeight="1" x14ac:dyDescent="0.3">
      <c r="A47" s="143"/>
      <c r="B47" s="143"/>
      <c r="C47" s="144"/>
      <c r="D47" s="144"/>
      <c r="E47" s="144"/>
      <c r="F47" s="144"/>
      <c r="J47" s="4"/>
    </row>
    <row r="48" spans="1:12" ht="15" customHeight="1" x14ac:dyDescent="0.3">
      <c r="A48" s="1" t="s">
        <v>283</v>
      </c>
      <c r="B48" s="1" t="str">
        <f>CONCATENATE('Isian '!$B$10*2/5," ml")</f>
        <v>4 ml</v>
      </c>
      <c r="C48" s="2">
        <v>0</v>
      </c>
      <c r="D48" s="8">
        <v>18.0641</v>
      </c>
      <c r="E48" s="2">
        <v>0</v>
      </c>
      <c r="F48" s="2">
        <v>20</v>
      </c>
      <c r="J48" s="4"/>
    </row>
    <row r="49" spans="1:10" ht="15" customHeight="1" x14ac:dyDescent="0.3">
      <c r="A49" s="1" t="s">
        <v>284</v>
      </c>
      <c r="B49" s="1" t="str">
        <f>CONCATENATE('Isian '!$B$10*2/5," ml")</f>
        <v>4 ml</v>
      </c>
      <c r="C49" s="2">
        <v>0</v>
      </c>
      <c r="D49" s="2">
        <v>18.0641</v>
      </c>
      <c r="E49" s="2">
        <v>0</v>
      </c>
      <c r="F49" s="2">
        <v>20</v>
      </c>
      <c r="J49" s="4"/>
    </row>
    <row r="50" spans="1:10" ht="15" customHeight="1" x14ac:dyDescent="0.3">
      <c r="A50" s="1" t="s">
        <v>285</v>
      </c>
      <c r="B50" s="1" t="str">
        <f>CONCATENATE('Isian '!$B$10*2/5," ml")</f>
        <v>4 ml</v>
      </c>
      <c r="C50" s="2">
        <v>0</v>
      </c>
      <c r="D50" s="2">
        <v>18.070799999999998</v>
      </c>
      <c r="E50" s="2">
        <v>0</v>
      </c>
      <c r="F50" s="2">
        <v>20.2</v>
      </c>
      <c r="J50" s="4"/>
    </row>
    <row r="51" spans="1:10" ht="15" customHeight="1" x14ac:dyDescent="0.3">
      <c r="A51" s="1" t="s">
        <v>286</v>
      </c>
      <c r="B51" s="1" t="str">
        <f>CONCATENATE('Isian '!$B$10*2/5," ml")</f>
        <v>4 ml</v>
      </c>
      <c r="C51" s="2">
        <v>0</v>
      </c>
      <c r="D51" s="8">
        <v>18.0641</v>
      </c>
      <c r="E51" s="2">
        <v>0</v>
      </c>
      <c r="F51" s="2">
        <v>20.2</v>
      </c>
      <c r="J51" s="4"/>
    </row>
    <row r="52" spans="1:10" ht="15" customHeight="1" x14ac:dyDescent="0.3">
      <c r="A52" s="1" t="s">
        <v>287</v>
      </c>
      <c r="B52" s="1" t="str">
        <f>CONCATENATE('Isian '!$B$10*2/5," ml")</f>
        <v>4 ml</v>
      </c>
      <c r="C52" s="2">
        <v>0</v>
      </c>
      <c r="D52" s="2">
        <v>18.070799999999998</v>
      </c>
      <c r="E52" s="2">
        <v>0</v>
      </c>
      <c r="F52" s="2">
        <v>20</v>
      </c>
      <c r="J52" s="4"/>
    </row>
    <row r="53" spans="1:10" ht="15" customHeight="1" x14ac:dyDescent="0.3">
      <c r="A53" s="143"/>
      <c r="B53" s="143"/>
      <c r="C53" s="144"/>
      <c r="D53" s="144"/>
      <c r="E53" s="144"/>
      <c r="F53" s="144"/>
      <c r="J53" s="4"/>
    </row>
    <row r="54" spans="1:10" ht="15" customHeight="1" x14ac:dyDescent="0.3">
      <c r="A54" s="1" t="s">
        <v>288</v>
      </c>
      <c r="B54" s="1" t="str">
        <f>CONCATENATE('Isian '!$B$10*3/5," ml")</f>
        <v>6 ml</v>
      </c>
      <c r="C54" s="2">
        <v>0</v>
      </c>
      <c r="D54" s="8">
        <v>18.0641</v>
      </c>
      <c r="E54" s="2">
        <v>0</v>
      </c>
      <c r="F54" s="2">
        <v>20</v>
      </c>
      <c r="J54" s="4"/>
    </row>
    <row r="55" spans="1:10" ht="15" customHeight="1" x14ac:dyDescent="0.3">
      <c r="A55" s="1" t="s">
        <v>289</v>
      </c>
      <c r="B55" s="1" t="str">
        <f>CONCATENATE('Isian '!$B$10*3/5," ml")</f>
        <v>6 ml</v>
      </c>
      <c r="C55" s="2">
        <v>0</v>
      </c>
      <c r="D55" s="2">
        <v>18.0641</v>
      </c>
      <c r="E55" s="2">
        <v>0</v>
      </c>
      <c r="F55" s="2">
        <v>20</v>
      </c>
      <c r="J55" s="4"/>
    </row>
    <row r="56" spans="1:10" ht="15" customHeight="1" x14ac:dyDescent="0.3">
      <c r="A56" s="1" t="s">
        <v>290</v>
      </c>
      <c r="B56" s="1" t="str">
        <f>CONCATENATE('Isian '!$B$10*3/5," ml")</f>
        <v>6 ml</v>
      </c>
      <c r="C56" s="2">
        <v>0</v>
      </c>
      <c r="D56" s="2">
        <v>18.070799999999998</v>
      </c>
      <c r="E56" s="2">
        <v>0</v>
      </c>
      <c r="F56" s="2">
        <v>20.2</v>
      </c>
      <c r="J56" s="4"/>
    </row>
    <row r="57" spans="1:10" ht="15" customHeight="1" x14ac:dyDescent="0.3">
      <c r="A57" s="1" t="s">
        <v>291</v>
      </c>
      <c r="B57" s="1" t="str">
        <f>CONCATENATE('Isian '!$B$10*3/5," ml")</f>
        <v>6 ml</v>
      </c>
      <c r="C57" s="2">
        <v>0</v>
      </c>
      <c r="D57" s="8">
        <v>18.0641</v>
      </c>
      <c r="E57" s="2">
        <v>0</v>
      </c>
      <c r="F57" s="2">
        <v>20.2</v>
      </c>
      <c r="J57" s="4"/>
    </row>
    <row r="58" spans="1:10" ht="15" customHeight="1" x14ac:dyDescent="0.3">
      <c r="A58" s="1" t="s">
        <v>292</v>
      </c>
      <c r="B58" s="1" t="str">
        <f>CONCATENATE('Isian '!$B$10*3/5," ml")</f>
        <v>6 ml</v>
      </c>
      <c r="C58" s="2">
        <v>0</v>
      </c>
      <c r="D58" s="2">
        <v>18.070799999999998</v>
      </c>
      <c r="E58" s="2">
        <v>0</v>
      </c>
      <c r="F58" s="2">
        <v>20</v>
      </c>
      <c r="J58" s="4"/>
    </row>
    <row r="59" spans="1:10" ht="15" customHeight="1" x14ac:dyDescent="0.3">
      <c r="A59" s="143"/>
      <c r="B59" s="143"/>
      <c r="C59" s="144"/>
      <c r="D59" s="144"/>
      <c r="E59" s="144"/>
      <c r="F59" s="144"/>
      <c r="J59" s="4"/>
    </row>
    <row r="60" spans="1:10" ht="15" customHeight="1" x14ac:dyDescent="0.3">
      <c r="A60" s="1" t="s">
        <v>293</v>
      </c>
      <c r="B60" s="1" t="str">
        <f>CONCATENATE('Isian '!$B$10*4/5," ml")</f>
        <v>8 ml</v>
      </c>
      <c r="C60" s="2">
        <v>0</v>
      </c>
      <c r="D60" s="8">
        <v>18.0641</v>
      </c>
      <c r="E60" s="2">
        <v>0</v>
      </c>
      <c r="F60" s="2">
        <v>20</v>
      </c>
      <c r="J60" s="4"/>
    </row>
    <row r="61" spans="1:10" ht="15" customHeight="1" x14ac:dyDescent="0.3">
      <c r="A61" s="1" t="s">
        <v>294</v>
      </c>
      <c r="B61" s="1" t="str">
        <f>CONCATENATE('Isian '!$B$10*4/5," ml")</f>
        <v>8 ml</v>
      </c>
      <c r="C61" s="2">
        <v>0</v>
      </c>
      <c r="D61" s="2">
        <v>18.0641</v>
      </c>
      <c r="E61" s="2">
        <v>0</v>
      </c>
      <c r="F61" s="2">
        <v>20</v>
      </c>
      <c r="J61" s="4"/>
    </row>
    <row r="62" spans="1:10" ht="15" customHeight="1" x14ac:dyDescent="0.3">
      <c r="A62" s="1" t="s">
        <v>295</v>
      </c>
      <c r="B62" s="1" t="str">
        <f>CONCATENATE('Isian '!$B$10*4/5," ml")</f>
        <v>8 ml</v>
      </c>
      <c r="C62" s="2">
        <v>0</v>
      </c>
      <c r="D62" s="2">
        <v>18.070799999999998</v>
      </c>
      <c r="E62" s="2">
        <v>0</v>
      </c>
      <c r="F62" s="2">
        <v>20.2</v>
      </c>
      <c r="J62" s="4"/>
    </row>
    <row r="63" spans="1:10" ht="15" customHeight="1" x14ac:dyDescent="0.3">
      <c r="A63" s="1" t="s">
        <v>296</v>
      </c>
      <c r="B63" s="1" t="str">
        <f>CONCATENATE('Isian '!$B$10*4/5," ml")</f>
        <v>8 ml</v>
      </c>
      <c r="C63" s="2">
        <v>0</v>
      </c>
      <c r="D63" s="8">
        <v>18.0641</v>
      </c>
      <c r="E63" s="2">
        <v>0</v>
      </c>
      <c r="F63" s="2">
        <v>20.2</v>
      </c>
      <c r="J63" s="4"/>
    </row>
    <row r="64" spans="1:10" ht="15" customHeight="1" x14ac:dyDescent="0.3">
      <c r="A64" s="1" t="s">
        <v>297</v>
      </c>
      <c r="B64" s="1" t="str">
        <f>CONCATENATE('Isian '!$B$10*4/5," ml")</f>
        <v>8 ml</v>
      </c>
      <c r="C64" s="2">
        <v>0</v>
      </c>
      <c r="D64" s="2">
        <v>18.070799999999998</v>
      </c>
      <c r="E64" s="2">
        <v>0</v>
      </c>
      <c r="F64" s="2">
        <v>20</v>
      </c>
      <c r="J64" s="4"/>
    </row>
    <row r="65" spans="1:15" ht="15" customHeight="1" x14ac:dyDescent="0.3">
      <c r="A65" s="143"/>
      <c r="B65" s="143"/>
      <c r="C65" s="144"/>
      <c r="D65" s="144"/>
      <c r="E65" s="144"/>
      <c r="F65" s="144"/>
      <c r="J65" s="4"/>
    </row>
    <row r="66" spans="1:15" ht="15" customHeight="1" x14ac:dyDescent="0.3">
      <c r="A66" s="1" t="s">
        <v>298</v>
      </c>
      <c r="B66" s="1" t="str">
        <f>CONCATENATE('Isian '!$B$10*5/5," ml")</f>
        <v>10 ml</v>
      </c>
      <c r="C66" s="2">
        <v>0</v>
      </c>
      <c r="D66" s="8">
        <v>18.0641</v>
      </c>
      <c r="E66" s="2">
        <v>0</v>
      </c>
      <c r="F66" s="2">
        <v>20</v>
      </c>
      <c r="J66" s="4"/>
    </row>
    <row r="67" spans="1:15" ht="15" customHeight="1" x14ac:dyDescent="0.3">
      <c r="A67" s="1" t="s">
        <v>299</v>
      </c>
      <c r="B67" s="1" t="str">
        <f>CONCATENATE('Isian '!$B$10*5/5," ml")</f>
        <v>10 ml</v>
      </c>
      <c r="C67" s="2">
        <v>0</v>
      </c>
      <c r="D67" s="2">
        <v>18.0641</v>
      </c>
      <c r="E67" s="2">
        <v>0</v>
      </c>
      <c r="F67" s="2">
        <v>20</v>
      </c>
      <c r="J67" s="4"/>
    </row>
    <row r="68" spans="1:15" ht="15" customHeight="1" x14ac:dyDescent="0.3">
      <c r="A68" s="1" t="s">
        <v>300</v>
      </c>
      <c r="B68" s="1" t="str">
        <f>CONCATENATE('Isian '!$B$10*5/5," ml")</f>
        <v>10 ml</v>
      </c>
      <c r="C68" s="2">
        <v>0</v>
      </c>
      <c r="D68" s="2">
        <v>18.070799999999998</v>
      </c>
      <c r="E68" s="2">
        <v>0</v>
      </c>
      <c r="F68" s="2">
        <v>20.2</v>
      </c>
      <c r="J68" s="4"/>
    </row>
    <row r="69" spans="1:15" ht="15" customHeight="1" x14ac:dyDescent="0.3">
      <c r="A69" s="1" t="s">
        <v>301</v>
      </c>
      <c r="B69" s="1" t="str">
        <f>CONCATENATE('Isian '!$B$10*5/5," ml")</f>
        <v>10 ml</v>
      </c>
      <c r="C69" s="2">
        <v>0</v>
      </c>
      <c r="D69" s="8">
        <v>18.0641</v>
      </c>
      <c r="E69" s="2">
        <v>0</v>
      </c>
      <c r="F69" s="2">
        <v>20.2</v>
      </c>
      <c r="J69" s="4"/>
    </row>
    <row r="70" spans="1:15" ht="15" customHeight="1" x14ac:dyDescent="0.3">
      <c r="A70" s="1" t="s">
        <v>302</v>
      </c>
      <c r="B70" s="1" t="str">
        <f>CONCATENATE('Isian '!$B$10*5/5," ml")</f>
        <v>10 ml</v>
      </c>
      <c r="C70" s="2">
        <v>0</v>
      </c>
      <c r="D70" s="2">
        <v>18.070799999999998</v>
      </c>
      <c r="E70" s="2">
        <v>0</v>
      </c>
      <c r="F70" s="2">
        <v>20</v>
      </c>
      <c r="J70" s="4"/>
    </row>
    <row r="71" spans="1:15" ht="15" customHeight="1" x14ac:dyDescent="0.3">
      <c r="A71" s="1"/>
      <c r="I71" s="4"/>
    </row>
    <row r="72" spans="1:15" ht="15" customHeight="1" x14ac:dyDescent="0.3">
      <c r="A72" s="1"/>
      <c r="I72" s="4"/>
    </row>
    <row r="73" spans="1:15" ht="15" customHeight="1" x14ac:dyDescent="0.3"/>
    <row r="74" spans="1:15" ht="15" customHeight="1" x14ac:dyDescent="0.3">
      <c r="A74" s="7" t="s">
        <v>86</v>
      </c>
      <c r="B74" s="7" t="str">
        <f>CONCATENATE('Isian '!$B$10/5," ml")</f>
        <v>2 ml</v>
      </c>
      <c r="D74" s="7" t="str">
        <f>CONCATENATE('Isian '!$B$10*2/5," ml")</f>
        <v>4 ml</v>
      </c>
      <c r="G74" s="7" t="str">
        <f>CONCATENATE('Isian '!$B$10*3/5," ml")</f>
        <v>6 ml</v>
      </c>
      <c r="J74" s="7" t="str">
        <f>CONCATENATE('Isian '!$B$10*4/5," ml")</f>
        <v>8 ml</v>
      </c>
      <c r="M74" s="7" t="str">
        <f>CONCATENATE('Isian '!$B$10*5/5," ml")</f>
        <v>10 ml</v>
      </c>
    </row>
    <row r="75" spans="1:15" ht="15" customHeight="1" x14ac:dyDescent="0.3">
      <c r="A75" s="2" t="s">
        <v>87</v>
      </c>
      <c r="B75" s="2" t="s">
        <v>88</v>
      </c>
      <c r="C75" s="2" t="s">
        <v>89</v>
      </c>
      <c r="D75" s="2" t="s">
        <v>87</v>
      </c>
      <c r="E75" s="2" t="s">
        <v>88</v>
      </c>
      <c r="F75" s="2" t="s">
        <v>89</v>
      </c>
      <c r="G75" s="2" t="s">
        <v>87</v>
      </c>
      <c r="H75" s="2" t="s">
        <v>88</v>
      </c>
      <c r="I75" s="2" t="s">
        <v>89</v>
      </c>
      <c r="J75" s="2" t="s">
        <v>87</v>
      </c>
      <c r="K75" s="2" t="s">
        <v>88</v>
      </c>
      <c r="L75" s="2" t="s">
        <v>89</v>
      </c>
      <c r="M75" s="2" t="s">
        <v>87</v>
      </c>
      <c r="N75" s="2" t="s">
        <v>88</v>
      </c>
      <c r="O75" s="2" t="s">
        <v>89</v>
      </c>
    </row>
    <row r="76" spans="1:15" ht="15" customHeight="1" x14ac:dyDescent="0.3">
      <c r="A76" s="2" t="s">
        <v>1</v>
      </c>
      <c r="B76" s="2">
        <v>3.03</v>
      </c>
      <c r="C76" s="2">
        <v>0.3</v>
      </c>
      <c r="D76" s="2" t="s">
        <v>1</v>
      </c>
      <c r="E76" s="2">
        <v>3.03</v>
      </c>
      <c r="F76" s="2">
        <v>0.3</v>
      </c>
      <c r="G76" s="2" t="s">
        <v>1</v>
      </c>
      <c r="H76" s="2">
        <v>3.03</v>
      </c>
      <c r="I76" s="2">
        <v>0.3</v>
      </c>
      <c r="J76" s="2" t="s">
        <v>1</v>
      </c>
      <c r="K76" s="2">
        <v>3.03</v>
      </c>
      <c r="L76" s="2">
        <v>0.3</v>
      </c>
      <c r="M76" s="2" t="s">
        <v>1</v>
      </c>
      <c r="N76" s="2">
        <v>3.03</v>
      </c>
      <c r="O76" s="2">
        <v>0.3</v>
      </c>
    </row>
    <row r="77" spans="1:15" ht="15" customHeight="1" x14ac:dyDescent="0.3">
      <c r="A77" s="2" t="s">
        <v>2</v>
      </c>
      <c r="B77" s="2">
        <v>3.03</v>
      </c>
      <c r="C77" s="2">
        <v>0.3</v>
      </c>
      <c r="D77" s="2" t="s">
        <v>2</v>
      </c>
      <c r="E77" s="2">
        <v>3.03</v>
      </c>
      <c r="F77" s="2">
        <v>0.3</v>
      </c>
      <c r="G77" s="2" t="s">
        <v>2</v>
      </c>
      <c r="H77" s="2">
        <v>3.03</v>
      </c>
      <c r="I77" s="2">
        <v>0.3</v>
      </c>
      <c r="J77" s="2" t="s">
        <v>2</v>
      </c>
      <c r="K77" s="2">
        <v>3.03</v>
      </c>
      <c r="L77" s="2">
        <v>0.3</v>
      </c>
      <c r="M77" s="2" t="s">
        <v>2</v>
      </c>
      <c r="N77" s="2">
        <v>3.03</v>
      </c>
      <c r="O77" s="2">
        <v>0.3</v>
      </c>
    </row>
    <row r="78" spans="1:15" ht="15" customHeight="1" x14ac:dyDescent="0.3">
      <c r="A78" s="2" t="s">
        <v>3</v>
      </c>
      <c r="B78" s="2">
        <v>3.02</v>
      </c>
      <c r="C78" s="2">
        <v>0.3</v>
      </c>
      <c r="D78" s="2" t="s">
        <v>3</v>
      </c>
      <c r="E78" s="2">
        <v>3.02</v>
      </c>
      <c r="F78" s="2">
        <v>0.3</v>
      </c>
      <c r="G78" s="2" t="s">
        <v>3</v>
      </c>
      <c r="H78" s="2">
        <v>3.02</v>
      </c>
      <c r="I78" s="2">
        <v>0.3</v>
      </c>
      <c r="J78" s="2" t="s">
        <v>3</v>
      </c>
      <c r="K78" s="2">
        <v>3.02</v>
      </c>
      <c r="L78" s="2">
        <v>0.3</v>
      </c>
      <c r="M78" s="2" t="s">
        <v>3</v>
      </c>
      <c r="N78" s="2">
        <v>3.02</v>
      </c>
      <c r="O78" s="2">
        <v>0.3</v>
      </c>
    </row>
    <row r="79" spans="1:15" ht="15" customHeight="1" x14ac:dyDescent="0.3">
      <c r="A79" s="2" t="s">
        <v>91</v>
      </c>
      <c r="B79" s="2">
        <f>AVERAGE(Table1[Diameter (mm)])</f>
        <v>3.0266666666666668</v>
      </c>
      <c r="C79" s="2">
        <f>AVERAGE(Table1[Tebal Garis (mm)])</f>
        <v>0.3</v>
      </c>
      <c r="D79" s="2" t="s">
        <v>91</v>
      </c>
      <c r="E79" s="2">
        <f>AVERAGE(Table17[Diameter (mm)])</f>
        <v>3.0266666666666668</v>
      </c>
      <c r="F79" s="2">
        <f>AVERAGE(Table17[Tebal Garis (mm)])</f>
        <v>0.3</v>
      </c>
      <c r="G79" s="2" t="s">
        <v>91</v>
      </c>
      <c r="H79" s="2">
        <f>AVERAGE(Table178[Diameter (mm)])</f>
        <v>3.0266666666666668</v>
      </c>
      <c r="I79" s="2">
        <f>AVERAGE(Table178[Tebal Garis (mm)])</f>
        <v>0.3</v>
      </c>
      <c r="J79" s="2" t="s">
        <v>91</v>
      </c>
      <c r="K79" s="2">
        <f>AVERAGE(Table179[Diameter (mm)])</f>
        <v>3.0266666666666668</v>
      </c>
      <c r="L79" s="2">
        <f>AVERAGE(Table179[Tebal Garis (mm)])</f>
        <v>0.3</v>
      </c>
      <c r="M79" s="2" t="s">
        <v>91</v>
      </c>
      <c r="N79" s="2">
        <f>AVERAGE(Table1710[Diameter (mm)])</f>
        <v>3.0266666666666668</v>
      </c>
      <c r="O79" s="2">
        <f>AVERAGE(Table1710[Tebal Garis (mm)])</f>
        <v>0.3</v>
      </c>
    </row>
    <row r="80" spans="1:15" ht="15" customHeight="1" x14ac:dyDescent="0.3"/>
    <row r="81" spans="1:35" ht="15" customHeight="1" x14ac:dyDescent="0.3"/>
    <row r="82" spans="1:35" ht="15" customHeight="1" x14ac:dyDescent="0.3">
      <c r="A82" s="7" t="s">
        <v>23</v>
      </c>
      <c r="B82" s="7" t="str">
        <f>CONCATENATE('Isian '!$B$10/5," ml")</f>
        <v>2 ml</v>
      </c>
      <c r="H82" s="7" t="str">
        <f>CONCATENATE('Isian '!$B$10*2/5," ml")</f>
        <v>4 ml</v>
      </c>
      <c r="O82" s="7" t="str">
        <f>CONCATENATE('Isian '!$B$10*3/5," ml")</f>
        <v>6 ml</v>
      </c>
      <c r="V82" s="7" t="str">
        <f>CONCATENATE('Isian '!$B$10*4/5," ml")</f>
        <v>8 ml</v>
      </c>
      <c r="AC82" s="7" t="str">
        <f>CONCATENATE('Isian '!$B$10*5/5," ml")</f>
        <v>10 ml</v>
      </c>
    </row>
    <row r="83" spans="1:35" ht="15" customHeight="1" x14ac:dyDescent="0.3">
      <c r="A83" s="2" t="s">
        <v>16</v>
      </c>
      <c r="B83" s="2" t="s">
        <v>204</v>
      </c>
      <c r="C83" s="2" t="s">
        <v>205</v>
      </c>
      <c r="D83" s="2" t="s">
        <v>26</v>
      </c>
      <c r="E83" s="2" t="s">
        <v>28</v>
      </c>
      <c r="F83" s="2" t="s">
        <v>27</v>
      </c>
      <c r="G83" s="2" t="s">
        <v>29</v>
      </c>
      <c r="H83" s="2" t="s">
        <v>16</v>
      </c>
      <c r="I83" s="2" t="s">
        <v>204</v>
      </c>
      <c r="J83" s="2" t="s">
        <v>205</v>
      </c>
      <c r="K83" s="2" t="s">
        <v>26</v>
      </c>
      <c r="L83" s="2" t="s">
        <v>28</v>
      </c>
      <c r="M83" s="2" t="s">
        <v>27</v>
      </c>
      <c r="N83" s="2" t="s">
        <v>29</v>
      </c>
      <c r="O83" s="2" t="s">
        <v>16</v>
      </c>
      <c r="P83" s="2" t="s">
        <v>204</v>
      </c>
      <c r="Q83" s="2" t="s">
        <v>205</v>
      </c>
      <c r="R83" s="2" t="s">
        <v>26</v>
      </c>
      <c r="S83" s="2" t="s">
        <v>28</v>
      </c>
      <c r="T83" s="2" t="s">
        <v>27</v>
      </c>
      <c r="U83" s="2" t="s">
        <v>29</v>
      </c>
      <c r="V83" s="2" t="s">
        <v>16</v>
      </c>
      <c r="W83" s="2" t="s">
        <v>204</v>
      </c>
      <c r="X83" s="2" t="s">
        <v>205</v>
      </c>
      <c r="Y83" s="2" t="s">
        <v>26</v>
      </c>
      <c r="Z83" s="2" t="s">
        <v>28</v>
      </c>
      <c r="AA83" s="2" t="s">
        <v>27</v>
      </c>
      <c r="AB83" s="2" t="s">
        <v>29</v>
      </c>
      <c r="AC83" s="2" t="s">
        <v>16</v>
      </c>
      <c r="AD83" s="2" t="s">
        <v>204</v>
      </c>
      <c r="AE83" s="2" t="s">
        <v>205</v>
      </c>
      <c r="AF83" s="2" t="s">
        <v>26</v>
      </c>
      <c r="AG83" s="2" t="s">
        <v>28</v>
      </c>
      <c r="AH83" s="2" t="s">
        <v>27</v>
      </c>
      <c r="AI83" s="2" t="s">
        <v>29</v>
      </c>
    </row>
    <row r="84" spans="1:35" ht="15" customHeight="1" x14ac:dyDescent="0.3">
      <c r="A84" s="1" t="s">
        <v>1</v>
      </c>
      <c r="B84" s="107">
        <f>IF('Isian '!$B$16='Database '!$AG$2,
    'Pengambilan Data '!D9 + FORECAST('Pengambilan Data '!D9, 'Database '!$U$3:$U$12, 'Database '!$T$3:$T$12),
IF('Isian '!$B$16='Database '!$AG$3,
    'Pengambilan Data '!D9 + FORECAST('Pengambilan Data '!D9, 'Database '!$AC$3:$AC$12, 'Database '!$AB$3:$AB$12),
IF('Isian '!$B$16='Database '!$AG$4,
    'Pengambilan Data '!D9 + FORECAST('Pengambilan Data '!D9, 'Database '!$Y$3:$Y$12, 'Database '!$X$3:$X$12),
0)))</f>
        <v>17.076619679168484</v>
      </c>
      <c r="C84" s="8">
        <f>IF('Isian '!$B$16='Database '!$AG$2,
    'Pengambilan Data '!D42 + FORECAST('Pengambilan Data '!D42, 'Database '!$U$3:$U$12, 'Database '!$T$3:$T$12),
IF('Isian '!$B$16='Database '!$AG$3,
    'Pengambilan Data '!D42 + FORECAST('Pengambilan Data '!D42, 'Database '!$AC$3:$AC$12, 'Database '!$AB$3:$AB$12),
IF('Isian '!$B$16='Database '!$AG$4,
    'Pengambilan Data '!D42 + FORECAST('Pengambilan Data '!D42, 'Database '!$Y$3:$Y$12, 'Database '!$X$3:$X$12),
0)))</f>
        <v>18.064419814866262</v>
      </c>
      <c r="D84" s="8">
        <f>Table4[[#This Row],[B Terkoreksi (g)]]-Table4[[#This Row],[A Terkoreksi  (g)]]</f>
        <v>0.98780013569777836</v>
      </c>
      <c r="E84" s="106">
        <f>F42+FORECAST(F42,'Database '!$Q$3:$Q$11,'Database '!$P$3:$P$11)</f>
        <v>19.884248121902381</v>
      </c>
      <c r="F84" s="9">
        <f t="shared" ref="F84:F88" si="0">0.99997495*(1 - (((E84-3.983035)^2*(E84+301.797))/(522528.9*(E84+69.34881))))</f>
        <v>0.99823057726321807</v>
      </c>
      <c r="G84" s="8">
        <f>Table4[[#This Row],[B - A (g)]]*(1/(Table4[[#This Row],[Densitas Air Destilasi (g/cm^3)]]-'Peralatan &amp; Koefisien  '!$L$15))*(1-('Peralatan &amp; Koefisien  '!$L$15/'Peralatan &amp; Koefisien  '!$D$15)*(1-'Peralatan &amp; Koefisien  '!$L$23*(Table4[[#This Row],[Suhu Air Destilasi Terkoreksi  (◦C)]]-20)))</f>
        <v>0.99050320406330195</v>
      </c>
      <c r="H84" s="1" t="s">
        <v>1</v>
      </c>
      <c r="I84" s="107">
        <f>IF('Isian '!$B$16='Database '!$AG$2,
    D15+ FORECAST(    D15, 'Database '!$U$3:$U$12, 'Database '!$T$3:$T$12),
IF('Isian '!$B$16='Database '!$AG$3,
    D15+ FORECAST(D15, 'Database '!$AC$3:$AC$12, 'Database '!$AB$3:$AB$12),
IF('Isian '!$B$16='Database '!$AG$4,
   D15+ FORECAST(D15, 'Database '!$Y$3:$Y$12, 'Database '!$X$3:$X$12),
0)))</f>
        <v>17.076619679168484</v>
      </c>
      <c r="J84" s="8">
        <f>IF('Isian '!$B$16='Database '!$AG$2,
D48+ FORECAST(D48, 'Database '!$U$3:$U$12, 'Database '!$T$3:$T$12),
IF('Isian '!$B$16='Database '!$AG$3,
   D48 + FORECAST(D48, 'Database '!$AC$3:$AC$12, 'Database '!$AB$3:$AB$12),
IF('Isian '!$B$16='Database '!$AG$4,
 D48 + FORECAST(D48, 'Database '!$Y$3:$Y$12, 'Database '!$X$3:$X$12),
0)))</f>
        <v>18.064419814866262</v>
      </c>
      <c r="K84" s="8">
        <f>Table411[[#This Row],[B Terkoreksi (g)]]-Table411[[#This Row],[A Terkoreksi  (g)]]</f>
        <v>0.98780013569777836</v>
      </c>
      <c r="L84" s="106">
        <f>F48+FORECAST(F48,'Database '!$Q$3:$Q$11,'Database '!$P$3:$P$11)</f>
        <v>19.884248121902381</v>
      </c>
      <c r="M84" s="9">
        <f t="shared" ref="M84:M88" si="1">0.99997495*(1 - (((L84-3.983035)^2*(L84+301.797))/(522528.9*(L84+69.34881))))</f>
        <v>0.99823057726321807</v>
      </c>
      <c r="N84" s="8">
        <f>Table411[[#This Row],[B - A (g)]]*(1/(Table411[[#This Row],[Densitas Air Destilasi (g/cm^3)]]-'Peralatan &amp; Koefisien  '!$L$15))*(1-('Peralatan &amp; Koefisien  '!$L$15/'Peralatan &amp; Koefisien  '!$D$15)*(1-'Peralatan &amp; Koefisien  '!$L$23*(Table411[[#This Row],[Suhu Air Destilasi Terkoreksi  (◦C)]]-20)))</f>
        <v>0.99050320406330195</v>
      </c>
      <c r="O84" s="1" t="s">
        <v>1</v>
      </c>
      <c r="P84" s="107">
        <f>IF('Isian '!$B$16='Database '!$AG$2,
 D21 + FORECAST(  D21, 'Database '!$U$3:$U$12, 'Database '!$T$3:$T$12),
IF('Isian '!$B$16='Database '!$AG$3,
 D21   + FORECAST( D21, 'Database '!$AC$3:$AC$12, 'Database '!$AB$3:$AB$12),
IF('Isian '!$B$16='Database '!$AG$4,
   D21   + FORECAST(  D21, 'Database '!$Y$3:$Y$12, 'Database '!$X$3:$X$12),
0)))</f>
        <v>17.076619679168484</v>
      </c>
      <c r="Q84" s="8">
        <f>IF('Isian '!$B$16='Database '!$AG$2,
    D54 + FORECAST(   D54, 'Database '!$U$3:$U$12, 'Database '!$T$3:$T$12),
IF('Isian '!$B$16='Database '!$AG$3,
       D54 + FORECAST(   D54, 'Database '!$AC$3:$AC$12, 'Database '!$AB$3:$AB$12),
IF('Isian '!$B$16='Database '!$AG$4,
       D54+ FORECAST(   D54, 'Database '!$Y$3:$Y$12, 'Database '!$X$3:$X$12),
0)))</f>
        <v>18.064419814866262</v>
      </c>
      <c r="R84" s="8">
        <f>Table412[[#This Row],[B Terkoreksi (g)]]-Table412[[#This Row],[A Terkoreksi  (g)]]</f>
        <v>0.98780013569777836</v>
      </c>
      <c r="S84" s="106">
        <f>F54+FORECAST(F54,'Database '!$Q$3:$Q$11,'Database '!$P$3:$P$11)</f>
        <v>19.884248121902381</v>
      </c>
      <c r="T84" s="9">
        <f t="shared" ref="T84:T88" si="2">0.99997495*(1 - (((S84-3.983035)^2*(S84+301.797))/(522528.9*(S84+69.34881))))</f>
        <v>0.99823057726321807</v>
      </c>
      <c r="U84" s="8">
        <f>Table412[[#This Row],[B - A (g)]]*(1/(Table412[[#This Row],[Densitas Air Destilasi (g/cm^3)]]-'Peralatan &amp; Koefisien  '!$L$15))*(1-('Peralatan &amp; Koefisien  '!$L$15/'Peralatan &amp; Koefisien  '!$D$15)*(1-'Peralatan &amp; Koefisien  '!$L$23*(Table412[[#This Row],[Suhu Air Destilasi Terkoreksi  (◦C)]]-20)))</f>
        <v>0.99050320406330195</v>
      </c>
      <c r="V84" s="1" t="s">
        <v>1</v>
      </c>
      <c r="W84" s="107">
        <f>IF('Isian '!$B$16='Database '!$AG$2,
   D27 + FORECAST(D27, 'Database '!$U$3:$U$12, 'Database '!$T$3:$T$12),
IF('Isian '!$B$16='Database '!$AG$3,
    D27 + FORECAST(D27, 'Database '!$AC$3:$AC$12, 'Database '!$AB$3:$AB$12),
IF('Isian '!$B$16='Database '!$AG$4,
  D27 + FORECAST(D27, 'Database '!$Y$3:$Y$12, 'Database '!$X$3:$X$12),
0)))</f>
        <v>17.076619679168484</v>
      </c>
      <c r="X84" s="8">
        <f>IF('Isian '!$B$16='Database '!$AG$2,
    D60 + FORECAST(D60, 'Database '!$U$3:$U$12, 'Database '!$T$3:$T$12),
IF('Isian '!$B$16='Database '!$AG$3,
   D60 + FORECAST(D60, 'Database '!$AC$3:$AC$12, 'Database '!$AB$3:$AB$12),
IF('Isian '!$B$16='Database '!$AG$4,
   D60 + FORECAST(D60, 'Database '!$Y$3:$Y$12, 'Database '!$X$3:$X$12),
0)))</f>
        <v>18.064419814866262</v>
      </c>
      <c r="Y84" s="8">
        <f>Table413[[#This Row],[B Terkoreksi (g)]]-Table413[[#This Row],[A Terkoreksi  (g)]]</f>
        <v>0.98780013569777836</v>
      </c>
      <c r="Z84" s="106">
        <f>F60+FORECAST(F60,'Database '!$Q$3:$Q$11,'Database '!$P$3:$P$11)</f>
        <v>19.884248121902381</v>
      </c>
      <c r="AA84" s="9">
        <f t="shared" ref="AA84:AA88" si="3">0.99997495*(1 - (((Z84-3.983035)^2*(Z84+301.797))/(522528.9*(Z84+69.34881))))</f>
        <v>0.99823057726321807</v>
      </c>
      <c r="AB84" s="8">
        <f>Table413[[#This Row],[B - A (g)]]*(1/(Table413[[#This Row],[Densitas Air Destilasi (g/cm^3)]]-'Peralatan &amp; Koefisien  '!$L$15))*(1-('Peralatan &amp; Koefisien  '!$L$15/'Peralatan &amp; Koefisien  '!$D$15)*(1-'Peralatan &amp; Koefisien  '!$L$23*(Table413[[#This Row],[Suhu Air Destilasi Terkoreksi  (◦C)]]-20)))</f>
        <v>0.99050320406330195</v>
      </c>
      <c r="AC84" s="1" t="s">
        <v>1</v>
      </c>
      <c r="AD84" s="107">
        <f>IF('Isian '!$B$16='Database '!$AG$2,
   D33 + FORECAST(  D33, 'Database '!$U$3:$U$12, 'Database '!$T$3:$T$12),
IF('Isian '!$B$16='Database '!$AG$3,
      D33+ FORECAST(   D33, 'Database '!$AC$3:$AC$12, 'Database '!$AB$3:$AB$12),
IF('Isian '!$B$16='Database '!$AG$4,
       D33 + FORECAST(   D33, 'Database '!$Y$3:$Y$12, 'Database '!$X$3:$X$12),
0)))</f>
        <v>17.076619679168484</v>
      </c>
      <c r="AE84" s="8">
        <f>IF('Isian '!$B$16='Database '!$AG$2,
   D66 + FORECAST(D66, 'Database '!$U$3:$U$12, 'Database '!$T$3:$T$12),
IF('Isian '!$B$16='Database '!$AG$3,
   D66+ FORECAST(D66, 'Database '!$AC$3:$AC$12, 'Database '!$AB$3:$AB$12),
IF('Isian '!$B$16='Database '!$AG$4,
   D66 + FORECAST(D66, 'Database '!$Y$3:$Y$12, 'Database '!$X$3:$X$12),
0)))</f>
        <v>18.064419814866262</v>
      </c>
      <c r="AF84" s="8">
        <f>Table414[[#This Row],[B Terkoreksi (g)]]-Table414[[#This Row],[A Terkoreksi  (g)]]</f>
        <v>0.98780013569777836</v>
      </c>
      <c r="AG84" s="106">
        <f>F66+FORECAST(F66,'Database '!$Q$3:$Q$11,'Database '!$P$3:$P$11)</f>
        <v>19.884248121902381</v>
      </c>
      <c r="AH84" s="9">
        <f t="shared" ref="AH84:AH88" si="4">0.99997495*(1 - (((AG84-3.983035)^2*(AG84+301.797))/(522528.9*(AG84+69.34881))))</f>
        <v>0.99823057726321807</v>
      </c>
      <c r="AI84" s="8">
        <f>Table414[[#This Row],[B - A (g)]]*(1/(Table414[[#This Row],[Densitas Air Destilasi (g/cm^3)]]-'Peralatan &amp; Koefisien  '!$L$15))*(1-('Peralatan &amp; Koefisien  '!$L$15/'Peralatan &amp; Koefisien  '!$D$15)*(1-'Peralatan &amp; Koefisien  '!$L$23*(Table414[[#This Row],[Suhu Air Destilasi Terkoreksi  (◦C)]]-20)))</f>
        <v>0.99050320406330195</v>
      </c>
    </row>
    <row r="85" spans="1:35" ht="15" customHeight="1" x14ac:dyDescent="0.3">
      <c r="A85" s="1" t="s">
        <v>2</v>
      </c>
      <c r="B85" s="2">
        <f>IF('Isian '!$B$16='Database '!$AG$2,
    'Pengambilan Data '!D10 + FORECAST('Pengambilan Data '!D10, 'Database '!$U$3:$U$12, 'Database '!$T$3:$T$12),
IF('Isian '!$B$16='Database '!$AG$3,
    'Pengambilan Data '!D10 + FORECAST('Pengambilan Data '!D10, 'Database '!$AC$3:$AC$12, 'Database '!$AB$3:$AB$12),
IF('Isian '!$B$16='Database '!$AG$4,
    'Pengambilan Data '!D10 + FORECAST('Pengambilan Data '!D10, 'Database '!$Y$3:$Y$12, 'Database '!$X$3:$X$12),
0)))</f>
        <v>17.076219679113535</v>
      </c>
      <c r="C85" s="8">
        <f>IF('Isian '!$B$16='Database '!$AG$2,
    'Pengambilan Data '!D43 + FORECAST('Pengambilan Data '!D43, 'Database '!$U$3:$U$12, 'Database '!$T$3:$T$12),
IF('Isian '!$B$16='Database '!$AG$3,
    'Pengambilan Data '!D43 + FORECAST('Pengambilan Data '!D43, 'Database '!$AC$3:$AC$12, 'Database '!$AB$3:$AB$12),
IF('Isian '!$B$16='Database '!$AG$4,
    'Pengambilan Data '!D43 + FORECAST('Pengambilan Data '!D43, 'Database '!$Y$3:$Y$12, 'Database '!$X$3:$X$12),
0)))</f>
        <v>18.064419814866262</v>
      </c>
      <c r="D85" s="8">
        <f>Table4[[#This Row],[B Terkoreksi (g)]]-Table4[[#This Row],[A Terkoreksi  (g)]]</f>
        <v>0.98820013575272725</v>
      </c>
      <c r="E85" s="106">
        <f>F43+FORECAST(F43,'Database '!$Q$3:$Q$11,'Database '!$P$3:$P$11)</f>
        <v>19.884248121902381</v>
      </c>
      <c r="F85" s="9">
        <f t="shared" si="0"/>
        <v>0.99823057726321807</v>
      </c>
      <c r="G85" s="8">
        <f>Table4[[#This Row],[B - A (g)]]*(1/(Table4[[#This Row],[Densitas Air Destilasi (g/cm^3)]]-'Peralatan &amp; Koefisien  '!$L$15))*(1-('Peralatan &amp; Koefisien  '!$L$15/'Peralatan &amp; Koefisien  '!$D$15)*(1-'Peralatan &amp; Koefisien  '!$L$23*(Table4[[#This Row],[Suhu Air Destilasi Terkoreksi  (◦C)]]-20)))</f>
        <v>0.99090429869948826</v>
      </c>
      <c r="H85" s="1" t="s">
        <v>2</v>
      </c>
      <c r="I85" s="2">
        <f>IF('Isian '!$B$16='Database '!$AG$2,
    D16+ FORECAST(    D16, 'Database '!$U$3:$U$12, 'Database '!$T$3:$T$12),
IF('Isian '!$B$16='Database '!$AG$3,
    D16+ FORECAST(D16, 'Database '!$AC$3:$AC$12, 'Database '!$AB$3:$AB$12),
IF('Isian '!$B$16='Database '!$AG$4,
   D16+ FORECAST(D16, 'Database '!$Y$3:$Y$12, 'Database '!$X$3:$X$12),
0)))</f>
        <v>17.076219679113535</v>
      </c>
      <c r="J85" s="8">
        <f>IF('Isian '!$B$16='Database '!$AG$2,
D49+ FORECAST(D49, 'Database '!$U$3:$U$12, 'Database '!$T$3:$T$12),
IF('Isian '!$B$16='Database '!$AG$3,
   D49 + FORECAST(D49, 'Database '!$AC$3:$AC$12, 'Database '!$AB$3:$AB$12),
IF('Isian '!$B$16='Database '!$AG$4,
 D49 + FORECAST(D49, 'Database '!$Y$3:$Y$12, 'Database '!$X$3:$X$12),
0)))</f>
        <v>18.064419814866262</v>
      </c>
      <c r="K85" s="8">
        <f>Table411[[#This Row],[B Terkoreksi (g)]]-Table411[[#This Row],[A Terkoreksi  (g)]]</f>
        <v>0.98820013575272725</v>
      </c>
      <c r="L85" s="106">
        <f>F49+FORECAST(F49,'Database '!$Q$3:$Q$11,'Database '!$P$3:$P$11)</f>
        <v>19.884248121902381</v>
      </c>
      <c r="M85" s="9">
        <f t="shared" si="1"/>
        <v>0.99823057726321807</v>
      </c>
      <c r="N85" s="8">
        <f>Table411[[#This Row],[B - A (g)]]*(1/(Table411[[#This Row],[Densitas Air Destilasi (g/cm^3)]]-'Peralatan &amp; Koefisien  '!$L$15))*(1-('Peralatan &amp; Koefisien  '!$L$15/'Peralatan &amp; Koefisien  '!$D$15)*(1-'Peralatan &amp; Koefisien  '!$L$23*(Table411[[#This Row],[Suhu Air Destilasi Terkoreksi  (◦C)]]-20)))</f>
        <v>0.99090429869948826</v>
      </c>
      <c r="O85" s="1" t="s">
        <v>2</v>
      </c>
      <c r="P85" s="2">
        <f>IF('Isian '!$B$16='Database '!$AG$2,
 D22 + FORECAST(  D22, 'Database '!$U$3:$U$12, 'Database '!$T$3:$T$12),
IF('Isian '!$B$16='Database '!$AG$3,
 D22   + FORECAST( D22, 'Database '!$AC$3:$AC$12, 'Database '!$AB$3:$AB$12),
IF('Isian '!$B$16='Database '!$AG$4,
   D22   + FORECAST(  D22, 'Database '!$Y$3:$Y$12, 'Database '!$X$3:$X$12),
0)))</f>
        <v>17.076219679113535</v>
      </c>
      <c r="Q85" s="8">
        <f>IF('Isian '!$B$16='Database '!$AG$2,
    D55 + FORECAST(   D55, 'Database '!$U$3:$U$12, 'Database '!$T$3:$T$12),
IF('Isian '!$B$16='Database '!$AG$3,
       D55 + FORECAST(   D55, 'Database '!$AC$3:$AC$12, 'Database '!$AB$3:$AB$12),
IF('Isian '!$B$16='Database '!$AG$4,
       D55+ FORECAST(   D55, 'Database '!$Y$3:$Y$12, 'Database '!$X$3:$X$12),
0)))</f>
        <v>18.064419814866262</v>
      </c>
      <c r="R85" s="8">
        <f>Table412[[#This Row],[B Terkoreksi (g)]]-Table412[[#This Row],[A Terkoreksi  (g)]]</f>
        <v>0.98820013575272725</v>
      </c>
      <c r="S85" s="106">
        <f>F55+FORECAST(F55,'Database '!$Q$3:$Q$11,'Database '!$P$3:$P$11)</f>
        <v>19.884248121902381</v>
      </c>
      <c r="T85" s="9">
        <f t="shared" si="2"/>
        <v>0.99823057726321807</v>
      </c>
      <c r="U85" s="8">
        <f>Table412[[#This Row],[B - A (g)]]*(1/(Table412[[#This Row],[Densitas Air Destilasi (g/cm^3)]]-'Peralatan &amp; Koefisien  '!$L$15))*(1-('Peralatan &amp; Koefisien  '!$L$15/'Peralatan &amp; Koefisien  '!$D$15)*(1-'Peralatan &amp; Koefisien  '!$L$23*(Table412[[#This Row],[Suhu Air Destilasi Terkoreksi  (◦C)]]-20)))</f>
        <v>0.99090429869948826</v>
      </c>
      <c r="V85" s="1" t="s">
        <v>2</v>
      </c>
      <c r="W85" s="2">
        <f>IF('Isian '!$B$16='Database '!$AG$2,
   D28 + FORECAST(D28, 'Database '!$U$3:$U$12, 'Database '!$T$3:$T$12),
IF('Isian '!$B$16='Database '!$AG$3,
    D28 + FORECAST(D28, 'Database '!$AC$3:$AC$12, 'Database '!$AB$3:$AB$12),
IF('Isian '!$B$16='Database '!$AG$4,
  D28 + FORECAST(D28, 'Database '!$Y$3:$Y$12, 'Database '!$X$3:$X$12),
0)))</f>
        <v>17.076219679113535</v>
      </c>
      <c r="X85" s="8">
        <f>IF('Isian '!$B$16='Database '!$AG$2,
    D61 + FORECAST(D61, 'Database '!$U$3:$U$12, 'Database '!$T$3:$T$12),
IF('Isian '!$B$16='Database '!$AG$3,
   D61 + FORECAST(D61, 'Database '!$AC$3:$AC$12, 'Database '!$AB$3:$AB$12),
IF('Isian '!$B$16='Database '!$AG$4,
   D61 + FORECAST(D61, 'Database '!$Y$3:$Y$12, 'Database '!$X$3:$X$12),
0)))</f>
        <v>18.064419814866262</v>
      </c>
      <c r="Y85" s="8">
        <f>Table413[[#This Row],[B Terkoreksi (g)]]-Table413[[#This Row],[A Terkoreksi  (g)]]</f>
        <v>0.98820013575272725</v>
      </c>
      <c r="Z85" s="106">
        <f>F61+FORECAST(F61,'Database '!$Q$3:$Q$11,'Database '!$P$3:$P$11)</f>
        <v>19.884248121902381</v>
      </c>
      <c r="AA85" s="9">
        <f t="shared" si="3"/>
        <v>0.99823057726321807</v>
      </c>
      <c r="AB85" s="8">
        <f>Table413[[#This Row],[B - A (g)]]*(1/(Table413[[#This Row],[Densitas Air Destilasi (g/cm^3)]]-'Peralatan &amp; Koefisien  '!$L$15))*(1-('Peralatan &amp; Koefisien  '!$L$15/'Peralatan &amp; Koefisien  '!$D$15)*(1-'Peralatan &amp; Koefisien  '!$L$23*(Table413[[#This Row],[Suhu Air Destilasi Terkoreksi  (◦C)]]-20)))</f>
        <v>0.99090429869948826</v>
      </c>
      <c r="AC85" s="1" t="s">
        <v>2</v>
      </c>
      <c r="AD85" s="2">
        <f>IF('Isian '!$B$16='Database '!$AG$2,
   D34 + FORECAST(  D34, 'Database '!$U$3:$U$12, 'Database '!$T$3:$T$12),
IF('Isian '!$B$16='Database '!$AG$3,
      D34+ FORECAST(   D34, 'Database '!$AC$3:$AC$12, 'Database '!$AB$3:$AB$12),
IF('Isian '!$B$16='Database '!$AG$4,
       D34 + FORECAST(   D34, 'Database '!$Y$3:$Y$12, 'Database '!$X$3:$X$12),
0)))</f>
        <v>17.076219679113535</v>
      </c>
      <c r="AE85" s="8">
        <f>IF('Isian '!$B$16='Database '!$AG$2,
   D67 + FORECAST(D67, 'Database '!$U$3:$U$12, 'Database '!$T$3:$T$12),
IF('Isian '!$B$16='Database '!$AG$3,
   D67+ FORECAST(D67, 'Database '!$AC$3:$AC$12, 'Database '!$AB$3:$AB$12),
IF('Isian '!$B$16='Database '!$AG$4,
   D67 + FORECAST(D67, 'Database '!$Y$3:$Y$12, 'Database '!$X$3:$X$12),
0)))</f>
        <v>18.064419814866262</v>
      </c>
      <c r="AF85" s="8">
        <f>Table414[[#This Row],[B Terkoreksi (g)]]-Table414[[#This Row],[A Terkoreksi  (g)]]</f>
        <v>0.98820013575272725</v>
      </c>
      <c r="AG85" s="106">
        <f>F67+FORECAST(F67,'Database '!$Q$3:$Q$11,'Database '!$P$3:$P$11)</f>
        <v>19.884248121902381</v>
      </c>
      <c r="AH85" s="9">
        <f t="shared" si="4"/>
        <v>0.99823057726321807</v>
      </c>
      <c r="AI85" s="8">
        <f>Table414[[#This Row],[B - A (g)]]*(1/(Table414[[#This Row],[Densitas Air Destilasi (g/cm^3)]]-'Peralatan &amp; Koefisien  '!$L$15))*(1-('Peralatan &amp; Koefisien  '!$L$15/'Peralatan &amp; Koefisien  '!$D$15)*(1-'Peralatan &amp; Koefisien  '!$L$23*(Table414[[#This Row],[Suhu Air Destilasi Terkoreksi  (◦C)]]-20)))</f>
        <v>0.99090429869948826</v>
      </c>
    </row>
    <row r="86" spans="1:35" ht="15" customHeight="1" x14ac:dyDescent="0.3">
      <c r="A86" s="1" t="s">
        <v>3</v>
      </c>
      <c r="B86" s="2">
        <f>IF('Isian '!$B$16='Database '!$AG$2,
    'Pengambilan Data '!D11 + FORECAST('Pengambilan Data '!D11, 'Database '!$U$3:$U$12, 'Database '!$T$3:$T$12),
IF('Isian '!$B$16='Database '!$AG$3,
    'Pengambilan Data '!D11 + FORECAST('Pengambilan Data '!D11, 'Database '!$AC$3:$AC$12, 'Database '!$AB$3:$AB$12),
IF('Isian '!$B$16='Database '!$AG$4,
    'Pengambilan Data '!D11 + FORECAST('Pengambilan Data '!D11, 'Database '!$Y$3:$Y$12, 'Database '!$X$3:$X$12),
0)))</f>
        <v>17.075919679072324</v>
      </c>
      <c r="C86" s="8">
        <f>IF('Isian '!$B$16='Database '!$AG$2,
    'Pengambilan Data '!D44 + FORECAST('Pengambilan Data '!D44, 'Database '!$U$3:$U$12, 'Database '!$T$3:$T$12),
IF('Isian '!$B$16='Database '!$AG$3,
    'Pengambilan Data '!D44 + FORECAST('Pengambilan Data '!D44, 'Database '!$AC$3:$AC$12, 'Database '!$AB$3:$AB$12),
IF('Isian '!$B$16='Database '!$AG$4,
    'Pengambilan Data '!D44 + FORECAST('Pengambilan Data '!D44, 'Database '!$Y$3:$Y$12, 'Database '!$X$3:$X$12),
0)))</f>
        <v>18.071119815786666</v>
      </c>
      <c r="D86" s="8">
        <f>Table4[[#This Row],[B Terkoreksi (g)]]-Table4[[#This Row],[A Terkoreksi  (g)]]</f>
        <v>0.99520013671434171</v>
      </c>
      <c r="E86" s="106">
        <f>F44+FORECAST(F44,'Database '!$Q$3:$Q$11,'Database '!$P$3:$P$11)</f>
        <v>20.083674396807588</v>
      </c>
      <c r="F86" s="9">
        <f t="shared" si="0"/>
        <v>0.99818943024684814</v>
      </c>
      <c r="G86" s="8">
        <f>Table4[[#This Row],[B - A (g)]]*(1/(Table4[[#This Row],[Densitas Air Destilasi (g/cm^3)]]-'Peralatan &amp; Koefisien  '!$L$15))*(1-('Peralatan &amp; Koefisien  '!$L$15/'Peralatan &amp; Koefisien  '!$D$15)*(1-'Peralatan &amp; Koefisien  '!$L$23*(Table4[[#This Row],[Suhu Air Destilasi Terkoreksi  (◦C)]]-20)))</f>
        <v>0.99796463642316524</v>
      </c>
      <c r="H86" s="1" t="s">
        <v>3</v>
      </c>
      <c r="I86" s="2">
        <f>IF('Isian '!$B$16='Database '!$AG$2,
    D17+ FORECAST(    D17, 'Database '!$U$3:$U$12, 'Database '!$T$3:$T$12),
IF('Isian '!$B$16='Database '!$AG$3,
    D17+ FORECAST(D17, 'Database '!$AC$3:$AC$12, 'Database '!$AB$3:$AB$12),
IF('Isian '!$B$16='Database '!$AG$4,
   D17+ FORECAST(D17, 'Database '!$Y$3:$Y$12, 'Database '!$X$3:$X$12),
0)))</f>
        <v>17.075919679072324</v>
      </c>
      <c r="J86" s="8">
        <f>IF('Isian '!$B$16='Database '!$AG$2,
D50+ FORECAST(D50, 'Database '!$U$3:$U$12, 'Database '!$T$3:$T$12),
IF('Isian '!$B$16='Database '!$AG$3,
   D50 + FORECAST(D50, 'Database '!$AC$3:$AC$12, 'Database '!$AB$3:$AB$12),
IF('Isian '!$B$16='Database '!$AG$4,
 D50 + FORECAST(D50, 'Database '!$Y$3:$Y$12, 'Database '!$X$3:$X$12),
0)))</f>
        <v>18.071119815786666</v>
      </c>
      <c r="K86" s="8">
        <f>Table411[[#This Row],[B Terkoreksi (g)]]-Table411[[#This Row],[A Terkoreksi  (g)]]</f>
        <v>0.99520013671434171</v>
      </c>
      <c r="L86" s="106">
        <f>F50+FORECAST(F50,'Database '!$Q$3:$Q$11,'Database '!$P$3:$P$11)</f>
        <v>20.083674396807588</v>
      </c>
      <c r="M86" s="9">
        <f>0.99997495*(1 - (((L86-3.983035)^2*(L86+301.797))/(522528.9*(L86+69.34881))))</f>
        <v>0.99818943024684814</v>
      </c>
      <c r="N86" s="8">
        <f>Table411[[#This Row],[B - A (g)]]*(1/(Table411[[#This Row],[Densitas Air Destilasi (g/cm^3)]]-'Peralatan &amp; Koefisien  '!$L$15))*(1-('Peralatan &amp; Koefisien  '!$L$15/'Peralatan &amp; Koefisien  '!$D$15)*(1-'Peralatan &amp; Koefisien  '!$L$23*(Table411[[#This Row],[Suhu Air Destilasi Terkoreksi  (◦C)]]-20)))</f>
        <v>0.99796463642316524</v>
      </c>
      <c r="O86" s="1" t="s">
        <v>3</v>
      </c>
      <c r="P86" s="2">
        <f>IF('Isian '!$B$16='Database '!$AG$2,
 D23 + FORECAST(  D23, 'Database '!$U$3:$U$12, 'Database '!$T$3:$T$12),
IF('Isian '!$B$16='Database '!$AG$3,
 D23   + FORECAST( D23, 'Database '!$AC$3:$AC$12, 'Database '!$AB$3:$AB$12),
IF('Isian '!$B$16='Database '!$AG$4,
   D23   + FORECAST(  D23, 'Database '!$Y$3:$Y$12, 'Database '!$X$3:$X$12),
0)))</f>
        <v>17.075919679072324</v>
      </c>
      <c r="Q86" s="8">
        <f>IF('Isian '!$B$16='Database '!$AG$2,
    D56 + FORECAST(   D56, 'Database '!$U$3:$U$12, 'Database '!$T$3:$T$12),
IF('Isian '!$B$16='Database '!$AG$3,
       D56 + FORECAST(   D56, 'Database '!$AC$3:$AC$12, 'Database '!$AB$3:$AB$12),
IF('Isian '!$B$16='Database '!$AG$4,
       D56+ FORECAST(   D56, 'Database '!$Y$3:$Y$12, 'Database '!$X$3:$X$12),
0)))</f>
        <v>18.071119815786666</v>
      </c>
      <c r="R86" s="8">
        <f>Table412[[#This Row],[B Terkoreksi (g)]]-Table412[[#This Row],[A Terkoreksi  (g)]]</f>
        <v>0.99520013671434171</v>
      </c>
      <c r="S86" s="106">
        <f>F56+FORECAST(F56,'Database '!$Q$3:$Q$11,'Database '!$P$3:$P$11)</f>
        <v>20.083674396807588</v>
      </c>
      <c r="T86" s="9">
        <f t="shared" si="2"/>
        <v>0.99818943024684814</v>
      </c>
      <c r="U86" s="8">
        <f>Table412[[#This Row],[B - A (g)]]*(1/(Table412[[#This Row],[Densitas Air Destilasi (g/cm^3)]]-'Peralatan &amp; Koefisien  '!$L$15))*(1-('Peralatan &amp; Koefisien  '!$L$15/'Peralatan &amp; Koefisien  '!$D$15)*(1-'Peralatan &amp; Koefisien  '!$L$23*(Table412[[#This Row],[Suhu Air Destilasi Terkoreksi  (◦C)]]-20)))</f>
        <v>0.99796463642316524</v>
      </c>
      <c r="V86" s="1" t="s">
        <v>3</v>
      </c>
      <c r="W86" s="2">
        <f>IF('Isian '!$B$16='Database '!$AG$2,
   D29 + FORECAST(D29, 'Database '!$U$3:$U$12, 'Database '!$T$3:$T$12),
IF('Isian '!$B$16='Database '!$AG$3,
    D29 + FORECAST(D29, 'Database '!$AC$3:$AC$12, 'Database '!$AB$3:$AB$12),
IF('Isian '!$B$16='Database '!$AG$4,
  D29 + FORECAST(D29, 'Database '!$Y$3:$Y$12, 'Database '!$X$3:$X$12),
0)))</f>
        <v>17.075919679072324</v>
      </c>
      <c r="X86" s="8">
        <f>IF('Isian '!$B$16='Database '!$AG$2,
    D62 + FORECAST(D62, 'Database '!$U$3:$U$12, 'Database '!$T$3:$T$12),
IF('Isian '!$B$16='Database '!$AG$3,
   D62 + FORECAST(D62, 'Database '!$AC$3:$AC$12, 'Database '!$AB$3:$AB$12),
IF('Isian '!$B$16='Database '!$AG$4,
   D62 + FORECAST(D62, 'Database '!$Y$3:$Y$12, 'Database '!$X$3:$X$12),
0)))</f>
        <v>18.071119815786666</v>
      </c>
      <c r="Y86" s="8">
        <f>Table413[[#This Row],[B Terkoreksi (g)]]-Table413[[#This Row],[A Terkoreksi  (g)]]</f>
        <v>0.99520013671434171</v>
      </c>
      <c r="Z86" s="106">
        <f>F62+FORECAST(F62,'Database '!$Q$3:$Q$11,'Database '!$P$3:$P$11)</f>
        <v>20.083674396807588</v>
      </c>
      <c r="AA86" s="9">
        <f t="shared" si="3"/>
        <v>0.99818943024684814</v>
      </c>
      <c r="AB86" s="8">
        <f>Table413[[#This Row],[B - A (g)]]*(1/(Table413[[#This Row],[Densitas Air Destilasi (g/cm^3)]]-'Peralatan &amp; Koefisien  '!$L$15))*(1-('Peralatan &amp; Koefisien  '!$L$15/'Peralatan &amp; Koefisien  '!$D$15)*(1-'Peralatan &amp; Koefisien  '!$L$23*(Table413[[#This Row],[Suhu Air Destilasi Terkoreksi  (◦C)]]-20)))</f>
        <v>0.99796463642316524</v>
      </c>
      <c r="AC86" s="1" t="s">
        <v>3</v>
      </c>
      <c r="AD86" s="2">
        <f>IF('Isian '!$B$16='Database '!$AG$2,
   D35 + FORECAST(  D35, 'Database '!$U$3:$U$12, 'Database '!$T$3:$T$12),
IF('Isian '!$B$16='Database '!$AG$3,
      D35+ FORECAST(   D35, 'Database '!$AC$3:$AC$12, 'Database '!$AB$3:$AB$12),
IF('Isian '!$B$16='Database '!$AG$4,
       D35 + FORECAST(   D35, 'Database '!$Y$3:$Y$12, 'Database '!$X$3:$X$12),
0)))</f>
        <v>17.075919679072324</v>
      </c>
      <c r="AE86" s="8">
        <f>IF('Isian '!$B$16='Database '!$AG$2,
   D68 + FORECAST(D68, 'Database '!$U$3:$U$12, 'Database '!$T$3:$T$12),
IF('Isian '!$B$16='Database '!$AG$3,
   D68+ FORECAST(D68, 'Database '!$AC$3:$AC$12, 'Database '!$AB$3:$AB$12),
IF('Isian '!$B$16='Database '!$AG$4,
   D68 + FORECAST(D68, 'Database '!$Y$3:$Y$12, 'Database '!$X$3:$X$12),
0)))</f>
        <v>18.071119815786666</v>
      </c>
      <c r="AF86" s="8">
        <f>Table414[[#This Row],[B Terkoreksi (g)]]-Table414[[#This Row],[A Terkoreksi  (g)]]</f>
        <v>0.99520013671434171</v>
      </c>
      <c r="AG86" s="106">
        <f>F68+FORECAST(F68,'Database '!$Q$3:$Q$11,'Database '!$P$3:$P$11)</f>
        <v>20.083674396807588</v>
      </c>
      <c r="AH86" s="9">
        <f t="shared" si="4"/>
        <v>0.99818943024684814</v>
      </c>
      <c r="AI86" s="8">
        <f>Table414[[#This Row],[B - A (g)]]*(1/(Table414[[#This Row],[Densitas Air Destilasi (g/cm^3)]]-'Peralatan &amp; Koefisien  '!$L$15))*(1-('Peralatan &amp; Koefisien  '!$L$15/'Peralatan &amp; Koefisien  '!$D$15)*(1-'Peralatan &amp; Koefisien  '!$L$23*(Table414[[#This Row],[Suhu Air Destilasi Terkoreksi  (◦C)]]-20)))</f>
        <v>0.99796463642316524</v>
      </c>
    </row>
    <row r="87" spans="1:35" ht="15" customHeight="1" x14ac:dyDescent="0.3">
      <c r="A87" s="1" t="s">
        <v>17</v>
      </c>
      <c r="B87" s="2">
        <f>IF('Isian '!$B$16='Database '!$AG$2,
    'Pengambilan Data '!D12 + FORECAST('Pengambilan Data '!D12, 'Database '!$U$3:$U$12, 'Database '!$T$3:$T$12),
IF('Isian '!$B$16='Database '!$AG$3,
    'Pengambilan Data '!D12 + FORECAST('Pengambilan Data '!D12, 'Database '!$AC$3:$AC$12, 'Database '!$AB$3:$AB$12),
IF('Isian '!$B$16='Database '!$AG$4,
    'Pengambilan Data '!D12 + FORECAST('Pengambilan Data '!D12, 'Database '!$Y$3:$Y$12, 'Database '!$X$3:$X$12),
0)))</f>
        <v>17.076219679113535</v>
      </c>
      <c r="C87" s="8">
        <f>IF('Isian '!$B$16='Database '!$AG$2,
    'Pengambilan Data '!D45 + FORECAST('Pengambilan Data '!D45, 'Database '!$U$3:$U$12, 'Database '!$T$3:$T$12),
IF('Isian '!$B$16='Database '!$AG$3,
    'Pengambilan Data '!D45 + FORECAST('Pengambilan Data '!D45, 'Database '!$AC$3:$AC$12, 'Database '!$AB$3:$AB$12),
IF('Isian '!$B$16='Database '!$AG$4,
    'Pengambilan Data '!D45 + FORECAST('Pengambilan Data '!D45, 'Database '!$Y$3:$Y$12, 'Database '!$X$3:$X$12),
0)))</f>
        <v>18.064419814866262</v>
      </c>
      <c r="D87" s="8">
        <f>Table4[[#This Row],[B Terkoreksi (g)]]-Table4[[#This Row],[A Terkoreksi  (g)]]</f>
        <v>0.98820013575272725</v>
      </c>
      <c r="E87" s="106">
        <f>F45+FORECAST(F45,'Database '!$Q$3:$Q$11,'Database '!$P$3:$P$11)</f>
        <v>20.083674396807588</v>
      </c>
      <c r="F87" s="9">
        <f t="shared" si="0"/>
        <v>0.99818943024684814</v>
      </c>
      <c r="G87" s="8">
        <f>Table4[[#This Row],[B - A (g)]]*(1/(Table4[[#This Row],[Densitas Air Destilasi (g/cm^3)]]-'Peralatan &amp; Koefisien  '!$L$15))*(1-('Peralatan &amp; Koefisien  '!$L$15/'Peralatan &amp; Koefisien  '!$D$15)*(1-'Peralatan &amp; Koefisien  '!$L$23*(Table4[[#This Row],[Suhu Air Destilasi Terkoreksi  (◦C)]]-20)))</f>
        <v>0.99094519062838982</v>
      </c>
      <c r="H87" s="1" t="s">
        <v>17</v>
      </c>
      <c r="I87" s="2">
        <f>IF('Isian '!$B$16='Database '!$AG$2,
    D18+ FORECAST(    D18, 'Database '!$U$3:$U$12, 'Database '!$T$3:$T$12),
IF('Isian '!$B$16='Database '!$AG$3,
    D18+ FORECAST(D18, 'Database '!$AC$3:$AC$12, 'Database '!$AB$3:$AB$12),
IF('Isian '!$B$16='Database '!$AG$4,
   D18+ FORECAST(D18, 'Database '!$Y$3:$Y$12, 'Database '!$X$3:$X$12),
0)))</f>
        <v>17.076219679113535</v>
      </c>
      <c r="J87" s="8">
        <f>IF('Isian '!$B$16='Database '!$AG$2,
D51+ FORECAST(D51, 'Database '!$U$3:$U$12, 'Database '!$T$3:$T$12),
IF('Isian '!$B$16='Database '!$AG$3,
   D51 + FORECAST(D51, 'Database '!$AC$3:$AC$12, 'Database '!$AB$3:$AB$12),
IF('Isian '!$B$16='Database '!$AG$4,
 D51 + FORECAST(D51, 'Database '!$Y$3:$Y$12, 'Database '!$X$3:$X$12),
0)))</f>
        <v>18.064419814866262</v>
      </c>
      <c r="K87" s="8">
        <f>Table411[[#This Row],[B Terkoreksi (g)]]-Table411[[#This Row],[A Terkoreksi  (g)]]</f>
        <v>0.98820013575272725</v>
      </c>
      <c r="L87" s="106">
        <f>F51+FORECAST(F51,'Database '!$Q$3:$Q$11,'Database '!$P$3:$P$11)</f>
        <v>20.083674396807588</v>
      </c>
      <c r="M87" s="9">
        <f t="shared" si="1"/>
        <v>0.99818943024684814</v>
      </c>
      <c r="N87" s="8">
        <f>Table411[[#This Row],[B - A (g)]]*(1/(Table411[[#This Row],[Densitas Air Destilasi (g/cm^3)]]-'Peralatan &amp; Koefisien  '!$L$15))*(1-('Peralatan &amp; Koefisien  '!$L$15/'Peralatan &amp; Koefisien  '!$D$15)*(1-'Peralatan &amp; Koefisien  '!$L$23*(Table411[[#This Row],[Suhu Air Destilasi Terkoreksi  (◦C)]]-20)))</f>
        <v>0.99094519062838982</v>
      </c>
      <c r="O87" s="1" t="s">
        <v>17</v>
      </c>
      <c r="P87" s="2">
        <f>IF('Isian '!$B$16='Database '!$AG$2,
 D24 + FORECAST(  D24, 'Database '!$U$3:$U$12, 'Database '!$T$3:$T$12),
IF('Isian '!$B$16='Database '!$AG$3,
 D24   + FORECAST( D24, 'Database '!$AC$3:$AC$12, 'Database '!$AB$3:$AB$12),
IF('Isian '!$B$16='Database '!$AG$4,
   D24   + FORECAST(  D24, 'Database '!$Y$3:$Y$12, 'Database '!$X$3:$X$12),
0)))</f>
        <v>17.076219679113535</v>
      </c>
      <c r="Q87" s="8">
        <f>IF('Isian '!$B$16='Database '!$AG$2,
    D57 + FORECAST(   D57, 'Database '!$U$3:$U$12, 'Database '!$T$3:$T$12),
IF('Isian '!$B$16='Database '!$AG$3,
       D57 + FORECAST(   D57, 'Database '!$AC$3:$AC$12, 'Database '!$AB$3:$AB$12),
IF('Isian '!$B$16='Database '!$AG$4,
       D57+ FORECAST(   D57, 'Database '!$Y$3:$Y$12, 'Database '!$X$3:$X$12),
0)))</f>
        <v>18.064419814866262</v>
      </c>
      <c r="R87" s="8">
        <f>Table412[[#This Row],[B Terkoreksi (g)]]-Table412[[#This Row],[A Terkoreksi  (g)]]</f>
        <v>0.98820013575272725</v>
      </c>
      <c r="S87" s="106">
        <f>F57+FORECAST(F57,'Database '!$Q$3:$Q$11,'Database '!$P$3:$P$11)</f>
        <v>20.083674396807588</v>
      </c>
      <c r="T87" s="9">
        <f t="shared" si="2"/>
        <v>0.99818943024684814</v>
      </c>
      <c r="U87" s="8">
        <f>Table412[[#This Row],[B - A (g)]]*(1/(Table412[[#This Row],[Densitas Air Destilasi (g/cm^3)]]-'Peralatan &amp; Koefisien  '!$L$15))*(1-('Peralatan &amp; Koefisien  '!$L$15/'Peralatan &amp; Koefisien  '!$D$15)*(1-'Peralatan &amp; Koefisien  '!$L$23*(Table412[[#This Row],[Suhu Air Destilasi Terkoreksi  (◦C)]]-20)))</f>
        <v>0.99094519062838982</v>
      </c>
      <c r="V87" s="1" t="s">
        <v>17</v>
      </c>
      <c r="W87" s="2">
        <f>IF('Isian '!$B$16='Database '!$AG$2,
   D30 + FORECAST(D30, 'Database '!$U$3:$U$12, 'Database '!$T$3:$T$12),
IF('Isian '!$B$16='Database '!$AG$3,
    D30 + FORECAST(D30, 'Database '!$AC$3:$AC$12, 'Database '!$AB$3:$AB$12),
IF('Isian '!$B$16='Database '!$AG$4,
  D30 + FORECAST(D30, 'Database '!$Y$3:$Y$12, 'Database '!$X$3:$X$12),
0)))</f>
        <v>17.076219679113535</v>
      </c>
      <c r="X87" s="8">
        <f>IF('Isian '!$B$16='Database '!$AG$2,
    D63 + FORECAST(D63, 'Database '!$U$3:$U$12, 'Database '!$T$3:$T$12),
IF('Isian '!$B$16='Database '!$AG$3,
   D63 + FORECAST(D63, 'Database '!$AC$3:$AC$12, 'Database '!$AB$3:$AB$12),
IF('Isian '!$B$16='Database '!$AG$4,
   D63 + FORECAST(D63, 'Database '!$Y$3:$Y$12, 'Database '!$X$3:$X$12),
0)))</f>
        <v>18.064419814866262</v>
      </c>
      <c r="Y87" s="8">
        <f>Table413[[#This Row],[B Terkoreksi (g)]]-Table413[[#This Row],[A Terkoreksi  (g)]]</f>
        <v>0.98820013575272725</v>
      </c>
      <c r="Z87" s="106">
        <f>F63+FORECAST(F63,'Database '!$Q$3:$Q$11,'Database '!$P$3:$P$11)</f>
        <v>20.083674396807588</v>
      </c>
      <c r="AA87" s="9">
        <f t="shared" si="3"/>
        <v>0.99818943024684814</v>
      </c>
      <c r="AB87" s="8">
        <f>Table413[[#This Row],[B - A (g)]]*(1/(Table413[[#This Row],[Densitas Air Destilasi (g/cm^3)]]-'Peralatan &amp; Koefisien  '!$L$15))*(1-('Peralatan &amp; Koefisien  '!$L$15/'Peralatan &amp; Koefisien  '!$D$15)*(1-'Peralatan &amp; Koefisien  '!$L$23*(Table413[[#This Row],[Suhu Air Destilasi Terkoreksi  (◦C)]]-20)))</f>
        <v>0.99094519062838982</v>
      </c>
      <c r="AC87" s="1" t="s">
        <v>17</v>
      </c>
      <c r="AD87" s="2">
        <f>IF('Isian '!$B$16='Database '!$AG$2,
   D36 + FORECAST(  D36, 'Database '!$U$3:$U$12, 'Database '!$T$3:$T$12),
IF('Isian '!$B$16='Database '!$AG$3,
      D36+ FORECAST(   D36, 'Database '!$AC$3:$AC$12, 'Database '!$AB$3:$AB$12),
IF('Isian '!$B$16='Database '!$AG$4,
       D36 + FORECAST(   D36, 'Database '!$Y$3:$Y$12, 'Database '!$X$3:$X$12),
0)))</f>
        <v>17.076219679113535</v>
      </c>
      <c r="AE87" s="8">
        <f>IF('Isian '!$B$16='Database '!$AG$2,
   D69 + FORECAST(D69, 'Database '!$U$3:$U$12, 'Database '!$T$3:$T$12),
IF('Isian '!$B$16='Database '!$AG$3,
   D69+ FORECAST(D69, 'Database '!$AC$3:$AC$12, 'Database '!$AB$3:$AB$12),
IF('Isian '!$B$16='Database '!$AG$4,
   D69 + FORECAST(D69, 'Database '!$Y$3:$Y$12, 'Database '!$X$3:$X$12),
0)))</f>
        <v>18.064419814866262</v>
      </c>
      <c r="AF87" s="8">
        <f>Table414[[#This Row],[B Terkoreksi (g)]]-Table414[[#This Row],[A Terkoreksi  (g)]]</f>
        <v>0.98820013575272725</v>
      </c>
      <c r="AG87" s="106">
        <f>F69+FORECAST(F69,'Database '!$Q$3:$Q$11,'Database '!$P$3:$P$11)</f>
        <v>20.083674396807588</v>
      </c>
      <c r="AH87" s="9">
        <f t="shared" si="4"/>
        <v>0.99818943024684814</v>
      </c>
      <c r="AI87" s="8">
        <f>Table414[[#This Row],[B - A (g)]]*(1/(Table414[[#This Row],[Densitas Air Destilasi (g/cm^3)]]-'Peralatan &amp; Koefisien  '!$L$15))*(1-('Peralatan &amp; Koefisien  '!$L$15/'Peralatan &amp; Koefisien  '!$D$15)*(1-'Peralatan &amp; Koefisien  '!$L$23*(Table414[[#This Row],[Suhu Air Destilasi Terkoreksi  (◦C)]]-20)))</f>
        <v>0.99094519062838982</v>
      </c>
    </row>
    <row r="88" spans="1:35" ht="15" customHeight="1" x14ac:dyDescent="0.3">
      <c r="A88" s="1" t="s">
        <v>18</v>
      </c>
      <c r="B88" s="2">
        <f>IF('Isian '!$B$16='Database '!$AG$2,
    'Pengambilan Data '!D13 + FORECAST('Pengambilan Data '!D13, 'Database '!$U$3:$U$12, 'Database '!$T$3:$T$12),
IF('Isian '!$B$16='Database '!$AG$3,
    'Pengambilan Data '!D13 + FORECAST('Pengambilan Data '!D13, 'Database '!$AC$3:$AC$12, 'Database '!$AB$3:$AB$12),
IF('Isian '!$B$16='Database '!$AG$4,
    'Pengambilan Data '!D13 + FORECAST('Pengambilan Data '!D13, 'Database '!$Y$3:$Y$12, 'Database '!$X$3:$X$12),
0)))</f>
        <v>17.075919679072324</v>
      </c>
      <c r="C88" s="8">
        <f>IF('Isian '!$B$16='Database '!$AG$2,
    'Pengambilan Data '!D46 + FORECAST('Pengambilan Data '!D46, 'Database '!$U$3:$U$12, 'Database '!$T$3:$T$12),
IF('Isian '!$B$16='Database '!$AG$3,
    'Pengambilan Data '!D46 + FORECAST('Pengambilan Data '!D46, 'Database '!$AC$3:$AC$12, 'Database '!$AB$3:$AB$12),
IF('Isian '!$B$16='Database '!$AG$4,
    'Pengambilan Data '!D46 + FORECAST('Pengambilan Data '!D46, 'Database '!$Y$3:$Y$12, 'Database '!$X$3:$X$12),
0)))</f>
        <v>18.071119815786666</v>
      </c>
      <c r="D88" s="8">
        <f>Table4[[#This Row],[B Terkoreksi (g)]]-Table4[[#This Row],[A Terkoreksi  (g)]]</f>
        <v>0.99520013671434171</v>
      </c>
      <c r="E88" s="106">
        <f>F46+FORECAST(F46,'Database '!$Q$3:$Q$11,'Database '!$P$3:$P$11)</f>
        <v>19.884248121902381</v>
      </c>
      <c r="F88" s="9">
        <f t="shared" si="0"/>
        <v>0.99823057726321807</v>
      </c>
      <c r="G88" s="8">
        <f>Table4[[#This Row],[B - A (g)]]*(1/(Table4[[#This Row],[Densitas Air Destilasi (g/cm^3)]]-'Peralatan &amp; Koefisien  '!$L$15))*(1-('Peralatan &amp; Koefisien  '!$L$15/'Peralatan &amp; Koefisien  '!$D$15)*(1-'Peralatan &amp; Koefisien  '!$L$23*(Table4[[#This Row],[Suhu Air Destilasi Terkoreksi  (◦C)]]-20)))</f>
        <v>0.99792345483275546</v>
      </c>
      <c r="H88" s="1" t="s">
        <v>18</v>
      </c>
      <c r="I88" s="2">
        <f>IF('Isian '!$B$16='Database '!$AG$2,
    D19+ FORECAST(    D19, 'Database '!$U$3:$U$12, 'Database '!$T$3:$T$12),
IF('Isian '!$B$16='Database '!$AG$3,
    D19+ FORECAST(D19, 'Database '!$AC$3:$AC$12, 'Database '!$AB$3:$AB$12),
IF('Isian '!$B$16='Database '!$AG$4,
   D19+ FORECAST(D19, 'Database '!$Y$3:$Y$12, 'Database '!$X$3:$X$12),
0)))</f>
        <v>17.075919679072324</v>
      </c>
      <c r="J88" s="8">
        <f>IF('Isian '!$B$16='Database '!$AG$2,
D52+ FORECAST(D52, 'Database '!$U$3:$U$12, 'Database '!$T$3:$T$12),
IF('Isian '!$B$16='Database '!$AG$3,
   D52 + FORECAST(D52, 'Database '!$AC$3:$AC$12, 'Database '!$AB$3:$AB$12),
IF('Isian '!$B$16='Database '!$AG$4,
 D52 + FORECAST(D52, 'Database '!$Y$3:$Y$12, 'Database '!$X$3:$X$12),
0)))</f>
        <v>18.071119815786666</v>
      </c>
      <c r="K88" s="8">
        <f>Table411[[#This Row],[B Terkoreksi (g)]]-Table411[[#This Row],[A Terkoreksi  (g)]]</f>
        <v>0.99520013671434171</v>
      </c>
      <c r="L88" s="106">
        <f>F52+FORECAST(F52,'Database '!$Q$3:$Q$11,'Database '!$P$3:$P$11)</f>
        <v>19.884248121902381</v>
      </c>
      <c r="M88" s="9">
        <f t="shared" si="1"/>
        <v>0.99823057726321807</v>
      </c>
      <c r="N88" s="8">
        <f>Table411[[#This Row],[B - A (g)]]*(1/(Table411[[#This Row],[Densitas Air Destilasi (g/cm^3)]]-'Peralatan &amp; Koefisien  '!$L$15))*(1-('Peralatan &amp; Koefisien  '!$L$15/'Peralatan &amp; Koefisien  '!$D$15)*(1-'Peralatan &amp; Koefisien  '!$L$23*(Table411[[#This Row],[Suhu Air Destilasi Terkoreksi  (◦C)]]-20)))</f>
        <v>0.99792345483275546</v>
      </c>
      <c r="O88" s="1" t="s">
        <v>18</v>
      </c>
      <c r="P88" s="2">
        <f>IF('Isian '!$B$16='Database '!$AG$2,
 D25 + FORECAST(  D25, 'Database '!$U$3:$U$12, 'Database '!$T$3:$T$12),
IF('Isian '!$B$16='Database '!$AG$3,
 D25   + FORECAST( D25, 'Database '!$AC$3:$AC$12, 'Database '!$AB$3:$AB$12),
IF('Isian '!$B$16='Database '!$AG$4,
   D25   + FORECAST(  D25, 'Database '!$Y$3:$Y$12, 'Database '!$X$3:$X$12),
0)))</f>
        <v>17.075919679072324</v>
      </c>
      <c r="Q88" s="8">
        <f>IF('Isian '!$B$16='Database '!$AG$2,
    D58 + FORECAST(   D58, 'Database '!$U$3:$U$12, 'Database '!$T$3:$T$12),
IF('Isian '!$B$16='Database '!$AG$3,
       D58 + FORECAST(   D58, 'Database '!$AC$3:$AC$12, 'Database '!$AB$3:$AB$12),
IF('Isian '!$B$16='Database '!$AG$4,
       D58+ FORECAST(   D58, 'Database '!$Y$3:$Y$12, 'Database '!$X$3:$X$12),
0)))</f>
        <v>18.071119815786666</v>
      </c>
      <c r="R88" s="8">
        <f>Table412[[#This Row],[B Terkoreksi (g)]]-Table412[[#This Row],[A Terkoreksi  (g)]]</f>
        <v>0.99520013671434171</v>
      </c>
      <c r="S88" s="106">
        <f>F58+FORECAST(F58,'Database '!$Q$3:$Q$11,'Database '!$P$3:$P$11)</f>
        <v>19.884248121902381</v>
      </c>
      <c r="T88" s="9">
        <f t="shared" si="2"/>
        <v>0.99823057726321807</v>
      </c>
      <c r="U88" s="8">
        <f>Table412[[#This Row],[B - A (g)]]*(1/(Table412[[#This Row],[Densitas Air Destilasi (g/cm^3)]]-'Peralatan &amp; Koefisien  '!$L$15))*(1-('Peralatan &amp; Koefisien  '!$L$15/'Peralatan &amp; Koefisien  '!$D$15)*(1-'Peralatan &amp; Koefisien  '!$L$23*(Table412[[#This Row],[Suhu Air Destilasi Terkoreksi  (◦C)]]-20)))</f>
        <v>0.99792345483275546</v>
      </c>
      <c r="V88" s="1" t="s">
        <v>18</v>
      </c>
      <c r="W88" s="2">
        <f>IF('Isian '!$B$16='Database '!$AG$2,
   D31 + FORECAST(D31, 'Database '!$U$3:$U$12, 'Database '!$T$3:$T$12),
IF('Isian '!$B$16='Database '!$AG$3,
    D31 + FORECAST(D31, 'Database '!$AC$3:$AC$12, 'Database '!$AB$3:$AB$12),
IF('Isian '!$B$16='Database '!$AG$4,
  D31 + FORECAST(D31, 'Database '!$Y$3:$Y$12, 'Database '!$X$3:$X$12),
0)))</f>
        <v>17.075919679072324</v>
      </c>
      <c r="X88" s="8">
        <f>IF('Isian '!$B$16='Database '!$AG$2,
    D64 + FORECAST(D64, 'Database '!$U$3:$U$12, 'Database '!$T$3:$T$12),
IF('Isian '!$B$16='Database '!$AG$3,
   D64 + FORECAST(D64, 'Database '!$AC$3:$AC$12, 'Database '!$AB$3:$AB$12),
IF('Isian '!$B$16='Database '!$AG$4,
   D64 + FORECAST(D64, 'Database '!$Y$3:$Y$12, 'Database '!$X$3:$X$12),
0)))</f>
        <v>18.071119815786666</v>
      </c>
      <c r="Y88" s="8">
        <f>Table413[[#This Row],[B Terkoreksi (g)]]-Table413[[#This Row],[A Terkoreksi  (g)]]</f>
        <v>0.99520013671434171</v>
      </c>
      <c r="Z88" s="106">
        <f>F64+FORECAST(F64,'Database '!$Q$3:$Q$11,'Database '!$P$3:$P$11)</f>
        <v>19.884248121902381</v>
      </c>
      <c r="AA88" s="9">
        <f t="shared" si="3"/>
        <v>0.99823057726321807</v>
      </c>
      <c r="AB88" s="8">
        <f>Table413[[#This Row],[B - A (g)]]*(1/(Table413[[#This Row],[Densitas Air Destilasi (g/cm^3)]]-'Peralatan &amp; Koefisien  '!$L$15))*(1-('Peralatan &amp; Koefisien  '!$L$15/'Peralatan &amp; Koefisien  '!$D$15)*(1-'Peralatan &amp; Koefisien  '!$L$23*(Table413[[#This Row],[Suhu Air Destilasi Terkoreksi  (◦C)]]-20)))</f>
        <v>0.99792345483275546</v>
      </c>
      <c r="AC88" s="1" t="s">
        <v>18</v>
      </c>
      <c r="AD88" s="2">
        <f>IF('Isian '!$B$16='Database '!$AG$2,
   D37 + FORECAST(  D37, 'Database '!$U$3:$U$12, 'Database '!$T$3:$T$12),
IF('Isian '!$B$16='Database '!$AG$3,
      D37+ FORECAST(   D37, 'Database '!$AC$3:$AC$12, 'Database '!$AB$3:$AB$12),
IF('Isian '!$B$16='Database '!$AG$4,
       D37 + FORECAST(   D37, 'Database '!$Y$3:$Y$12, 'Database '!$X$3:$X$12),
0)))</f>
        <v>17.075919679072324</v>
      </c>
      <c r="AE88" s="8">
        <f>IF('Isian '!$B$16='Database '!$AG$2,
   D70 + FORECAST(D70, 'Database '!$U$3:$U$12, 'Database '!$T$3:$T$12),
IF('Isian '!$B$16='Database '!$AG$3,
   D70+ FORECAST(D70, 'Database '!$AC$3:$AC$12, 'Database '!$AB$3:$AB$12),
IF('Isian '!$B$16='Database '!$AG$4,
   D70 + FORECAST(D70, 'Database '!$Y$3:$Y$12, 'Database '!$X$3:$X$12),
0)))</f>
        <v>18.071119815786666</v>
      </c>
      <c r="AF88" s="8">
        <f>Table414[[#This Row],[B Terkoreksi (g)]]-Table414[[#This Row],[A Terkoreksi  (g)]]</f>
        <v>0.99520013671434171</v>
      </c>
      <c r="AG88" s="106">
        <f>F70+FORECAST(F70,'Database '!$Q$3:$Q$11,'Database '!$P$3:$P$11)</f>
        <v>19.884248121902381</v>
      </c>
      <c r="AH88" s="9">
        <f t="shared" si="4"/>
        <v>0.99823057726321807</v>
      </c>
      <c r="AI88" s="8">
        <f>Table414[[#This Row],[B - A (g)]]*(1/(Table414[[#This Row],[Densitas Air Destilasi (g/cm^3)]]-'Peralatan &amp; Koefisien  '!$L$15))*(1-('Peralatan &amp; Koefisien  '!$L$15/'Peralatan &amp; Koefisien  '!$D$15)*(1-'Peralatan &amp; Koefisien  '!$L$23*(Table414[[#This Row],[Suhu Air Destilasi Terkoreksi  (◦C)]]-20)))</f>
        <v>0.99792345483275546</v>
      </c>
    </row>
    <row r="89" spans="1:35" ht="15" customHeight="1" x14ac:dyDescent="0.3">
      <c r="A89" s="7" t="s">
        <v>30</v>
      </c>
      <c r="B89" s="2">
        <f>IFERROR(AVERAGE(Table4[A Terkoreksi  (g)]),0)</f>
        <v>17.076179679108044</v>
      </c>
      <c r="C89" s="2">
        <f>IFERROR(AVERAGE(Table4[B Terkoreksi (g)]),0)</f>
        <v>18.067099815234421</v>
      </c>
      <c r="D89" s="2">
        <f>IFERROR(AVERAGE(Table4[B - A (g)]),0)</f>
        <v>0.9909201361263833</v>
      </c>
      <c r="E89" s="2">
        <f>IFERROR(AVERAGE(Table4[Suhu Air Destilasi Terkoreksi  (◦C)]),0)</f>
        <v>19.964018631864462</v>
      </c>
      <c r="F89" s="9">
        <f>IFERROR(AVERAGE(Table4[Densitas Air Destilasi (g/cm^3)]),0)</f>
        <v>0.99821411845666996</v>
      </c>
      <c r="G89" s="8">
        <f>IFERROR(AVERAGE(Table4[Volume pada Suhu 20◦C (ml)]),0)</f>
        <v>0.99364815692942021</v>
      </c>
      <c r="H89" s="7" t="s">
        <v>30</v>
      </c>
      <c r="I89" s="2">
        <f>IFERROR(AVERAGE(Table411[A Terkoreksi  (g)]),0)</f>
        <v>17.076179679108044</v>
      </c>
      <c r="J89" s="2">
        <f>IFERROR(AVERAGE(Table411[B Terkoreksi (g)]),0)</f>
        <v>18.067099815234421</v>
      </c>
      <c r="K89" s="2">
        <f>IFERROR(AVERAGE(Table411[B - A (g)]),0)</f>
        <v>0.9909201361263833</v>
      </c>
      <c r="L89" s="2">
        <f>IFERROR(AVERAGE(Table411[Suhu Air Destilasi Terkoreksi  (◦C)]),0)</f>
        <v>19.964018631864462</v>
      </c>
      <c r="M89" s="9">
        <f>IFERROR(AVERAGE(Table411[Densitas Air Destilasi (g/cm^3)]),0)</f>
        <v>0.99821411845666996</v>
      </c>
      <c r="N89" s="8">
        <f>IFERROR(AVERAGE(Table411[Volume pada Suhu 20◦C (ml)]),0)</f>
        <v>0.99364815692942021</v>
      </c>
      <c r="O89" s="7" t="s">
        <v>30</v>
      </c>
      <c r="P89" s="2">
        <f>IFERROR(AVERAGE(Table412[A Terkoreksi  (g)]),0)</f>
        <v>17.076179679108044</v>
      </c>
      <c r="Q89" s="2">
        <f>IFERROR(AVERAGE(Table412[B Terkoreksi (g)]),0)</f>
        <v>18.067099815234421</v>
      </c>
      <c r="R89" s="2">
        <f>IFERROR(AVERAGE(Table412[B - A (g)]),0)</f>
        <v>0.9909201361263833</v>
      </c>
      <c r="S89" s="2">
        <f>IFERROR(AVERAGE(Table412[Suhu Air Destilasi Terkoreksi  (◦C)]),0)</f>
        <v>19.964018631864462</v>
      </c>
      <c r="T89" s="9">
        <f>IFERROR(AVERAGE(Table412[Densitas Air Destilasi (g/cm^3)]),0)</f>
        <v>0.99821411845666996</v>
      </c>
      <c r="U89" s="8">
        <f>IFERROR(AVERAGE(Table412[Volume pada Suhu 20◦C (ml)]),0)</f>
        <v>0.99364815692942021</v>
      </c>
      <c r="V89" s="7" t="s">
        <v>30</v>
      </c>
      <c r="W89" s="2">
        <f>IFERROR(AVERAGE(Table413[A Terkoreksi  (g)]),0)</f>
        <v>17.076179679108044</v>
      </c>
      <c r="X89" s="2">
        <f>IFERROR(AVERAGE(Table413[B Terkoreksi (g)]),0)</f>
        <v>18.067099815234421</v>
      </c>
      <c r="Y89" s="2">
        <f>IFERROR(AVERAGE(Table413[B - A (g)]),0)</f>
        <v>0.9909201361263833</v>
      </c>
      <c r="Z89" s="2">
        <f>IFERROR(AVERAGE(Table413[Suhu Air Destilasi Terkoreksi  (◦C)]),0)</f>
        <v>19.964018631864462</v>
      </c>
      <c r="AA89" s="9">
        <f>IFERROR(AVERAGE(Table413[Densitas Air Destilasi (g/cm^3)]),0)</f>
        <v>0.99821411845666996</v>
      </c>
      <c r="AB89" s="8">
        <f>IFERROR(AVERAGE(Table413[Volume pada Suhu 20◦C (ml)]),0)</f>
        <v>0.99364815692942021</v>
      </c>
      <c r="AC89" s="7" t="s">
        <v>30</v>
      </c>
      <c r="AD89" s="2">
        <f>IFERROR(AVERAGE(Table414[A Terkoreksi  (g)]),0)</f>
        <v>17.076179679108044</v>
      </c>
      <c r="AE89" s="2">
        <f>IFERROR(AVERAGE(Table414[B Terkoreksi (g)]),0)</f>
        <v>18.067099815234421</v>
      </c>
      <c r="AF89" s="2">
        <f>IFERROR(AVERAGE(Table414[B - A (g)]),0)</f>
        <v>0.9909201361263833</v>
      </c>
      <c r="AG89" s="2">
        <f>IFERROR(AVERAGE(Table414[Suhu Air Destilasi Terkoreksi  (◦C)]),0)</f>
        <v>19.964018631864462</v>
      </c>
      <c r="AH89" s="9">
        <f>IFERROR(AVERAGE(Table414[Densitas Air Destilasi (g/cm^3)]),0)</f>
        <v>0.99821411845666996</v>
      </c>
      <c r="AI89" s="8">
        <f>IFERROR(AVERAGE(Table414[Volume pada Suhu 20◦C (ml)]),0)</f>
        <v>0.99364815692942021</v>
      </c>
    </row>
    <row r="90" spans="1:35" ht="15" customHeight="1" x14ac:dyDescent="0.3">
      <c r="A90" s="7" t="s">
        <v>31</v>
      </c>
      <c r="E90" s="2">
        <f>IFERROR(_xlfn.STDEV.S(Table4[Suhu Air Destilasi Terkoreksi  (◦C)]),0)</f>
        <v>0.10923026932480827</v>
      </c>
      <c r="G90" s="42">
        <f>IFERROR(_xlfn.STDEV.S(Table4[Volume pada Suhu 20◦C (ml)]),0)</f>
        <v>3.9254197457966478E-3</v>
      </c>
      <c r="H90" s="7" t="s">
        <v>31</v>
      </c>
      <c r="L90" s="2">
        <f>IFERROR(_xlfn.STDEV.S(Table411[Suhu Air Destilasi Terkoreksi  (◦C)]),0)</f>
        <v>0.10923026932480827</v>
      </c>
      <c r="N90" s="42">
        <f>IFERROR(_xlfn.STDEV.S(Table411[Volume pada Suhu 20◦C (ml)]),0)</f>
        <v>3.9254197457966478E-3</v>
      </c>
      <c r="O90" s="7" t="s">
        <v>31</v>
      </c>
      <c r="S90" s="2">
        <f>IFERROR(_xlfn.STDEV.S(Table412[Suhu Air Destilasi Terkoreksi  (◦C)]),0)</f>
        <v>0.10923026932480827</v>
      </c>
      <c r="U90" s="42">
        <f>IFERROR(_xlfn.STDEV.S(Table412[Volume pada Suhu 20◦C (ml)]),0)</f>
        <v>3.9254197457966478E-3</v>
      </c>
      <c r="V90" s="7" t="s">
        <v>31</v>
      </c>
      <c r="Z90" s="2">
        <f>IFERROR(_xlfn.STDEV.S(Table413[Suhu Air Destilasi Terkoreksi  (◦C)]),0)</f>
        <v>0.10923026932480827</v>
      </c>
      <c r="AB90" s="42">
        <f>IFERROR(_xlfn.STDEV.S(Table413[Volume pada Suhu 20◦C (ml)]),0)</f>
        <v>3.9254197457966478E-3</v>
      </c>
      <c r="AC90" s="7" t="s">
        <v>31</v>
      </c>
      <c r="AG90" s="2">
        <f>IFERROR(_xlfn.STDEV.S(Table414[Suhu Air Destilasi Terkoreksi  (◦C)]),0)</f>
        <v>0.10923026932480827</v>
      </c>
      <c r="AI90" s="42">
        <f>IFERROR(_xlfn.STDEV.S(Table414[Volume pada Suhu 20◦C (ml)]),0)</f>
        <v>3.9254197457966478E-3</v>
      </c>
    </row>
    <row r="91" spans="1:35" ht="15" customHeight="1" x14ac:dyDescent="0.3"/>
    <row r="92" spans="1:35" ht="15" customHeight="1" x14ac:dyDescent="0.3">
      <c r="F92" s="121"/>
      <c r="G92" s="121"/>
      <c r="H92" s="121"/>
    </row>
    <row r="93" spans="1:35" ht="15" customHeight="1" x14ac:dyDescent="0.3">
      <c r="F93" s="121"/>
      <c r="G93" s="121"/>
      <c r="H93" s="121"/>
    </row>
    <row r="94" spans="1:35" ht="15" customHeight="1" x14ac:dyDescent="0.3">
      <c r="F94" s="121"/>
      <c r="G94" s="121"/>
      <c r="H94" s="121"/>
    </row>
    <row r="95" spans="1:35" ht="15" customHeight="1" x14ac:dyDescent="0.3">
      <c r="F95" s="121"/>
      <c r="G95" s="121"/>
      <c r="H95" s="121"/>
    </row>
    <row r="96" spans="1:35" ht="15" customHeight="1" x14ac:dyDescent="0.3">
      <c r="F96" s="121"/>
      <c r="G96" s="121"/>
      <c r="H96" s="121"/>
    </row>
    <row r="97" spans="1:8" ht="15" customHeight="1" x14ac:dyDescent="0.3">
      <c r="F97" s="121"/>
      <c r="G97" s="121"/>
      <c r="H97" s="121"/>
    </row>
    <row r="98" spans="1:8" x14ac:dyDescent="0.3">
      <c r="F98" s="121"/>
      <c r="G98" s="121"/>
      <c r="H98" s="121"/>
    </row>
    <row r="99" spans="1:8" x14ac:dyDescent="0.3">
      <c r="F99" s="121"/>
      <c r="G99" s="121"/>
      <c r="H99" s="121"/>
    </row>
    <row r="111" spans="1:8" x14ac:dyDescent="0.3">
      <c r="A111" s="7" t="s">
        <v>278</v>
      </c>
    </row>
    <row r="112" spans="1:8" ht="43.2" x14ac:dyDescent="0.3">
      <c r="A112" s="135" t="s">
        <v>271</v>
      </c>
      <c r="B112" s="135" t="s">
        <v>272</v>
      </c>
      <c r="C112" s="135" t="s">
        <v>273</v>
      </c>
    </row>
    <row r="113" spans="1:3" x14ac:dyDescent="0.3">
      <c r="A113" s="136">
        <v>2000</v>
      </c>
      <c r="B113" s="137">
        <v>1999.9984099999999</v>
      </c>
      <c r="C113" s="138">
        <v>0.31</v>
      </c>
    </row>
    <row r="114" spans="1:3" x14ac:dyDescent="0.3">
      <c r="A114" s="136">
        <v>1000</v>
      </c>
      <c r="B114" s="137">
        <v>1000.00041</v>
      </c>
      <c r="C114" s="138">
        <v>0.16</v>
      </c>
    </row>
    <row r="115" spans="1:3" x14ac:dyDescent="0.3">
      <c r="A115" s="136">
        <v>500</v>
      </c>
      <c r="B115" s="137">
        <v>500.00009999999997</v>
      </c>
      <c r="C115" s="138">
        <v>0.16</v>
      </c>
    </row>
    <row r="116" spans="1:3" x14ac:dyDescent="0.3">
      <c r="A116" s="136">
        <v>200</v>
      </c>
      <c r="B116" s="137">
        <v>199.99982</v>
      </c>
      <c r="C116" s="138">
        <v>7.0000000000000007E-2</v>
      </c>
    </row>
    <row r="117" spans="1:3" x14ac:dyDescent="0.3">
      <c r="A117" s="136" t="s">
        <v>274</v>
      </c>
      <c r="B117" s="137">
        <v>200.00013000000001</v>
      </c>
      <c r="C117" s="138">
        <v>7.0000000000000007E-2</v>
      </c>
    </row>
    <row r="118" spans="1:3" x14ac:dyDescent="0.3">
      <c r="A118" s="136">
        <v>100</v>
      </c>
      <c r="B118" s="137">
        <v>99.999960000000002</v>
      </c>
      <c r="C118" s="138">
        <v>3.6999999999999998E-2</v>
      </c>
    </row>
    <row r="119" spans="1:3" x14ac:dyDescent="0.3">
      <c r="A119" s="136">
        <v>50</v>
      </c>
      <c r="B119" s="137">
        <v>49.999960000000002</v>
      </c>
      <c r="C119" s="138">
        <v>2.4E-2</v>
      </c>
    </row>
    <row r="120" spans="1:3" x14ac:dyDescent="0.3">
      <c r="A120" s="136">
        <v>20</v>
      </c>
      <c r="B120" s="139">
        <v>19.999966000000001</v>
      </c>
      <c r="C120" s="138">
        <v>1.7999999999999999E-2</v>
      </c>
    </row>
    <row r="121" spans="1:3" x14ac:dyDescent="0.3">
      <c r="A121" s="136" t="s">
        <v>275</v>
      </c>
      <c r="B121" s="139">
        <v>19.999967999999999</v>
      </c>
      <c r="C121" s="138">
        <v>1.7999999999999999E-2</v>
      </c>
    </row>
    <row r="122" spans="1:3" x14ac:dyDescent="0.3">
      <c r="A122" s="136">
        <v>10</v>
      </c>
      <c r="B122" s="137">
        <v>9.9999610000000008</v>
      </c>
      <c r="C122" s="138">
        <v>1.4E-2</v>
      </c>
    </row>
    <row r="123" spans="1:3" x14ac:dyDescent="0.3">
      <c r="A123" s="136">
        <v>5</v>
      </c>
      <c r="B123" s="137">
        <v>4.9999950000000002</v>
      </c>
      <c r="C123" s="138">
        <v>1.0999999999999999E-2</v>
      </c>
    </row>
    <row r="124" spans="1:3" x14ac:dyDescent="0.3">
      <c r="A124" s="136">
        <v>2</v>
      </c>
      <c r="B124" s="137">
        <v>2.000003</v>
      </c>
      <c r="C124" s="138">
        <v>8.9999999999999993E-3</v>
      </c>
    </row>
    <row r="125" spans="1:3" x14ac:dyDescent="0.3">
      <c r="A125" s="136" t="s">
        <v>276</v>
      </c>
      <c r="B125" s="137">
        <v>2.0000019999999998</v>
      </c>
      <c r="C125" s="138">
        <v>8.9999999999999993E-3</v>
      </c>
    </row>
    <row r="126" spans="1:3" x14ac:dyDescent="0.3">
      <c r="A126" s="136">
        <v>1</v>
      </c>
      <c r="B126" s="137">
        <v>0.99999199999999999</v>
      </c>
      <c r="C126" s="138">
        <v>7.0000000000000001E-3</v>
      </c>
    </row>
    <row r="127" spans="1:3" x14ac:dyDescent="0.3">
      <c r="A127" s="136">
        <v>0.5</v>
      </c>
      <c r="B127" s="140">
        <v>0.50001300000000004</v>
      </c>
      <c r="C127" s="141">
        <v>6.0000000000000001E-3</v>
      </c>
    </row>
    <row r="128" spans="1:3" x14ac:dyDescent="0.3">
      <c r="A128" s="136">
        <v>0.2</v>
      </c>
      <c r="B128" s="140">
        <v>0.200017</v>
      </c>
      <c r="C128" s="141">
        <v>5.0000000000000001E-3</v>
      </c>
    </row>
    <row r="129" spans="1:3" x14ac:dyDescent="0.3">
      <c r="A129" s="141" t="s">
        <v>277</v>
      </c>
      <c r="B129" s="140">
        <v>0.200017</v>
      </c>
      <c r="C129" s="141">
        <v>5.0000000000000001E-3</v>
      </c>
    </row>
    <row r="130" spans="1:3" x14ac:dyDescent="0.3">
      <c r="A130" s="136">
        <v>0.1</v>
      </c>
      <c r="B130" s="140">
        <v>0.100007</v>
      </c>
      <c r="C130" s="141">
        <v>3.0000000000000001E-3</v>
      </c>
    </row>
    <row r="131" spans="1:3" x14ac:dyDescent="0.3">
      <c r="A131" s="136">
        <v>5000</v>
      </c>
      <c r="B131" s="140">
        <v>4999.9985800000004</v>
      </c>
      <c r="C131" s="141">
        <v>0.72</v>
      </c>
    </row>
  </sheetData>
  <pageMargins left="0.7" right="0.7" top="0.75" bottom="0.75" header="0.511811023622047" footer="0.511811023622047"/>
  <pageSetup orientation="portrait" horizontalDpi="300" verticalDpi="300"/>
  <ignoredErrors>
    <ignoredError sqref="B9 B10:B13 B15:B19 B21:B25 B27:B31 B33:B37" calculatedColumn="1"/>
  </ignoredErrors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3EF3-E8CA-496F-B1E3-3172DB1AC1C7}">
  <dimension ref="B1:AE139"/>
  <sheetViews>
    <sheetView topLeftCell="A84" zoomScale="60" zoomScaleNormal="60" workbookViewId="0">
      <selection activeCell="N83" sqref="N83"/>
    </sheetView>
  </sheetViews>
  <sheetFormatPr defaultRowHeight="13.2" x14ac:dyDescent="0.25"/>
  <cols>
    <col min="2" max="2" width="21.109375" bestFit="1" customWidth="1"/>
    <col min="3" max="3" width="19.88671875" customWidth="1"/>
    <col min="4" max="4" width="13.44140625" bestFit="1" customWidth="1"/>
    <col min="8" max="8" width="1.77734375" bestFit="1" customWidth="1"/>
    <col min="9" max="9" width="16.77734375" customWidth="1"/>
    <col min="10" max="10" width="17.21875" customWidth="1"/>
    <col min="11" max="11" width="11.21875" customWidth="1"/>
    <col min="12" max="12" width="13.109375" bestFit="1" customWidth="1"/>
    <col min="13" max="13" width="20.21875" bestFit="1" customWidth="1"/>
    <col min="14" max="14" width="12.33203125" bestFit="1" customWidth="1"/>
    <col min="15" max="15" width="20.77734375" bestFit="1" customWidth="1"/>
    <col min="20" max="20" width="20.77734375" customWidth="1"/>
    <col min="21" max="21" width="18.6640625" bestFit="1" customWidth="1"/>
    <col min="22" max="22" width="21.21875" customWidth="1"/>
    <col min="23" max="23" width="19.88671875" bestFit="1" customWidth="1"/>
    <col min="24" max="24" width="19.6640625" customWidth="1"/>
    <col min="25" max="25" width="22.6640625" customWidth="1"/>
    <col min="26" max="26" width="19.44140625" customWidth="1"/>
    <col min="27" max="27" width="26.33203125" customWidth="1"/>
    <col min="28" max="28" width="24.6640625" customWidth="1"/>
    <col min="29" max="29" width="29.88671875" customWidth="1"/>
    <col min="30" max="30" width="19" customWidth="1"/>
    <col min="31" max="31" width="22.77734375" customWidth="1"/>
  </cols>
  <sheetData>
    <row r="1" spans="2:31" ht="14.4" x14ac:dyDescent="0.3">
      <c r="I1" s="166" t="str">
        <f>CONCATENATE('Isian '!$B$10/5," ml")</f>
        <v>2 ml</v>
      </c>
      <c r="J1" s="166"/>
    </row>
    <row r="2" spans="2:31" ht="14.4" x14ac:dyDescent="0.3">
      <c r="B2" s="41" t="s">
        <v>32</v>
      </c>
      <c r="C2" s="41" t="s">
        <v>14</v>
      </c>
      <c r="D2" s="41" t="s">
        <v>33</v>
      </c>
      <c r="E2" s="41" t="s">
        <v>79</v>
      </c>
      <c r="F2" s="41" t="s">
        <v>126</v>
      </c>
      <c r="I2" s="56" t="s">
        <v>38</v>
      </c>
      <c r="J2" s="56" t="s">
        <v>61</v>
      </c>
      <c r="K2" s="56" t="s">
        <v>109</v>
      </c>
      <c r="L2" s="56" t="s">
        <v>187</v>
      </c>
      <c r="M2" s="94" t="s">
        <v>111</v>
      </c>
      <c r="N2" s="54" t="s">
        <v>112</v>
      </c>
      <c r="O2" s="95" t="s">
        <v>110</v>
      </c>
      <c r="P2" s="94" t="s">
        <v>39</v>
      </c>
      <c r="V2" s="2" t="str">
        <f>CONCATENATE('Isian '!$B$10/5," ml")</f>
        <v>2 ml</v>
      </c>
      <c r="W2" s="2"/>
      <c r="X2" s="156" t="str">
        <f>CONCATENATE('Isian '!$B$10*2/5," ml")</f>
        <v>4 ml</v>
      </c>
      <c r="Y2" s="156"/>
      <c r="Z2" s="156" t="str">
        <f>CONCATENATE('Isian '!$B$10*3/5," ml")</f>
        <v>6 ml</v>
      </c>
      <c r="AA2" s="156"/>
      <c r="AB2" t="str">
        <f>CONCATENATE('Isian '!$B$10*4/5," ml")</f>
        <v>8 ml</v>
      </c>
      <c r="AD2" s="156" t="str">
        <f>CONCATENATE('Isian '!$B$10*5/5," ml")</f>
        <v>10 ml</v>
      </c>
      <c r="AE2" s="156"/>
    </row>
    <row r="3" spans="2:31" x14ac:dyDescent="0.25">
      <c r="B3" s="6" t="s">
        <v>13</v>
      </c>
      <c r="C3" s="6">
        <f>VLOOKUP('Isian '!B16,'Database '!AG1:AJ4,3,FALSE)</f>
        <v>1E-4</v>
      </c>
      <c r="D3" s="6">
        <f>VLOOKUP('Isian '!B16,'Database '!AG1:AJ4,4,FALSE)</f>
        <v>8.1999999999999998E-4</v>
      </c>
      <c r="E3" s="6"/>
      <c r="F3" s="6" t="s">
        <v>8</v>
      </c>
      <c r="H3" s="5">
        <v>1</v>
      </c>
      <c r="I3" s="57" t="s">
        <v>53</v>
      </c>
      <c r="J3" s="58"/>
      <c r="K3" s="57" t="s">
        <v>62</v>
      </c>
      <c r="L3" s="57">
        <f>SQRT(($D$3/2)^2 +((($C$3/2)/SQRT(3))^2 ))</f>
        <v>4.1101500378128939E-4</v>
      </c>
      <c r="M3" s="57" t="s">
        <v>63</v>
      </c>
      <c r="N3" s="92">
        <f>SQRT(L3^2 +L3^2+((L4/2)/SQRT(3))^2)</f>
        <v>5.8287362838497559E-4</v>
      </c>
      <c r="O3" s="96">
        <f>$C$18*$C$19*$C$20</f>
        <v>1.0027533616369373</v>
      </c>
      <c r="P3" s="92" t="s">
        <v>113</v>
      </c>
      <c r="U3" s="104" t="s">
        <v>308</v>
      </c>
      <c r="V3" s="104" t="s">
        <v>306</v>
      </c>
      <c r="W3" s="104" t="s">
        <v>307</v>
      </c>
      <c r="X3" s="104" t="s">
        <v>306</v>
      </c>
      <c r="Y3" s="104" t="s">
        <v>307</v>
      </c>
      <c r="Z3" s="104" t="s">
        <v>306</v>
      </c>
      <c r="AA3" s="104" t="s">
        <v>307</v>
      </c>
      <c r="AB3" s="6" t="s">
        <v>306</v>
      </c>
      <c r="AC3" s="6" t="s">
        <v>307</v>
      </c>
      <c r="AD3" s="104" t="s">
        <v>306</v>
      </c>
      <c r="AE3" s="104" t="s">
        <v>307</v>
      </c>
    </row>
    <row r="4" spans="2:31" x14ac:dyDescent="0.25">
      <c r="B4" s="6" t="s">
        <v>34</v>
      </c>
      <c r="C4" s="6">
        <v>0.1</v>
      </c>
      <c r="D4" s="6">
        <v>0.4</v>
      </c>
      <c r="E4" s="6"/>
      <c r="F4" s="6" t="s">
        <v>106</v>
      </c>
      <c r="I4" s="57"/>
      <c r="J4" s="59"/>
      <c r="K4" s="57" t="s">
        <v>65</v>
      </c>
      <c r="L4" s="57">
        <v>1.4999999999999999E-4</v>
      </c>
      <c r="M4" s="57"/>
      <c r="N4" s="92"/>
      <c r="O4" s="91"/>
      <c r="P4" s="92"/>
      <c r="U4" s="6" t="s">
        <v>53</v>
      </c>
      <c r="V4" s="6">
        <f>N3</f>
        <v>5.8287362838497559E-4</v>
      </c>
      <c r="W4" s="151">
        <f>O3</f>
        <v>1.0027533616369373</v>
      </c>
      <c r="X4" s="6">
        <f>$N$3</f>
        <v>5.8287362838497559E-4</v>
      </c>
      <c r="Y4" s="151">
        <f>O31</f>
        <v>1.0027533616369373</v>
      </c>
      <c r="Z4" s="6">
        <f>$N$3</f>
        <v>5.8287362838497559E-4</v>
      </c>
      <c r="AA4" s="151">
        <f>O59</f>
        <v>1.0027533616369373</v>
      </c>
      <c r="AB4" s="6">
        <f>$N$3</f>
        <v>5.8287362838497559E-4</v>
      </c>
      <c r="AC4" s="151">
        <f>O87</f>
        <v>1.0027533616369373</v>
      </c>
      <c r="AD4" s="6">
        <f>$N$3</f>
        <v>5.8287362838497559E-4</v>
      </c>
      <c r="AE4" s="151">
        <f>O115</f>
        <v>1.0027533616369373</v>
      </c>
    </row>
    <row r="5" spans="2:31" x14ac:dyDescent="0.25">
      <c r="B5" s="6" t="s">
        <v>35</v>
      </c>
      <c r="C5" s="6">
        <v>0.01</v>
      </c>
      <c r="D5" s="6">
        <v>3.2</v>
      </c>
      <c r="E5" s="6"/>
      <c r="F5" s="6" t="s">
        <v>106</v>
      </c>
      <c r="I5" s="57"/>
      <c r="J5" s="59"/>
      <c r="K5" s="57"/>
      <c r="L5" s="57"/>
      <c r="M5" s="57"/>
      <c r="N5" s="92"/>
      <c r="O5" s="90"/>
      <c r="P5" s="92"/>
      <c r="U5" s="155" t="s">
        <v>54</v>
      </c>
      <c r="V5" s="6">
        <f>N6</f>
        <v>0.25367876736932621</v>
      </c>
      <c r="W5" s="152">
        <f>O6</f>
        <v>-9.8371166222493256E-6</v>
      </c>
      <c r="X5" s="6">
        <f>SQRT((SQRT((D4/2)^2 +((C4/2)/SQRT(3))^2 + ((L6/2)/SQRT(3))^2 +('Pengambilan Data '!L90/SQRT(5))^2))^2+L8^2)</f>
        <v>0.25367876736932621</v>
      </c>
      <c r="Y5" s="152">
        <f>O34</f>
        <v>-9.8371166222493256E-6</v>
      </c>
      <c r="Z5" s="6">
        <f>SQRT((SQRT((D4/2)^2 +((C4/2)/SQRT(3))^2 + ((L6/2)/SQRT(3))^2 +('Pengambilan Data '!S90/SQRT(5))^2))^2+L8^2)</f>
        <v>0.25367876736932621</v>
      </c>
      <c r="AA5" s="152">
        <f>O62</f>
        <v>-9.8371166222493256E-6</v>
      </c>
      <c r="AB5" s="6">
        <f>SQRT((SQRT((D4/2)^2 +((C4/2)/SQRT(3))^2 + ((L6/2)/SQRT(3))^2 +('Pengambilan Data '!Z90/SQRT(5))^2))^2+L8^2)</f>
        <v>0.25367876736932621</v>
      </c>
      <c r="AC5" s="152">
        <f>O90</f>
        <v>-9.8371166222493256E-6</v>
      </c>
      <c r="AD5" s="6">
        <f>SQRT((SQRT((D4/2)^2 +((C4/2)/SQRT(3))^2 + ((L6/2)/SQRT(3))^2 +('Pengambilan Data '!AG90/SQRT(5))^2))^2+L8^2)</f>
        <v>0.25367876736932621</v>
      </c>
      <c r="AE5" s="152">
        <f>O118</f>
        <v>-9.8371166222493256E-6</v>
      </c>
    </row>
    <row r="6" spans="2:31" x14ac:dyDescent="0.25">
      <c r="B6" s="6" t="s">
        <v>36</v>
      </c>
      <c r="C6" s="6">
        <v>0.1</v>
      </c>
      <c r="D6" s="6">
        <v>2.2999999999999998</v>
      </c>
      <c r="E6" s="6">
        <f>D6/100</f>
        <v>2.3E-2</v>
      </c>
      <c r="F6" s="6" t="s">
        <v>5</v>
      </c>
      <c r="H6" s="5">
        <v>2</v>
      </c>
      <c r="I6" s="16" t="s">
        <v>54</v>
      </c>
      <c r="J6" s="58"/>
      <c r="K6" s="57" t="s">
        <v>66</v>
      </c>
      <c r="L6" s="57">
        <v>0.06</v>
      </c>
      <c r="M6" s="57" t="s">
        <v>67</v>
      </c>
      <c r="N6" s="92">
        <f>SQRT(L7^2+L8^2)</f>
        <v>0.25367876736932621</v>
      </c>
      <c r="O6" s="97">
        <f>$C$21*$C$18*$C$19*(-$L$23)</f>
        <v>-9.8371166222493256E-6</v>
      </c>
      <c r="P6" s="92" t="s">
        <v>114</v>
      </c>
      <c r="U6" s="155" t="s">
        <v>55</v>
      </c>
      <c r="V6" s="6">
        <f>N10</f>
        <v>4.4212719851993257E-5</v>
      </c>
      <c r="W6" s="154">
        <f>O10</f>
        <v>-0.99652154861218034</v>
      </c>
      <c r="X6" s="6">
        <f>N38</f>
        <v>4.4212719851993257E-5</v>
      </c>
      <c r="Y6" s="154">
        <f>O38</f>
        <v>-0.99652154861218034</v>
      </c>
      <c r="Z6" s="6">
        <f>N66</f>
        <v>4.4212719851993257E-5</v>
      </c>
      <c r="AA6" s="154">
        <f>O66</f>
        <v>-0.99652154861218034</v>
      </c>
      <c r="AB6" s="6">
        <f>N94</f>
        <v>4.4212719851993257E-5</v>
      </c>
      <c r="AC6" s="154">
        <f>O94</f>
        <v>-0.99652154861218034</v>
      </c>
      <c r="AD6" s="6">
        <f>N122</f>
        <v>4.4212719851993257E-5</v>
      </c>
      <c r="AE6" s="154">
        <f>O122</f>
        <v>-0.99652154861218034</v>
      </c>
    </row>
    <row r="7" spans="2:31" x14ac:dyDescent="0.25">
      <c r="B7" s="6" t="s">
        <v>37</v>
      </c>
      <c r="C7" s="6">
        <v>0.1</v>
      </c>
      <c r="D7" s="6">
        <v>1</v>
      </c>
      <c r="E7" s="6">
        <f>D7*100</f>
        <v>100</v>
      </c>
      <c r="F7" s="6" t="s">
        <v>127</v>
      </c>
      <c r="I7" s="57"/>
      <c r="J7" s="59"/>
      <c r="K7" s="57" t="s">
        <v>68</v>
      </c>
      <c r="L7" s="57">
        <f>SQRT(($D$4/2)^2 +(($C$4/2)/SQRT(3))^2 + (($L$6/2)/SQRT(3))^2 +('Pengambilan Data '!$E$90/SQRT(5))^2)</f>
        <v>0.2086134791442954</v>
      </c>
      <c r="M7" s="57"/>
      <c r="N7" s="92"/>
      <c r="O7" s="90"/>
      <c r="P7" s="92"/>
      <c r="U7" s="153" t="s">
        <v>56</v>
      </c>
      <c r="V7" s="6">
        <f>N15</f>
        <v>1.4091221310526325E-5</v>
      </c>
      <c r="W7" s="6">
        <f>O15</f>
        <v>0.87153431620784527</v>
      </c>
      <c r="X7" s="6">
        <f>$N$15</f>
        <v>1.4091221310526325E-5</v>
      </c>
      <c r="Y7" s="6">
        <f>O43</f>
        <v>0.87153431620784527</v>
      </c>
      <c r="Z7" s="6">
        <f>$N$15</f>
        <v>1.4091221310526325E-5</v>
      </c>
      <c r="AA7" s="6">
        <f>O71</f>
        <v>0.87153431620784527</v>
      </c>
      <c r="AB7" s="6">
        <f>$N$15</f>
        <v>1.4091221310526325E-5</v>
      </c>
      <c r="AC7" s="6">
        <f>O99</f>
        <v>0.87153431620784527</v>
      </c>
      <c r="AD7" s="6">
        <f>$N$15</f>
        <v>1.4091221310526325E-5</v>
      </c>
      <c r="AE7" s="6">
        <f>O127</f>
        <v>0.87153431620784527</v>
      </c>
    </row>
    <row r="8" spans="2:31" x14ac:dyDescent="0.25">
      <c r="B8" s="49" t="s">
        <v>125</v>
      </c>
      <c r="I8" s="57"/>
      <c r="J8" s="59"/>
      <c r="K8" s="57" t="s">
        <v>69</v>
      </c>
      <c r="L8" s="57">
        <f>(0.5/2)/SQRT(3)</f>
        <v>0.14433756729740646</v>
      </c>
      <c r="M8" s="57"/>
      <c r="N8" s="92"/>
      <c r="O8" s="90"/>
      <c r="P8" s="92"/>
      <c r="R8" s="150" t="s">
        <v>305</v>
      </c>
      <c r="U8" s="153" t="s">
        <v>57</v>
      </c>
      <c r="V8" s="6">
        <f>N21</f>
        <v>0.14000000000000001</v>
      </c>
      <c r="W8" s="6">
        <f>O21</f>
        <v>1.7252161485140357E-5</v>
      </c>
      <c r="X8" s="6">
        <f>$N$21</f>
        <v>0.14000000000000001</v>
      </c>
      <c r="Y8" s="6">
        <f>O49</f>
        <v>1.7252161485140357E-5</v>
      </c>
      <c r="Z8" s="6">
        <f>$N$21</f>
        <v>0.14000000000000001</v>
      </c>
      <c r="AA8" s="6">
        <f>O77</f>
        <v>1.7252161485140357E-5</v>
      </c>
      <c r="AB8" s="6">
        <f>$N$21</f>
        <v>0.14000000000000001</v>
      </c>
      <c r="AC8" s="6">
        <f>O105</f>
        <v>1.7252161485140357E-5</v>
      </c>
      <c r="AD8" s="6">
        <f>$N$21</f>
        <v>0.14000000000000001</v>
      </c>
      <c r="AE8" s="6">
        <f>O133</f>
        <v>1.7252161485140357E-5</v>
      </c>
    </row>
    <row r="9" spans="2:31" x14ac:dyDescent="0.25">
      <c r="I9" s="57"/>
      <c r="J9" s="59"/>
      <c r="K9" s="57"/>
      <c r="L9" s="57"/>
      <c r="M9" s="57"/>
      <c r="N9" s="92"/>
      <c r="O9" s="90"/>
      <c r="P9" s="92"/>
      <c r="U9" s="153" t="s">
        <v>58</v>
      </c>
      <c r="V9" s="6">
        <f>N23</f>
        <v>5.7157676649772954E-7</v>
      </c>
      <c r="W9" s="6">
        <f>O23</f>
        <v>-19.83721005357668</v>
      </c>
      <c r="X9" s="6">
        <f>$N$23</f>
        <v>5.7157676649772954E-7</v>
      </c>
      <c r="Y9" s="6">
        <f>O51</f>
        <v>-19.83721005357668</v>
      </c>
      <c r="Z9" s="6">
        <f>$N$23</f>
        <v>5.7157676649772954E-7</v>
      </c>
      <c r="AA9" s="6">
        <f>O79</f>
        <v>-19.83721005357668</v>
      </c>
      <c r="AB9" s="6">
        <f>$N$23</f>
        <v>5.7157676649772954E-7</v>
      </c>
      <c r="AC9" s="6">
        <f>O107</f>
        <v>-19.83721005357668</v>
      </c>
      <c r="AD9" s="6">
        <f>$N$23</f>
        <v>5.7157676649772954E-7</v>
      </c>
      <c r="AE9" s="6">
        <f>O135</f>
        <v>-19.83721005357668</v>
      </c>
    </row>
    <row r="10" spans="2:31" x14ac:dyDescent="0.25">
      <c r="B10" s="103" t="s">
        <v>222</v>
      </c>
      <c r="C10" s="109">
        <f>AVERAGE('Pengambilan Data '!B4,'Pengambilan Data '!C4)+FORECAST(AVERAGE('Pengambilan Data '!B4,'Pengambilan Data '!C4),'Database '!M3:M13,'Database '!L3:L13)</f>
        <v>929.80138989575778</v>
      </c>
      <c r="H10" s="5">
        <v>3</v>
      </c>
      <c r="I10" s="19" t="s">
        <v>55</v>
      </c>
      <c r="J10" s="58"/>
      <c r="K10" s="57" t="s">
        <v>70</v>
      </c>
      <c r="L10" s="57">
        <f>4.5 *10^-7</f>
        <v>4.4999999999999998E-7</v>
      </c>
      <c r="M10" s="57" t="s">
        <v>74</v>
      </c>
      <c r="N10" s="92">
        <f>SQRT(L10^2 +L12^2 +L13^2)</f>
        <v>4.4212719851993257E-5</v>
      </c>
      <c r="O10" s="98">
        <f>-$C$21*($C$18^2)*$C$19*$C$20</f>
        <v>-0.99652154861218034</v>
      </c>
      <c r="P10" s="92" t="s">
        <v>115</v>
      </c>
      <c r="U10" s="155" t="s">
        <v>59</v>
      </c>
      <c r="V10" s="6">
        <f>N25</f>
        <v>6.2333924234627542E-4</v>
      </c>
      <c r="W10" s="6">
        <v>1</v>
      </c>
      <c r="X10" s="6">
        <f>N53</f>
        <v>6.2333924234627542E-4</v>
      </c>
      <c r="Y10" s="6">
        <v>1</v>
      </c>
      <c r="Z10" s="6">
        <f>N81</f>
        <v>6.2333924234627542E-4</v>
      </c>
      <c r="AA10" s="6">
        <v>1</v>
      </c>
      <c r="AB10" s="6">
        <f>N109</f>
        <v>6.2333924234627542E-4</v>
      </c>
      <c r="AC10" s="6">
        <v>1</v>
      </c>
      <c r="AD10" s="6">
        <f>N137</f>
        <v>6.2333924234627542E-4</v>
      </c>
      <c r="AE10" s="6">
        <v>1</v>
      </c>
    </row>
    <row r="11" spans="2:31" x14ac:dyDescent="0.25">
      <c r="B11" s="103" t="s">
        <v>223</v>
      </c>
      <c r="C11" s="109">
        <f>AVERAGE('Pengambilan Data '!B3,'Pengambilan Data '!D3)+FORECAST(AVERAGE('Pengambilan Data '!B3,'Pengambilan Data '!D3),'Database '!H3:H7,'Database '!G3:G7)</f>
        <v>60.276093306935003</v>
      </c>
      <c r="I11" s="57"/>
      <c r="J11" s="59"/>
      <c r="K11" s="57" t="s">
        <v>71</v>
      </c>
      <c r="L11" s="57">
        <f>(-0.1176*'Pengambilan Data '!E89^2 +15.846*'Pengambilan Data '!E89 - 62.677)*10^-6</f>
        <v>2.0680194334435272E-4</v>
      </c>
      <c r="M11" s="57"/>
      <c r="N11" s="92"/>
      <c r="O11" s="90"/>
      <c r="P11" s="92"/>
      <c r="U11" s="155" t="s">
        <v>60</v>
      </c>
      <c r="V11" s="6">
        <f>N27</f>
        <v>1.7555010783642498E-3</v>
      </c>
      <c r="W11" s="6">
        <v>1</v>
      </c>
      <c r="X11" s="6">
        <f>N55</f>
        <v>1.7555010783642498E-3</v>
      </c>
      <c r="Y11" s="6">
        <v>1</v>
      </c>
      <c r="Z11" s="6">
        <f>N83</f>
        <v>1.7555010783642498E-3</v>
      </c>
      <c r="AA11" s="6">
        <v>1</v>
      </c>
      <c r="AB11" s="6">
        <f>N111</f>
        <v>1.7555010783642498E-3</v>
      </c>
      <c r="AC11" s="6">
        <v>1</v>
      </c>
      <c r="AD11" s="6">
        <f>N139</f>
        <v>1.7555010783642498E-3</v>
      </c>
      <c r="AE11" s="6">
        <v>1</v>
      </c>
    </row>
    <row r="12" spans="2:31" x14ac:dyDescent="0.25">
      <c r="B12" s="103" t="s">
        <v>224</v>
      </c>
      <c r="C12" s="109">
        <f>AVERAGE('Pengambilan Data '!B2,'Pengambilan Data '!C2)+FORECAST(AVERAGE('Pengambilan Data '!B2,'Pengambilan Data '!C2),'Database '!C3:C7,'Database '!B3:B7)</f>
        <v>20.442731831427597</v>
      </c>
      <c r="I12" s="57"/>
      <c r="J12" s="59"/>
      <c r="K12" s="57" t="s">
        <v>72</v>
      </c>
      <c r="L12" s="57">
        <f>L7*L11*'Pengambilan Data '!$F$89</f>
        <v>4.3064626977495563E-5</v>
      </c>
      <c r="M12" s="57"/>
      <c r="N12" s="92"/>
      <c r="O12" s="90"/>
      <c r="P12" s="92"/>
    </row>
    <row r="13" spans="2:31" ht="14.4" x14ac:dyDescent="0.3">
      <c r="B13" s="166" t="str">
        <f>CONCATENATE('Isian '!$B$10/5," ml")</f>
        <v>2 ml</v>
      </c>
      <c r="C13" s="166"/>
      <c r="I13" s="57"/>
      <c r="J13" s="59"/>
      <c r="K13" s="57" t="s">
        <v>73</v>
      </c>
      <c r="L13" s="57">
        <f>1*10^-5</f>
        <v>1.0000000000000001E-5</v>
      </c>
      <c r="M13" s="57"/>
      <c r="N13" s="92"/>
      <c r="O13" s="90"/>
      <c r="P13" s="92"/>
    </row>
    <row r="14" spans="2:31" x14ac:dyDescent="0.25">
      <c r="B14" s="40" t="s">
        <v>107</v>
      </c>
      <c r="C14" s="40" t="s">
        <v>64</v>
      </c>
      <c r="D14" s="40" t="s">
        <v>79</v>
      </c>
      <c r="I14" s="57"/>
      <c r="J14" s="59"/>
      <c r="K14" s="57"/>
      <c r="L14" s="57"/>
      <c r="M14" s="57"/>
      <c r="N14" s="92"/>
      <c r="O14" s="90"/>
      <c r="P14" s="92"/>
    </row>
    <row r="15" spans="2:31" x14ac:dyDescent="0.25">
      <c r="B15" s="40" t="s">
        <v>94</v>
      </c>
      <c r="C15">
        <v>7950</v>
      </c>
      <c r="D15">
        <f>C15*1000/1000000</f>
        <v>7.95</v>
      </c>
      <c r="H15" s="5">
        <v>4</v>
      </c>
      <c r="I15" s="19" t="s">
        <v>56</v>
      </c>
      <c r="J15" s="58"/>
      <c r="K15" s="57" t="s">
        <v>75</v>
      </c>
      <c r="L15" s="63">
        <f>(((0.34848*$C$10 - 0.009*$C$11*EXP(0.061*$C$12)) / ($C$12 + 273.15)))/1000</f>
        <v>1.0971981067979062E-3</v>
      </c>
      <c r="M15" s="57" t="s">
        <v>81</v>
      </c>
      <c r="N15" s="92">
        <f>L15*SQRT(((L16*$E$7)^2)+((L17*$D$5)^2)+((L18*$E$6)^2)+(L19^2))</f>
        <v>1.4091221310526325E-5</v>
      </c>
      <c r="O15" s="90">
        <f>$C$21*$C$18*$C$20*($C$19*($C$18-1/$D$15))</f>
        <v>0.87153431620784527</v>
      </c>
      <c r="P15" s="92" t="s">
        <v>115</v>
      </c>
    </row>
    <row r="16" spans="2:31" x14ac:dyDescent="0.25">
      <c r="B16" s="40" t="s">
        <v>75</v>
      </c>
      <c r="C16">
        <f>(((0.34848*$C$10 - 0.009*$C$11*EXP(0.061*$C$12)) / ($C$12 + 273.15)))/1000</f>
        <v>1.0971981067979062E-3</v>
      </c>
      <c r="I16" s="57"/>
      <c r="J16" s="59"/>
      <c r="K16" s="57" t="s">
        <v>76</v>
      </c>
      <c r="L16" s="57">
        <f>1*10^-5</f>
        <v>1.0000000000000001E-5</v>
      </c>
      <c r="M16" s="57"/>
      <c r="N16" s="92"/>
      <c r="O16" s="90"/>
      <c r="P16" s="92"/>
    </row>
    <row r="17" spans="2:16" x14ac:dyDescent="0.25">
      <c r="B17" s="40" t="s">
        <v>104</v>
      </c>
      <c r="C17">
        <f>'Pengambilan Data '!$F$89</f>
        <v>0.99821411845666996</v>
      </c>
      <c r="I17" s="57"/>
      <c r="J17" s="59"/>
      <c r="K17" s="57" t="s">
        <v>77</v>
      </c>
      <c r="L17" s="57">
        <f>-4*10^-3</f>
        <v>-4.0000000000000001E-3</v>
      </c>
      <c r="M17" s="57"/>
      <c r="N17" s="92"/>
      <c r="O17" s="90"/>
      <c r="P17" s="92"/>
    </row>
    <row r="18" spans="2:16" x14ac:dyDescent="0.25">
      <c r="B18" s="40" t="s">
        <v>105</v>
      </c>
      <c r="C18">
        <f>1/(C17-C16)</f>
        <v>1.0028914158322739</v>
      </c>
      <c r="I18" s="57"/>
      <c r="J18" s="59"/>
      <c r="K18" s="57" t="s">
        <v>78</v>
      </c>
      <c r="L18" s="57">
        <f>-9*10^-3</f>
        <v>-9.0000000000000011E-3</v>
      </c>
      <c r="M18" s="57"/>
      <c r="N18" s="92"/>
      <c r="O18" s="90"/>
      <c r="P18" s="92"/>
    </row>
    <row r="19" spans="2:16" x14ac:dyDescent="0.25">
      <c r="B19" s="40" t="s">
        <v>71</v>
      </c>
      <c r="C19">
        <f>1-(C16/D15)</f>
        <v>0.99986198765952228</v>
      </c>
      <c r="I19" s="57"/>
      <c r="J19" s="59"/>
      <c r="K19" s="57" t="s">
        <v>80</v>
      </c>
      <c r="L19" s="57">
        <f>2.4*10^-4</f>
        <v>2.4000000000000001E-4</v>
      </c>
      <c r="M19" s="57"/>
      <c r="N19" s="92"/>
      <c r="O19" s="90"/>
      <c r="P19" s="92"/>
    </row>
    <row r="20" spans="2:16" x14ac:dyDescent="0.25">
      <c r="B20" s="40" t="s">
        <v>106</v>
      </c>
      <c r="C20" s="48">
        <f>1-$L$23*('Pengambilan Data '!$E$89-20)</f>
        <v>1.0000003562155446</v>
      </c>
      <c r="I20" s="57"/>
      <c r="J20" s="59"/>
      <c r="K20" s="57"/>
      <c r="L20" s="57"/>
      <c r="M20" s="57"/>
      <c r="N20" s="92"/>
      <c r="O20" s="90"/>
      <c r="P20" s="92"/>
    </row>
    <row r="21" spans="2:16" x14ac:dyDescent="0.25">
      <c r="B21" s="40" t="s">
        <v>108</v>
      </c>
      <c r="C21">
        <f>'Pengambilan Data '!$D$89</f>
        <v>0.9909201361263833</v>
      </c>
      <c r="H21" s="5">
        <v>5</v>
      </c>
      <c r="I21" s="20" t="s">
        <v>57</v>
      </c>
      <c r="J21" s="58"/>
      <c r="K21" s="57" t="s">
        <v>82</v>
      </c>
      <c r="L21" s="57">
        <v>0.14000000000000001</v>
      </c>
      <c r="M21" s="57" t="s">
        <v>83</v>
      </c>
      <c r="N21" s="92">
        <f>L21</f>
        <v>0.14000000000000001</v>
      </c>
      <c r="O21" s="90">
        <f>$C$21*$C$18*$C$20*$C$16/($D$15^2)</f>
        <v>1.7252161485140357E-5</v>
      </c>
      <c r="P21" s="92" t="s">
        <v>115</v>
      </c>
    </row>
    <row r="22" spans="2:16" x14ac:dyDescent="0.25">
      <c r="I22" s="57"/>
      <c r="J22" s="59"/>
      <c r="K22" s="57"/>
      <c r="L22" s="57"/>
      <c r="M22" s="57"/>
      <c r="N22" s="92"/>
      <c r="O22" s="90"/>
      <c r="P22" s="92"/>
    </row>
    <row r="23" spans="2:16" x14ac:dyDescent="0.25">
      <c r="B23" s="167" t="str">
        <f>CONCATENATE('Isian '!$B$10*2/5," ml")</f>
        <v>4 ml</v>
      </c>
      <c r="C23" s="167"/>
      <c r="H23" s="5">
        <v>6</v>
      </c>
      <c r="I23" s="20" t="s">
        <v>58</v>
      </c>
      <c r="J23" s="58"/>
      <c r="K23" s="57" t="s">
        <v>84</v>
      </c>
      <c r="L23" s="57">
        <f>9.9*10^-6</f>
        <v>9.9000000000000001E-6</v>
      </c>
      <c r="M23" s="57" t="s">
        <v>85</v>
      </c>
      <c r="N23" s="92">
        <f>(L23/SQRT(3))*10/100</f>
        <v>5.7157676649772954E-7</v>
      </c>
      <c r="O23" s="90">
        <f>$C$21*$C$18*$C$19*(-'Pengambilan Data '!E89)</f>
        <v>-19.83721005357668</v>
      </c>
      <c r="P23" s="92" t="s">
        <v>116</v>
      </c>
    </row>
    <row r="24" spans="2:16" x14ac:dyDescent="0.25">
      <c r="B24" s="40" t="s">
        <v>107</v>
      </c>
      <c r="C24" s="40" t="s">
        <v>64</v>
      </c>
      <c r="D24" s="40" t="s">
        <v>79</v>
      </c>
      <c r="I24" s="57"/>
      <c r="J24" s="59"/>
      <c r="K24" s="57"/>
      <c r="L24" s="57"/>
      <c r="M24" s="57"/>
      <c r="N24" s="92"/>
      <c r="O24" s="90"/>
      <c r="P24" s="92"/>
    </row>
    <row r="25" spans="2:16" x14ac:dyDescent="0.25">
      <c r="B25" s="40" t="s">
        <v>94</v>
      </c>
      <c r="C25">
        <v>7950</v>
      </c>
      <c r="D25">
        <f>C25*1000/1000000</f>
        <v>7.95</v>
      </c>
      <c r="H25" s="5">
        <v>7</v>
      </c>
      <c r="I25" s="20" t="s">
        <v>59</v>
      </c>
      <c r="J25" s="58"/>
      <c r="K25" s="61" t="s">
        <v>90</v>
      </c>
      <c r="L25" s="61">
        <f>22/7</f>
        <v>3.1428571428571428</v>
      </c>
      <c r="M25" s="61" t="s">
        <v>117</v>
      </c>
      <c r="N25" s="92">
        <f>(((0.5*'Pengambilan Data '!C79)*(0.25*L25*'Pengambilan Data '!B79^2))/SQRT(3))*10^-3</f>
        <v>6.2333924234627542E-4</v>
      </c>
      <c r="O25" s="90">
        <v>1</v>
      </c>
      <c r="P25" s="92"/>
    </row>
    <row r="26" spans="2:16" x14ac:dyDescent="0.25">
      <c r="B26" s="40" t="s">
        <v>75</v>
      </c>
      <c r="C26">
        <f>(((0.34848*$C$10 - 0.009*$C$11*EXP(0.061*$C$12)) / ($C$12 + 273.15)))/1000</f>
        <v>1.0971981067979062E-3</v>
      </c>
      <c r="I26" s="57"/>
      <c r="J26" s="59"/>
      <c r="K26" s="57"/>
      <c r="L26" s="57"/>
      <c r="M26" s="57"/>
      <c r="N26" s="92"/>
      <c r="O26" s="90"/>
      <c r="P26" s="92"/>
    </row>
    <row r="27" spans="2:16" x14ac:dyDescent="0.25">
      <c r="B27" s="40" t="s">
        <v>104</v>
      </c>
      <c r="C27">
        <f>'Pengambilan Data '!$M$89</f>
        <v>0.99821411845666996</v>
      </c>
      <c r="H27" s="5">
        <v>8</v>
      </c>
      <c r="I27" s="55" t="s">
        <v>60</v>
      </c>
      <c r="J27" s="60"/>
      <c r="K27" s="62" t="s">
        <v>92</v>
      </c>
      <c r="L27" s="62" t="s">
        <v>92</v>
      </c>
      <c r="M27" s="62" t="s">
        <v>93</v>
      </c>
      <c r="N27" s="93">
        <f>'Pengambilan Data '!G90/SQRT(5)</f>
        <v>1.7555010783642498E-3</v>
      </c>
      <c r="O27" s="99">
        <v>1</v>
      </c>
      <c r="P27" s="93"/>
    </row>
    <row r="28" spans="2:16" x14ac:dyDescent="0.25">
      <c r="B28" s="40" t="s">
        <v>105</v>
      </c>
      <c r="C28">
        <f>1/(C27-C26)</f>
        <v>1.0028914158322739</v>
      </c>
    </row>
    <row r="29" spans="2:16" x14ac:dyDescent="0.25">
      <c r="B29" s="40" t="s">
        <v>71</v>
      </c>
      <c r="C29">
        <f>1-(C26/D25)</f>
        <v>0.99986198765952228</v>
      </c>
      <c r="I29" s="167" t="str">
        <f>CONCATENATE('Isian '!$B$10*2/5," ml")</f>
        <v>4 ml</v>
      </c>
      <c r="J29" s="167"/>
    </row>
    <row r="30" spans="2:16" x14ac:dyDescent="0.25">
      <c r="B30" s="40" t="s">
        <v>106</v>
      </c>
      <c r="C30" s="48">
        <f>1-$L$23*('Pengambilan Data '!L89-20)</f>
        <v>1.0000003562155446</v>
      </c>
      <c r="I30" s="56" t="s">
        <v>38</v>
      </c>
      <c r="J30" s="56" t="s">
        <v>61</v>
      </c>
      <c r="K30" s="56" t="s">
        <v>109</v>
      </c>
      <c r="L30" s="56" t="s">
        <v>187</v>
      </c>
      <c r="M30" s="94" t="s">
        <v>111</v>
      </c>
      <c r="N30" s="54" t="s">
        <v>112</v>
      </c>
      <c r="O30" s="95" t="s">
        <v>110</v>
      </c>
      <c r="P30" s="94" t="s">
        <v>39</v>
      </c>
    </row>
    <row r="31" spans="2:16" x14ac:dyDescent="0.25">
      <c r="B31" s="40" t="s">
        <v>108</v>
      </c>
      <c r="C31">
        <f>'Pengambilan Data '!K89</f>
        <v>0.9909201361263833</v>
      </c>
      <c r="H31" s="5">
        <v>1</v>
      </c>
      <c r="I31" s="57" t="s">
        <v>53</v>
      </c>
      <c r="J31" s="58"/>
      <c r="K31" s="57" t="s">
        <v>62</v>
      </c>
      <c r="L31" s="57">
        <f>SQRT(($D$3/2)^2 +((($C$3/2)/SQRT(3))^2 ))</f>
        <v>4.1101500378128939E-4</v>
      </c>
      <c r="M31" s="57" t="s">
        <v>63</v>
      </c>
      <c r="N31" s="92">
        <f>SQRT(L31^2 +L31^2+((L32/2)/SQRT(3))^2)</f>
        <v>5.8287362838497559E-4</v>
      </c>
      <c r="O31" s="96">
        <f>(1/('Pengambilan Data '!M89-C16))*$C$19*(1-L23*('Pengambilan Data '!L89-20))</f>
        <v>1.0027533616369373</v>
      </c>
      <c r="P31" s="92" t="s">
        <v>113</v>
      </c>
    </row>
    <row r="32" spans="2:16" x14ac:dyDescent="0.25">
      <c r="I32" s="57"/>
      <c r="J32" s="59"/>
      <c r="K32" s="57" t="s">
        <v>65</v>
      </c>
      <c r="L32" s="57">
        <v>1.4999999999999999E-4</v>
      </c>
      <c r="M32" s="57"/>
      <c r="N32" s="92"/>
      <c r="O32" s="91"/>
      <c r="P32" s="92"/>
    </row>
    <row r="33" spans="2:16" x14ac:dyDescent="0.25">
      <c r="B33" s="167" t="str">
        <f>CONCATENATE('Isian '!$B$10*3/5," ml")</f>
        <v>6 ml</v>
      </c>
      <c r="C33" s="167"/>
      <c r="I33" s="57"/>
      <c r="J33" s="59"/>
      <c r="K33" s="57"/>
      <c r="L33" s="57"/>
      <c r="M33" s="57"/>
      <c r="N33" s="92"/>
      <c r="O33" s="90"/>
      <c r="P33" s="92"/>
    </row>
    <row r="34" spans="2:16" x14ac:dyDescent="0.25">
      <c r="B34" s="40" t="s">
        <v>107</v>
      </c>
      <c r="C34" s="40" t="s">
        <v>64</v>
      </c>
      <c r="D34" s="40" t="s">
        <v>79</v>
      </c>
      <c r="H34" s="5">
        <v>2</v>
      </c>
      <c r="I34" s="16" t="s">
        <v>54</v>
      </c>
      <c r="J34" s="58"/>
      <c r="K34" s="57" t="s">
        <v>66</v>
      </c>
      <c r="L34" s="57">
        <v>0.06</v>
      </c>
      <c r="M34" s="57" t="s">
        <v>67</v>
      </c>
      <c r="N34" s="92">
        <f>SQRT(L35^2+L36^2)</f>
        <v>0.25367876736932621</v>
      </c>
      <c r="O34" s="97">
        <f>'Pengambilan Data '!K89*(1/('Pengambilan Data '!M89-C16))*$C$19*(-$L$51)</f>
        <v>-9.8371166222493256E-6</v>
      </c>
      <c r="P34" s="92" t="s">
        <v>114</v>
      </c>
    </row>
    <row r="35" spans="2:16" x14ac:dyDescent="0.25">
      <c r="B35" s="40" t="s">
        <v>94</v>
      </c>
      <c r="C35">
        <v>7950</v>
      </c>
      <c r="D35">
        <f>C35*1000/1000000</f>
        <v>7.95</v>
      </c>
      <c r="I35" s="57"/>
      <c r="J35" s="59"/>
      <c r="K35" s="57" t="s">
        <v>68</v>
      </c>
      <c r="L35" s="57">
        <f>SQRT(($D$4/2)^2 +(($C$4/2)/SQRT(3))^2 + (($L$6/2)/SQRT(3))^2 +('Pengambilan Data '!L90/SQRT(5))^2)</f>
        <v>0.2086134791442954</v>
      </c>
      <c r="M35" s="57"/>
      <c r="N35" s="92"/>
      <c r="O35" s="90"/>
      <c r="P35" s="92"/>
    </row>
    <row r="36" spans="2:16" x14ac:dyDescent="0.25">
      <c r="B36" s="40" t="s">
        <v>75</v>
      </c>
      <c r="C36">
        <f>(((0.34848*$C$10 - 0.009*$C$11*EXP(0.061*$C$12)) / ($C$12 + 273.15)))/1000</f>
        <v>1.0971981067979062E-3</v>
      </c>
      <c r="I36" s="57"/>
      <c r="J36" s="59"/>
      <c r="K36" s="57" t="s">
        <v>69</v>
      </c>
      <c r="L36" s="57">
        <f>(0.5/2)/SQRT(3)</f>
        <v>0.14433756729740646</v>
      </c>
      <c r="M36" s="57"/>
      <c r="N36" s="92"/>
      <c r="O36" s="90"/>
      <c r="P36" s="92"/>
    </row>
    <row r="37" spans="2:16" x14ac:dyDescent="0.25">
      <c r="B37" s="40" t="s">
        <v>104</v>
      </c>
      <c r="C37">
        <f>'Pengambilan Data '!T89</f>
        <v>0.99821411845666996</v>
      </c>
      <c r="I37" s="57"/>
      <c r="J37" s="59"/>
      <c r="K37" s="57"/>
      <c r="L37" s="57"/>
      <c r="M37" s="57"/>
      <c r="N37" s="92"/>
      <c r="O37" s="90"/>
      <c r="P37" s="92"/>
    </row>
    <row r="38" spans="2:16" x14ac:dyDescent="0.25">
      <c r="B38" s="40" t="s">
        <v>105</v>
      </c>
      <c r="C38">
        <f>1/(C37-C36)</f>
        <v>1.0028914158322739</v>
      </c>
      <c r="H38" s="5">
        <v>3</v>
      </c>
      <c r="I38" s="19" t="s">
        <v>55</v>
      </c>
      <c r="J38" s="58"/>
      <c r="K38" s="57" t="s">
        <v>70</v>
      </c>
      <c r="L38" s="57">
        <f>4.5 *10^-7</f>
        <v>4.4999999999999998E-7</v>
      </c>
      <c r="M38" s="57" t="s">
        <v>74</v>
      </c>
      <c r="N38" s="92">
        <f>SQRT(L38^2 +L40^2 +L41^2)</f>
        <v>4.4212719851993257E-5</v>
      </c>
      <c r="O38" s="98">
        <f>-$C$31*($C$28^2)*$C$29*$C$30</f>
        <v>-0.99652154861218034</v>
      </c>
      <c r="P38" s="92" t="s">
        <v>115</v>
      </c>
    </row>
    <row r="39" spans="2:16" x14ac:dyDescent="0.25">
      <c r="B39" s="40" t="s">
        <v>71</v>
      </c>
      <c r="C39">
        <f>1-(C36/D35)</f>
        <v>0.99986198765952228</v>
      </c>
      <c r="I39" s="57"/>
      <c r="J39" s="59"/>
      <c r="K39" s="57" t="s">
        <v>71</v>
      </c>
      <c r="L39" s="57">
        <f>(-0.1176*'Pengambilan Data '!L89^2 +15.846*'Pengambilan Data '!L89 - 62.677)*10^-6</f>
        <v>2.0680194334435272E-4</v>
      </c>
      <c r="M39" s="57"/>
      <c r="N39" s="92"/>
      <c r="O39" s="90"/>
      <c r="P39" s="92"/>
    </row>
    <row r="40" spans="2:16" x14ac:dyDescent="0.25">
      <c r="B40" s="40" t="s">
        <v>106</v>
      </c>
      <c r="C40" s="48">
        <f>1-$L$23*('Pengambilan Data '!S89-20)</f>
        <v>1.0000003562155446</v>
      </c>
      <c r="I40" s="57"/>
      <c r="J40" s="59"/>
      <c r="K40" s="57" t="s">
        <v>72</v>
      </c>
      <c r="L40" s="57">
        <f>L35*L39*'Pengambilan Data '!M89</f>
        <v>4.3064626977495563E-5</v>
      </c>
      <c r="M40" s="57"/>
      <c r="N40" s="92"/>
      <c r="O40" s="90"/>
      <c r="P40" s="92"/>
    </row>
    <row r="41" spans="2:16" x14ac:dyDescent="0.25">
      <c r="B41" s="40" t="s">
        <v>108</v>
      </c>
      <c r="C41">
        <f>'Pengambilan Data '!R89</f>
        <v>0.9909201361263833</v>
      </c>
      <c r="I41" s="57"/>
      <c r="J41" s="59"/>
      <c r="K41" s="57" t="s">
        <v>73</v>
      </c>
      <c r="L41" s="57">
        <f>1*10^-5</f>
        <v>1.0000000000000001E-5</v>
      </c>
      <c r="M41" s="57"/>
      <c r="N41" s="92"/>
      <c r="O41" s="90"/>
      <c r="P41" s="92"/>
    </row>
    <row r="42" spans="2:16" x14ac:dyDescent="0.25">
      <c r="I42" s="57"/>
      <c r="J42" s="59"/>
      <c r="K42" s="57"/>
      <c r="L42" s="57"/>
      <c r="M42" s="57"/>
      <c r="N42" s="92"/>
      <c r="O42" s="90"/>
      <c r="P42" s="92"/>
    </row>
    <row r="43" spans="2:16" x14ac:dyDescent="0.25">
      <c r="B43" s="168" t="str">
        <f>CONCATENATE('Isian '!$B$10*4/5," ml")</f>
        <v>8 ml</v>
      </c>
      <c r="C43" s="168"/>
      <c r="H43" s="5">
        <v>4</v>
      </c>
      <c r="I43" s="19" t="s">
        <v>56</v>
      </c>
      <c r="J43" s="58"/>
      <c r="K43" s="57" t="s">
        <v>75</v>
      </c>
      <c r="L43" s="63">
        <f>(((0.34848*$C$10 - 0.009*$C$11*EXP(0.061*$C$12)) / ($C$12 + 273.15)))/1000</f>
        <v>1.0971981067979062E-3</v>
      </c>
      <c r="M43" s="57" t="s">
        <v>81</v>
      </c>
      <c r="N43" s="92">
        <f>L43*SQRT(((L44*$E$7)^2)+((L45*$D$5)^2)+((L46*$E$6)^2)+(L47^2))</f>
        <v>1.4091221310526325E-5</v>
      </c>
      <c r="O43" s="90">
        <f>$C$31*$C$28*$C$30*($C$29*($C$28-1/$D$25))</f>
        <v>0.87153431620784527</v>
      </c>
      <c r="P43" s="92" t="s">
        <v>115</v>
      </c>
    </row>
    <row r="44" spans="2:16" x14ac:dyDescent="0.25">
      <c r="B44" s="40" t="s">
        <v>107</v>
      </c>
      <c r="C44" s="40" t="s">
        <v>64</v>
      </c>
      <c r="D44" s="40" t="s">
        <v>79</v>
      </c>
      <c r="I44" s="57"/>
      <c r="J44" s="59"/>
      <c r="K44" s="57" t="s">
        <v>76</v>
      </c>
      <c r="L44" s="57">
        <f>1*10^-5</f>
        <v>1.0000000000000001E-5</v>
      </c>
      <c r="M44" s="57"/>
      <c r="N44" s="92"/>
      <c r="O44" s="90"/>
      <c r="P44" s="92"/>
    </row>
    <row r="45" spans="2:16" x14ac:dyDescent="0.25">
      <c r="B45" s="40" t="s">
        <v>94</v>
      </c>
      <c r="C45">
        <v>7950</v>
      </c>
      <c r="D45">
        <f>C45*1000/1000000</f>
        <v>7.95</v>
      </c>
      <c r="I45" s="57"/>
      <c r="J45" s="59"/>
      <c r="K45" s="57" t="s">
        <v>77</v>
      </c>
      <c r="L45" s="57">
        <f>-4*10^-3</f>
        <v>-4.0000000000000001E-3</v>
      </c>
      <c r="M45" s="57"/>
      <c r="N45" s="92"/>
      <c r="O45" s="90"/>
      <c r="P45" s="92"/>
    </row>
    <row r="46" spans="2:16" x14ac:dyDescent="0.25">
      <c r="B46" s="40" t="s">
        <v>75</v>
      </c>
      <c r="C46">
        <f>(((0.34848*$C$10 - 0.009*$C$11*EXP(0.061*$C$12)) / ($C$12 + 273.15)))/1000</f>
        <v>1.0971981067979062E-3</v>
      </c>
      <c r="I46" s="57"/>
      <c r="J46" s="59"/>
      <c r="K46" s="57" t="s">
        <v>78</v>
      </c>
      <c r="L46" s="57">
        <f>-9*10^-3</f>
        <v>-9.0000000000000011E-3</v>
      </c>
      <c r="M46" s="57"/>
      <c r="N46" s="92"/>
      <c r="O46" s="90"/>
      <c r="P46" s="92"/>
    </row>
    <row r="47" spans="2:16" x14ac:dyDescent="0.25">
      <c r="B47" s="40" t="s">
        <v>104</v>
      </c>
      <c r="C47">
        <f>'Pengambilan Data '!AA89</f>
        <v>0.99821411845666996</v>
      </c>
      <c r="I47" s="57"/>
      <c r="J47" s="59"/>
      <c r="K47" s="57" t="s">
        <v>80</v>
      </c>
      <c r="L47" s="57">
        <f>2.4*10^-4</f>
        <v>2.4000000000000001E-4</v>
      </c>
      <c r="M47" s="57"/>
      <c r="N47" s="92"/>
      <c r="O47" s="90"/>
      <c r="P47" s="92"/>
    </row>
    <row r="48" spans="2:16" x14ac:dyDescent="0.25">
      <c r="B48" s="40" t="s">
        <v>105</v>
      </c>
      <c r="C48">
        <f>1/(C47-C46)</f>
        <v>1.0028914158322739</v>
      </c>
      <c r="I48" s="57"/>
      <c r="J48" s="59"/>
      <c r="K48" s="57"/>
      <c r="L48" s="57"/>
      <c r="M48" s="57"/>
      <c r="N48" s="92"/>
      <c r="O48" s="90"/>
      <c r="P48" s="92"/>
    </row>
    <row r="49" spans="2:16" x14ac:dyDescent="0.25">
      <c r="B49" s="40" t="s">
        <v>71</v>
      </c>
      <c r="C49">
        <f>1-(C46/D45)</f>
        <v>0.99986198765952228</v>
      </c>
      <c r="H49" s="5">
        <v>5</v>
      </c>
      <c r="I49" s="20" t="s">
        <v>57</v>
      </c>
      <c r="J49" s="58"/>
      <c r="K49" s="57" t="s">
        <v>82</v>
      </c>
      <c r="L49" s="57">
        <v>0.14000000000000001</v>
      </c>
      <c r="M49" s="57" t="s">
        <v>83</v>
      </c>
      <c r="N49" s="92">
        <f>L49</f>
        <v>0.14000000000000001</v>
      </c>
      <c r="O49" s="90">
        <f>$C$31*$C$28*$C$30*$C$26/($D$25^2)</f>
        <v>1.7252161485140357E-5</v>
      </c>
      <c r="P49" s="92" t="s">
        <v>115</v>
      </c>
    </row>
    <row r="50" spans="2:16" x14ac:dyDescent="0.25">
      <c r="B50" s="40" t="s">
        <v>106</v>
      </c>
      <c r="C50" s="48">
        <f>1-$L$23*('Pengambilan Data '!Z89-20)</f>
        <v>1.0000003562155446</v>
      </c>
      <c r="I50" s="57"/>
      <c r="J50" s="59"/>
      <c r="K50" s="57"/>
      <c r="L50" s="57"/>
      <c r="M50" s="57"/>
      <c r="N50" s="92"/>
      <c r="O50" s="90"/>
      <c r="P50" s="92"/>
    </row>
    <row r="51" spans="2:16" x14ac:dyDescent="0.25">
      <c r="B51" s="40" t="s">
        <v>108</v>
      </c>
      <c r="C51">
        <f>'Pengambilan Data '!Y89</f>
        <v>0.9909201361263833</v>
      </c>
      <c r="H51" s="5">
        <v>6</v>
      </c>
      <c r="I51" s="20" t="s">
        <v>58</v>
      </c>
      <c r="J51" s="58"/>
      <c r="K51" s="57" t="s">
        <v>84</v>
      </c>
      <c r="L51" s="57">
        <f>9.9*10^-6</f>
        <v>9.9000000000000001E-6</v>
      </c>
      <c r="M51" s="57" t="s">
        <v>85</v>
      </c>
      <c r="N51" s="92">
        <f>(L51/SQRT(3))*10/100</f>
        <v>5.7157676649772954E-7</v>
      </c>
      <c r="O51" s="90">
        <f>$C$31*$C$28*$C$29*(-'Pengambilan Data '!L89)</f>
        <v>-19.83721005357668</v>
      </c>
      <c r="P51" s="92" t="s">
        <v>116</v>
      </c>
    </row>
    <row r="52" spans="2:16" x14ac:dyDescent="0.25">
      <c r="I52" s="57"/>
      <c r="J52" s="59"/>
      <c r="K52" s="57"/>
      <c r="L52" s="57"/>
      <c r="M52" s="57"/>
      <c r="N52" s="92"/>
      <c r="O52" s="90"/>
      <c r="P52" s="92"/>
    </row>
    <row r="53" spans="2:16" x14ac:dyDescent="0.25">
      <c r="B53" s="167" t="str">
        <f>CONCATENATE('Isian '!$B$10*5/5," ml")</f>
        <v>10 ml</v>
      </c>
      <c r="C53" s="167"/>
      <c r="H53" s="5">
        <v>7</v>
      </c>
      <c r="I53" s="20" t="s">
        <v>59</v>
      </c>
      <c r="J53" s="58"/>
      <c r="K53" s="61" t="s">
        <v>90</v>
      </c>
      <c r="L53" s="61">
        <f>22/7</f>
        <v>3.1428571428571428</v>
      </c>
      <c r="M53" s="61" t="s">
        <v>117</v>
      </c>
      <c r="N53" s="92">
        <f>(((0.5*'Pengambilan Data '!F79)*(0.25*L53*'Pengambilan Data '!E79^2))/SQRT(3))*10^-3</f>
        <v>6.2333924234627542E-4</v>
      </c>
      <c r="O53" s="90">
        <v>1</v>
      </c>
      <c r="P53" s="92"/>
    </row>
    <row r="54" spans="2:16" x14ac:dyDescent="0.25">
      <c r="B54" s="40" t="s">
        <v>107</v>
      </c>
      <c r="C54" s="40" t="s">
        <v>64</v>
      </c>
      <c r="D54" s="40" t="s">
        <v>79</v>
      </c>
      <c r="I54" s="57"/>
      <c r="J54" s="59"/>
      <c r="K54" s="57"/>
      <c r="L54" s="57"/>
      <c r="M54" s="57"/>
      <c r="N54" s="92"/>
      <c r="O54" s="90"/>
      <c r="P54" s="92"/>
    </row>
    <row r="55" spans="2:16" x14ac:dyDescent="0.25">
      <c r="B55" s="40" t="s">
        <v>94</v>
      </c>
      <c r="C55">
        <v>7950</v>
      </c>
      <c r="D55">
        <f>C55*1000/1000000</f>
        <v>7.95</v>
      </c>
      <c r="H55" s="5">
        <v>8</v>
      </c>
      <c r="I55" s="55" t="s">
        <v>60</v>
      </c>
      <c r="J55" s="60"/>
      <c r="K55" s="62" t="s">
        <v>92</v>
      </c>
      <c r="L55" s="62" t="s">
        <v>92</v>
      </c>
      <c r="M55" s="62" t="s">
        <v>93</v>
      </c>
      <c r="N55" s="93">
        <f>'Pengambilan Data '!N90/SQRT(5)</f>
        <v>1.7555010783642498E-3</v>
      </c>
      <c r="O55" s="99">
        <v>1</v>
      </c>
      <c r="P55" s="93"/>
    </row>
    <row r="56" spans="2:16" x14ac:dyDescent="0.25">
      <c r="B56" s="40" t="s">
        <v>75</v>
      </c>
      <c r="C56">
        <f>(((0.34848*$C$10 - 0.009*$C$11*EXP(0.061*$C$12)) / ($C$12 + 273.15)))/1000</f>
        <v>1.0971981067979062E-3</v>
      </c>
    </row>
    <row r="57" spans="2:16" x14ac:dyDescent="0.25">
      <c r="B57" s="40" t="s">
        <v>104</v>
      </c>
      <c r="C57">
        <f>'Pengambilan Data '!AH89</f>
        <v>0.99821411845666996</v>
      </c>
      <c r="I57" s="167" t="str">
        <f>CONCATENATE('Isian '!$B$10*3/5," ml")</f>
        <v>6 ml</v>
      </c>
      <c r="J57" s="167"/>
    </row>
    <row r="58" spans="2:16" x14ac:dyDescent="0.25">
      <c r="B58" s="40" t="s">
        <v>105</v>
      </c>
      <c r="C58">
        <f>1/(C57-C56)</f>
        <v>1.0028914158322739</v>
      </c>
      <c r="I58" s="56" t="s">
        <v>38</v>
      </c>
      <c r="J58" s="56" t="s">
        <v>61</v>
      </c>
      <c r="K58" s="56" t="s">
        <v>109</v>
      </c>
      <c r="L58" s="56" t="s">
        <v>187</v>
      </c>
      <c r="M58" s="94" t="s">
        <v>111</v>
      </c>
      <c r="N58" s="54" t="s">
        <v>112</v>
      </c>
      <c r="O58" s="95" t="s">
        <v>110</v>
      </c>
      <c r="P58" s="94" t="s">
        <v>39</v>
      </c>
    </row>
    <row r="59" spans="2:16" x14ac:dyDescent="0.25">
      <c r="B59" s="40" t="s">
        <v>71</v>
      </c>
      <c r="C59">
        <f>1-(C56/D55)</f>
        <v>0.99986198765952228</v>
      </c>
      <c r="H59" s="5">
        <v>1</v>
      </c>
      <c r="I59" s="57" t="s">
        <v>53</v>
      </c>
      <c r="J59" s="58"/>
      <c r="K59" s="57" t="s">
        <v>62</v>
      </c>
      <c r="L59" s="57">
        <f>SQRT(($D$3/2)^2 +((($C$3/2)/SQRT(3))^2 ))</f>
        <v>4.1101500378128939E-4</v>
      </c>
      <c r="M59" s="57" t="s">
        <v>63</v>
      </c>
      <c r="N59" s="92">
        <f>SQRT(L59^2 +L59^2+((L60/2)/SQRT(3))^2)</f>
        <v>5.8287362838497559E-4</v>
      </c>
      <c r="O59" s="96">
        <f>(1/('Pengambilan Data '!T89-C16))*$C$19*(1-L23*('Pengambilan Data '!S89-20))</f>
        <v>1.0027533616369373</v>
      </c>
      <c r="P59" s="92" t="s">
        <v>113</v>
      </c>
    </row>
    <row r="60" spans="2:16" x14ac:dyDescent="0.25">
      <c r="B60" s="40" t="s">
        <v>106</v>
      </c>
      <c r="C60" s="48">
        <f>1-$L$135*('Pengambilan Data '!AG89-20)</f>
        <v>1.0000003562155446</v>
      </c>
      <c r="I60" s="57"/>
      <c r="J60" s="59"/>
      <c r="K60" s="57" t="s">
        <v>65</v>
      </c>
      <c r="L60" s="57">
        <v>1.4999999999999999E-4</v>
      </c>
      <c r="M60" s="57"/>
      <c r="N60" s="92"/>
      <c r="O60" s="91"/>
      <c r="P60" s="92"/>
    </row>
    <row r="61" spans="2:16" x14ac:dyDescent="0.25">
      <c r="B61" s="40" t="s">
        <v>108</v>
      </c>
      <c r="C61">
        <f>'Pengambilan Data '!AF89</f>
        <v>0.9909201361263833</v>
      </c>
      <c r="I61" s="57"/>
      <c r="J61" s="59"/>
      <c r="K61" s="57"/>
      <c r="L61" s="57"/>
      <c r="M61" s="57"/>
      <c r="N61" s="92"/>
      <c r="O61" s="90"/>
      <c r="P61" s="92"/>
    </row>
    <row r="62" spans="2:16" x14ac:dyDescent="0.25">
      <c r="H62" s="5">
        <v>2</v>
      </c>
      <c r="I62" s="16" t="s">
        <v>54</v>
      </c>
      <c r="J62" s="58"/>
      <c r="K62" s="57" t="s">
        <v>66</v>
      </c>
      <c r="L62" s="57">
        <v>0.06</v>
      </c>
      <c r="M62" s="57" t="s">
        <v>67</v>
      </c>
      <c r="N62" s="92">
        <f>SQRT(L63^2+L64^2)</f>
        <v>0.25367876736932621</v>
      </c>
      <c r="O62" s="97">
        <f>'Pengambilan Data '!R89*(1/('Pengambilan Data '!T89-C16))*$C$19*(-$L$79)</f>
        <v>-9.8371166222493256E-6</v>
      </c>
      <c r="P62" s="92" t="s">
        <v>114</v>
      </c>
    </row>
    <row r="63" spans="2:16" x14ac:dyDescent="0.25">
      <c r="I63" s="57"/>
      <c r="J63" s="59"/>
      <c r="K63" s="57" t="s">
        <v>68</v>
      </c>
      <c r="L63" s="57">
        <f>SQRT(($D$4/2)^2 +(($C$4/2)/SQRT(3))^2 + (($L$6/2)/SQRT(3))^2 +('Pengambilan Data '!S90/SQRT(5))^2)</f>
        <v>0.2086134791442954</v>
      </c>
      <c r="M63" s="57"/>
      <c r="N63" s="92"/>
      <c r="O63" s="90"/>
      <c r="P63" s="92"/>
    </row>
    <row r="64" spans="2:16" x14ac:dyDescent="0.25">
      <c r="I64" s="57"/>
      <c r="J64" s="59"/>
      <c r="K64" s="57" t="s">
        <v>69</v>
      </c>
      <c r="L64" s="57">
        <f>(0.5/2)/SQRT(3)</f>
        <v>0.14433756729740646</v>
      </c>
      <c r="M64" s="57"/>
      <c r="N64" s="92"/>
      <c r="O64" s="90"/>
      <c r="P64" s="92"/>
    </row>
    <row r="65" spans="8:16" x14ac:dyDescent="0.25">
      <c r="I65" s="57"/>
      <c r="J65" s="59"/>
      <c r="K65" s="57"/>
      <c r="L65" s="57"/>
      <c r="M65" s="57"/>
      <c r="N65" s="92"/>
      <c r="O65" s="90"/>
      <c r="P65" s="92"/>
    </row>
    <row r="66" spans="8:16" x14ac:dyDescent="0.25">
      <c r="H66" s="5">
        <v>3</v>
      </c>
      <c r="I66" s="19" t="s">
        <v>55</v>
      </c>
      <c r="J66" s="58"/>
      <c r="K66" s="57" t="s">
        <v>70</v>
      </c>
      <c r="L66" s="57">
        <f>4.5 *10^-7</f>
        <v>4.4999999999999998E-7</v>
      </c>
      <c r="M66" s="57" t="s">
        <v>74</v>
      </c>
      <c r="N66" s="92">
        <f>SQRT(L66^2 +L68^2 +L69^2)</f>
        <v>4.4212719851993257E-5</v>
      </c>
      <c r="O66" s="98">
        <f>-$C$41*($C$38^2)*$C$39*$C$40</f>
        <v>-0.99652154861218034</v>
      </c>
      <c r="P66" s="92" t="s">
        <v>115</v>
      </c>
    </row>
    <row r="67" spans="8:16" x14ac:dyDescent="0.25">
      <c r="I67" s="57"/>
      <c r="J67" s="59"/>
      <c r="K67" s="57" t="s">
        <v>71</v>
      </c>
      <c r="L67" s="57">
        <f>(-0.1176*'Pengambilan Data '!S89^2 +15.846*'Pengambilan Data '!S89 - 62.677)*10^-6</f>
        <v>2.0680194334435272E-4</v>
      </c>
      <c r="M67" s="57"/>
      <c r="N67" s="92"/>
      <c r="O67" s="90"/>
      <c r="P67" s="92"/>
    </row>
    <row r="68" spans="8:16" x14ac:dyDescent="0.25">
      <c r="I68" s="57"/>
      <c r="J68" s="59"/>
      <c r="K68" s="57" t="s">
        <v>72</v>
      </c>
      <c r="L68" s="57">
        <f>L63*L67*'Pengambilan Data '!T89</f>
        <v>4.3064626977495563E-5</v>
      </c>
      <c r="M68" s="57"/>
      <c r="N68" s="92"/>
      <c r="O68" s="90"/>
      <c r="P68" s="92"/>
    </row>
    <row r="69" spans="8:16" x14ac:dyDescent="0.25">
      <c r="I69" s="57"/>
      <c r="J69" s="59"/>
      <c r="K69" s="57" t="s">
        <v>73</v>
      </c>
      <c r="L69" s="57">
        <f>1*10^-5</f>
        <v>1.0000000000000001E-5</v>
      </c>
      <c r="M69" s="57"/>
      <c r="N69" s="92"/>
      <c r="O69" s="90"/>
      <c r="P69" s="92"/>
    </row>
    <row r="70" spans="8:16" x14ac:dyDescent="0.25">
      <c r="I70" s="57"/>
      <c r="J70" s="59"/>
      <c r="K70" s="57"/>
      <c r="L70" s="57"/>
      <c r="M70" s="57"/>
      <c r="N70" s="92"/>
      <c r="O70" s="90"/>
      <c r="P70" s="92"/>
    </row>
    <row r="71" spans="8:16" x14ac:dyDescent="0.25">
      <c r="H71" s="5">
        <v>4</v>
      </c>
      <c r="I71" s="19" t="s">
        <v>56</v>
      </c>
      <c r="J71" s="58"/>
      <c r="K71" s="57" t="s">
        <v>75</v>
      </c>
      <c r="L71" s="63">
        <f>(((0.34848*$C$10 - 0.009*$C$11*EXP(0.061*$C$12)) / ($C$12 + 273.15)))/1000</f>
        <v>1.0971981067979062E-3</v>
      </c>
      <c r="M71" s="57" t="s">
        <v>81</v>
      </c>
      <c r="N71" s="92">
        <f>L71*SQRT(((L72*$E$7)^2)+((L73*$D$5)^2)+((L74*$E$6)^2)+(L75^2))</f>
        <v>1.4091221310526325E-5</v>
      </c>
      <c r="O71" s="90">
        <f>$C$41*$C$38*$C$40*($C$39*($C$38-1/$D$35))</f>
        <v>0.87153431620784527</v>
      </c>
      <c r="P71" s="92" t="s">
        <v>115</v>
      </c>
    </row>
    <row r="72" spans="8:16" x14ac:dyDescent="0.25">
      <c r="I72" s="57"/>
      <c r="J72" s="59"/>
      <c r="K72" s="57" t="s">
        <v>76</v>
      </c>
      <c r="L72" s="57">
        <f>1*10^-5</f>
        <v>1.0000000000000001E-5</v>
      </c>
      <c r="M72" s="57"/>
      <c r="N72" s="92"/>
      <c r="O72" s="90"/>
      <c r="P72" s="92"/>
    </row>
    <row r="73" spans="8:16" x14ac:dyDescent="0.25">
      <c r="I73" s="57"/>
      <c r="J73" s="59"/>
      <c r="K73" s="57" t="s">
        <v>77</v>
      </c>
      <c r="L73" s="57">
        <f>-4*10^-3</f>
        <v>-4.0000000000000001E-3</v>
      </c>
      <c r="M73" s="57"/>
      <c r="N73" s="92"/>
      <c r="O73" s="90"/>
      <c r="P73" s="92"/>
    </row>
    <row r="74" spans="8:16" x14ac:dyDescent="0.25">
      <c r="I74" s="57"/>
      <c r="J74" s="59"/>
      <c r="K74" s="57" t="s">
        <v>78</v>
      </c>
      <c r="L74" s="57">
        <f>-9*10^-3</f>
        <v>-9.0000000000000011E-3</v>
      </c>
      <c r="M74" s="57"/>
      <c r="N74" s="92"/>
      <c r="O74" s="90"/>
      <c r="P74" s="92"/>
    </row>
    <row r="75" spans="8:16" x14ac:dyDescent="0.25">
      <c r="I75" s="57"/>
      <c r="J75" s="59"/>
      <c r="K75" s="57" t="s">
        <v>80</v>
      </c>
      <c r="L75" s="57">
        <f>2.4*10^-4</f>
        <v>2.4000000000000001E-4</v>
      </c>
      <c r="M75" s="57"/>
      <c r="N75" s="92"/>
      <c r="O75" s="90"/>
      <c r="P75" s="92"/>
    </row>
    <row r="76" spans="8:16" x14ac:dyDescent="0.25">
      <c r="I76" s="57"/>
      <c r="J76" s="59"/>
      <c r="K76" s="57"/>
      <c r="L76" s="57"/>
      <c r="M76" s="57"/>
      <c r="N76" s="92"/>
      <c r="O76" s="90"/>
      <c r="P76" s="92"/>
    </row>
    <row r="77" spans="8:16" x14ac:dyDescent="0.25">
      <c r="H77" s="5">
        <v>5</v>
      </c>
      <c r="I77" s="20" t="s">
        <v>57</v>
      </c>
      <c r="J77" s="58"/>
      <c r="K77" s="57" t="s">
        <v>82</v>
      </c>
      <c r="L77" s="57">
        <v>0.14000000000000001</v>
      </c>
      <c r="M77" s="57" t="s">
        <v>83</v>
      </c>
      <c r="N77" s="92">
        <f>L77</f>
        <v>0.14000000000000001</v>
      </c>
      <c r="O77" s="90">
        <f>$C$41*$C$38*$C$40*$C$36/($D$35^2)</f>
        <v>1.7252161485140357E-5</v>
      </c>
      <c r="P77" s="92" t="s">
        <v>115</v>
      </c>
    </row>
    <row r="78" spans="8:16" x14ac:dyDescent="0.25">
      <c r="I78" s="57"/>
      <c r="J78" s="59"/>
      <c r="K78" s="57"/>
      <c r="L78" s="57"/>
      <c r="M78" s="57"/>
      <c r="N78" s="92"/>
      <c r="O78" s="90"/>
      <c r="P78" s="92"/>
    </row>
    <row r="79" spans="8:16" x14ac:dyDescent="0.25">
      <c r="H79" s="5">
        <v>6</v>
      </c>
      <c r="I79" s="20" t="s">
        <v>58</v>
      </c>
      <c r="J79" s="58"/>
      <c r="K79" s="57" t="s">
        <v>84</v>
      </c>
      <c r="L79" s="57">
        <f>9.9*10^-6</f>
        <v>9.9000000000000001E-6</v>
      </c>
      <c r="M79" s="57" t="s">
        <v>85</v>
      </c>
      <c r="N79" s="92">
        <f>(L79/SQRT(3))*10/100</f>
        <v>5.7157676649772954E-7</v>
      </c>
      <c r="O79" s="90">
        <f>$C$41*$C$38*$C$39*(-'Pengambilan Data '!S89)</f>
        <v>-19.83721005357668</v>
      </c>
      <c r="P79" s="92" t="s">
        <v>116</v>
      </c>
    </row>
    <row r="80" spans="8:16" x14ac:dyDescent="0.25">
      <c r="I80" s="57"/>
      <c r="J80" s="59"/>
      <c r="K80" s="57"/>
      <c r="L80" s="57"/>
      <c r="M80" s="57"/>
      <c r="N80" s="92"/>
      <c r="O80" s="90"/>
      <c r="P80" s="92"/>
    </row>
    <row r="81" spans="8:16" x14ac:dyDescent="0.25">
      <c r="H81" s="5">
        <v>7</v>
      </c>
      <c r="I81" s="20" t="s">
        <v>59</v>
      </c>
      <c r="J81" s="58"/>
      <c r="K81" s="61" t="s">
        <v>90</v>
      </c>
      <c r="L81" s="61">
        <f>22/7</f>
        <v>3.1428571428571428</v>
      </c>
      <c r="M81" s="61" t="s">
        <v>117</v>
      </c>
      <c r="N81" s="92">
        <f>(((0.5*'Pengambilan Data '!I79)*(0.25*L81*'Pengambilan Data '!H79^2))/SQRT(3))*10^-3</f>
        <v>6.2333924234627542E-4</v>
      </c>
      <c r="O81" s="90">
        <v>1</v>
      </c>
      <c r="P81" s="92"/>
    </row>
    <row r="82" spans="8:16" x14ac:dyDescent="0.25">
      <c r="I82" s="57"/>
      <c r="J82" s="59"/>
      <c r="K82" s="57"/>
      <c r="L82" s="57"/>
      <c r="M82" s="57"/>
      <c r="N82" s="92"/>
      <c r="O82" s="90"/>
      <c r="P82" s="92"/>
    </row>
    <row r="83" spans="8:16" x14ac:dyDescent="0.25">
      <c r="H83" s="5">
        <v>8</v>
      </c>
      <c r="I83" s="55" t="s">
        <v>60</v>
      </c>
      <c r="J83" s="60"/>
      <c r="K83" s="62" t="s">
        <v>92</v>
      </c>
      <c r="L83" s="62" t="s">
        <v>92</v>
      </c>
      <c r="M83" s="62" t="s">
        <v>93</v>
      </c>
      <c r="N83" s="93">
        <f>'Pengambilan Data '!U90/SQRT(5)</f>
        <v>1.7555010783642498E-3</v>
      </c>
      <c r="O83" s="99">
        <v>1</v>
      </c>
      <c r="P83" s="93"/>
    </row>
    <row r="85" spans="8:16" x14ac:dyDescent="0.25">
      <c r="I85" s="168" t="str">
        <f>CONCATENATE('Isian '!$B$10*4/5," ml")</f>
        <v>8 ml</v>
      </c>
      <c r="J85" s="168"/>
    </row>
    <row r="86" spans="8:16" x14ac:dyDescent="0.25">
      <c r="I86" s="56" t="s">
        <v>38</v>
      </c>
      <c r="J86" s="56" t="s">
        <v>61</v>
      </c>
      <c r="K86" s="56" t="s">
        <v>109</v>
      </c>
      <c r="L86" s="56" t="s">
        <v>187</v>
      </c>
      <c r="M86" s="94" t="s">
        <v>111</v>
      </c>
      <c r="N86" s="54" t="s">
        <v>112</v>
      </c>
      <c r="O86" s="95" t="s">
        <v>110</v>
      </c>
      <c r="P86" s="94" t="s">
        <v>39</v>
      </c>
    </row>
    <row r="87" spans="8:16" x14ac:dyDescent="0.25">
      <c r="H87" s="5">
        <v>1</v>
      </c>
      <c r="I87" s="57" t="s">
        <v>53</v>
      </c>
      <c r="J87" s="58"/>
      <c r="K87" s="57" t="s">
        <v>62</v>
      </c>
      <c r="L87" s="57">
        <f>SQRT(($D$3/2)^2 +((($C$3/2)/SQRT(3))^2 ))</f>
        <v>4.1101500378128939E-4</v>
      </c>
      <c r="M87" s="57" t="s">
        <v>63</v>
      </c>
      <c r="N87" s="92">
        <f>SQRT(L87^2 +L87^2+((L88/2)/SQRT(3))^2)</f>
        <v>5.8287362838497559E-4</v>
      </c>
      <c r="O87" s="96">
        <f>(1/('Pengambilan Data '!AA89-C16))*$C$19*(1-L23*('Pengambilan Data '!Z89-20))</f>
        <v>1.0027533616369373</v>
      </c>
      <c r="P87" s="92" t="s">
        <v>113</v>
      </c>
    </row>
    <row r="88" spans="8:16" x14ac:dyDescent="0.25">
      <c r="I88" s="57"/>
      <c r="J88" s="59"/>
      <c r="K88" s="57" t="s">
        <v>65</v>
      </c>
      <c r="L88" s="57">
        <v>1.4999999999999999E-4</v>
      </c>
      <c r="M88" s="57"/>
      <c r="N88" s="92"/>
      <c r="O88" s="91"/>
      <c r="P88" s="92"/>
    </row>
    <row r="89" spans="8:16" x14ac:dyDescent="0.25">
      <c r="I89" s="57"/>
      <c r="J89" s="59"/>
      <c r="K89" s="57"/>
      <c r="L89" s="57"/>
      <c r="M89" s="57"/>
      <c r="N89" s="92"/>
      <c r="O89" s="90"/>
      <c r="P89" s="92"/>
    </row>
    <row r="90" spans="8:16" x14ac:dyDescent="0.25">
      <c r="H90" s="5">
        <v>2</v>
      </c>
      <c r="I90" s="16" t="s">
        <v>54</v>
      </c>
      <c r="J90" s="58"/>
      <c r="K90" s="57" t="s">
        <v>66</v>
      </c>
      <c r="L90" s="57">
        <v>0.06</v>
      </c>
      <c r="M90" s="57" t="s">
        <v>67</v>
      </c>
      <c r="N90" s="92">
        <f>SQRT(L91^2+L92^2)</f>
        <v>0.25367876736932621</v>
      </c>
      <c r="O90" s="97">
        <f>'Pengambilan Data '!Y89*(1/('Pengambilan Data '!AA89-C16))*$C$19*(-$L$79)</f>
        <v>-9.8371166222493256E-6</v>
      </c>
      <c r="P90" s="92" t="s">
        <v>114</v>
      </c>
    </row>
    <row r="91" spans="8:16" x14ac:dyDescent="0.25">
      <c r="I91" s="57"/>
      <c r="J91" s="59"/>
      <c r="K91" s="57" t="s">
        <v>68</v>
      </c>
      <c r="L91" s="57">
        <f>SQRT(($D$4/2)^2 +(($C$4/2)/SQRT(3))^2 + (($L$6/2)/SQRT(3))^2 +('Pengambilan Data '!Z90/SQRT(5))^2)</f>
        <v>0.2086134791442954</v>
      </c>
      <c r="M91" s="57"/>
      <c r="N91" s="92"/>
      <c r="O91" s="90"/>
      <c r="P91" s="92"/>
    </row>
    <row r="92" spans="8:16" x14ac:dyDescent="0.25">
      <c r="I92" s="57"/>
      <c r="J92" s="59"/>
      <c r="K92" s="57" t="s">
        <v>69</v>
      </c>
      <c r="L92" s="57">
        <f>(0.5/2)/SQRT(3)</f>
        <v>0.14433756729740646</v>
      </c>
      <c r="M92" s="57"/>
      <c r="N92" s="92"/>
      <c r="O92" s="90"/>
      <c r="P92" s="92"/>
    </row>
    <row r="93" spans="8:16" x14ac:dyDescent="0.25">
      <c r="I93" s="57"/>
      <c r="J93" s="59"/>
      <c r="K93" s="57"/>
      <c r="L93" s="57"/>
      <c r="M93" s="57"/>
      <c r="N93" s="92"/>
      <c r="O93" s="90"/>
      <c r="P93" s="92"/>
    </row>
    <row r="94" spans="8:16" x14ac:dyDescent="0.25">
      <c r="H94" s="5">
        <v>3</v>
      </c>
      <c r="I94" s="19" t="s">
        <v>55</v>
      </c>
      <c r="J94" s="58"/>
      <c r="K94" s="57" t="s">
        <v>70</v>
      </c>
      <c r="L94" s="57">
        <f>4.5 *10^-7</f>
        <v>4.4999999999999998E-7</v>
      </c>
      <c r="M94" s="57" t="s">
        <v>74</v>
      </c>
      <c r="N94" s="92">
        <f>SQRT(L94^2 +L96^2 +L97^2)</f>
        <v>4.4212719851993257E-5</v>
      </c>
      <c r="O94" s="98">
        <f>-$C$51*($C$48^2)*$C$49*$C$50</f>
        <v>-0.99652154861218034</v>
      </c>
      <c r="P94" s="92" t="s">
        <v>115</v>
      </c>
    </row>
    <row r="95" spans="8:16" x14ac:dyDescent="0.25">
      <c r="I95" s="57"/>
      <c r="J95" s="59"/>
      <c r="K95" s="57" t="s">
        <v>71</v>
      </c>
      <c r="L95" s="57">
        <f>(-0.1176*'Pengambilan Data '!Z89^2 +15.846*'Pengambilan Data '!Z89- 62.677)*10^-6</f>
        <v>2.0680194334435272E-4</v>
      </c>
      <c r="M95" s="57"/>
      <c r="N95" s="92"/>
      <c r="O95" s="90"/>
      <c r="P95" s="92"/>
    </row>
    <row r="96" spans="8:16" x14ac:dyDescent="0.25">
      <c r="I96" s="57"/>
      <c r="J96" s="59"/>
      <c r="K96" s="57" t="s">
        <v>72</v>
      </c>
      <c r="L96" s="57">
        <f>L91*L95*'Pengambilan Data '!AA89</f>
        <v>4.3064626977495563E-5</v>
      </c>
      <c r="M96" s="57"/>
      <c r="N96" s="92"/>
      <c r="O96" s="90"/>
      <c r="P96" s="92"/>
    </row>
    <row r="97" spans="8:16" x14ac:dyDescent="0.25">
      <c r="I97" s="57"/>
      <c r="J97" s="59"/>
      <c r="K97" s="57" t="s">
        <v>73</v>
      </c>
      <c r="L97" s="57">
        <f>1*10^-5</f>
        <v>1.0000000000000001E-5</v>
      </c>
      <c r="M97" s="57"/>
      <c r="N97" s="92"/>
      <c r="O97" s="90"/>
      <c r="P97" s="92"/>
    </row>
    <row r="98" spans="8:16" x14ac:dyDescent="0.25">
      <c r="I98" s="57"/>
      <c r="J98" s="59"/>
      <c r="K98" s="57"/>
      <c r="L98" s="57"/>
      <c r="M98" s="57"/>
      <c r="N98" s="92"/>
      <c r="O98" s="90"/>
      <c r="P98" s="92"/>
    </row>
    <row r="99" spans="8:16" x14ac:dyDescent="0.25">
      <c r="H99" s="5">
        <v>4</v>
      </c>
      <c r="I99" s="19" t="s">
        <v>56</v>
      </c>
      <c r="J99" s="58"/>
      <c r="K99" s="57" t="s">
        <v>75</v>
      </c>
      <c r="L99" s="63">
        <f>(((0.34848*$C$10 - 0.009*$C$11*EXP(0.061*$C$12)) / ($C$12 + 273.15)))/1000</f>
        <v>1.0971981067979062E-3</v>
      </c>
      <c r="M99" s="57" t="s">
        <v>81</v>
      </c>
      <c r="N99" s="92">
        <f>L99*SQRT(((L100*$E$7)^2)+((L101*$D$5)^2)+((L102*$E$6)^2)+(L103^2))</f>
        <v>1.4091221310526325E-5</v>
      </c>
      <c r="O99" s="90">
        <f>$C$51*$C$48*$C$50*($C$49*($C$48-1/$D$45))</f>
        <v>0.87153431620784527</v>
      </c>
      <c r="P99" s="92" t="s">
        <v>115</v>
      </c>
    </row>
    <row r="100" spans="8:16" x14ac:dyDescent="0.25">
      <c r="I100" s="57"/>
      <c r="J100" s="59"/>
      <c r="K100" s="57" t="s">
        <v>76</v>
      </c>
      <c r="L100" s="57">
        <f>1*10^-5</f>
        <v>1.0000000000000001E-5</v>
      </c>
      <c r="M100" s="57"/>
      <c r="N100" s="92"/>
      <c r="O100" s="90"/>
      <c r="P100" s="92"/>
    </row>
    <row r="101" spans="8:16" x14ac:dyDescent="0.25">
      <c r="I101" s="57"/>
      <c r="J101" s="59"/>
      <c r="K101" s="57" t="s">
        <v>77</v>
      </c>
      <c r="L101" s="57">
        <f>-4*10^-3</f>
        <v>-4.0000000000000001E-3</v>
      </c>
      <c r="M101" s="57"/>
      <c r="N101" s="92"/>
      <c r="O101" s="90"/>
      <c r="P101" s="92"/>
    </row>
    <row r="102" spans="8:16" x14ac:dyDescent="0.25">
      <c r="I102" s="57"/>
      <c r="J102" s="59"/>
      <c r="K102" s="57" t="s">
        <v>78</v>
      </c>
      <c r="L102" s="57">
        <f>-9*10^-3</f>
        <v>-9.0000000000000011E-3</v>
      </c>
      <c r="M102" s="57"/>
      <c r="N102" s="92"/>
      <c r="O102" s="90"/>
      <c r="P102" s="92"/>
    </row>
    <row r="103" spans="8:16" x14ac:dyDescent="0.25">
      <c r="I103" s="57"/>
      <c r="J103" s="59"/>
      <c r="K103" s="57" t="s">
        <v>80</v>
      </c>
      <c r="L103" s="57">
        <f>2.4*10^-4</f>
        <v>2.4000000000000001E-4</v>
      </c>
      <c r="M103" s="57"/>
      <c r="N103" s="92"/>
      <c r="O103" s="90"/>
      <c r="P103" s="92"/>
    </row>
    <row r="104" spans="8:16" x14ac:dyDescent="0.25">
      <c r="I104" s="57"/>
      <c r="J104" s="59"/>
      <c r="K104" s="57"/>
      <c r="L104" s="57"/>
      <c r="M104" s="57"/>
      <c r="N104" s="92"/>
      <c r="O104" s="90"/>
      <c r="P104" s="92"/>
    </row>
    <row r="105" spans="8:16" x14ac:dyDescent="0.25">
      <c r="H105" s="5">
        <v>5</v>
      </c>
      <c r="I105" s="20" t="s">
        <v>57</v>
      </c>
      <c r="J105" s="58"/>
      <c r="K105" s="57" t="s">
        <v>82</v>
      </c>
      <c r="L105" s="57">
        <v>0.14000000000000001</v>
      </c>
      <c r="M105" s="57" t="s">
        <v>83</v>
      </c>
      <c r="N105" s="92">
        <f>L105</f>
        <v>0.14000000000000001</v>
      </c>
      <c r="O105" s="90">
        <f>$C$51*$C$48*$C$50*$C$46/($D$45^2)</f>
        <v>1.7252161485140357E-5</v>
      </c>
      <c r="P105" s="92" t="s">
        <v>115</v>
      </c>
    </row>
    <row r="106" spans="8:16" x14ac:dyDescent="0.25">
      <c r="I106" s="57"/>
      <c r="J106" s="59"/>
      <c r="K106" s="57"/>
      <c r="L106" s="57"/>
      <c r="M106" s="57"/>
      <c r="N106" s="92"/>
      <c r="O106" s="90"/>
      <c r="P106" s="92"/>
    </row>
    <row r="107" spans="8:16" x14ac:dyDescent="0.25">
      <c r="H107" s="5">
        <v>6</v>
      </c>
      <c r="I107" s="20" t="s">
        <v>58</v>
      </c>
      <c r="J107" s="58"/>
      <c r="K107" s="57" t="s">
        <v>84</v>
      </c>
      <c r="L107" s="57">
        <f>9.9*10^-6</f>
        <v>9.9000000000000001E-6</v>
      </c>
      <c r="M107" s="57" t="s">
        <v>85</v>
      </c>
      <c r="N107" s="92">
        <f>(L107/SQRT(3))*10/100</f>
        <v>5.7157676649772954E-7</v>
      </c>
      <c r="O107" s="90">
        <f>$C$51*$C$48*$C$49*(-'Pengambilan Data '!Z89)</f>
        <v>-19.83721005357668</v>
      </c>
      <c r="P107" s="92" t="s">
        <v>116</v>
      </c>
    </row>
    <row r="108" spans="8:16" x14ac:dyDescent="0.25">
      <c r="I108" s="57"/>
      <c r="J108" s="59"/>
      <c r="K108" s="57"/>
      <c r="L108" s="57"/>
      <c r="M108" s="57"/>
      <c r="N108" s="92"/>
      <c r="O108" s="90"/>
      <c r="P108" s="92"/>
    </row>
    <row r="109" spans="8:16" x14ac:dyDescent="0.25">
      <c r="H109" s="5">
        <v>7</v>
      </c>
      <c r="I109" s="20" t="s">
        <v>59</v>
      </c>
      <c r="J109" s="58"/>
      <c r="K109" s="61" t="s">
        <v>90</v>
      </c>
      <c r="L109" s="61">
        <f>22/7</f>
        <v>3.1428571428571428</v>
      </c>
      <c r="M109" s="61" t="s">
        <v>117</v>
      </c>
      <c r="N109" s="92">
        <f>(((0.5*'Pengambilan Data '!L79)*(0.25*L109*'Pengambilan Data '!K79^2))/SQRT(3))*10^-3</f>
        <v>6.2333924234627542E-4</v>
      </c>
      <c r="O109" s="90">
        <v>1</v>
      </c>
      <c r="P109" s="92"/>
    </row>
    <row r="110" spans="8:16" x14ac:dyDescent="0.25">
      <c r="I110" s="57"/>
      <c r="J110" s="59"/>
      <c r="K110" s="57"/>
      <c r="L110" s="57"/>
      <c r="M110" s="57"/>
      <c r="N110" s="92"/>
      <c r="O110" s="90"/>
      <c r="P110" s="92"/>
    </row>
    <row r="111" spans="8:16" x14ac:dyDescent="0.25">
      <c r="H111" s="5">
        <v>8</v>
      </c>
      <c r="I111" s="55" t="s">
        <v>60</v>
      </c>
      <c r="J111" s="60"/>
      <c r="K111" s="62" t="s">
        <v>92</v>
      </c>
      <c r="L111" s="62" t="s">
        <v>92</v>
      </c>
      <c r="M111" s="62" t="s">
        <v>93</v>
      </c>
      <c r="N111" s="93">
        <f>'Pengambilan Data '!AB90/SQRT(5)</f>
        <v>1.7555010783642498E-3</v>
      </c>
      <c r="O111" s="99">
        <v>1</v>
      </c>
      <c r="P111" s="93"/>
    </row>
    <row r="113" spans="8:16" x14ac:dyDescent="0.25">
      <c r="I113" s="167" t="str">
        <f>CONCATENATE('Isian '!$B$10*5/5," ml")</f>
        <v>10 ml</v>
      </c>
      <c r="J113" s="167"/>
    </row>
    <row r="114" spans="8:16" x14ac:dyDescent="0.25">
      <c r="I114" s="56" t="s">
        <v>38</v>
      </c>
      <c r="J114" s="56" t="s">
        <v>61</v>
      </c>
      <c r="K114" s="56" t="s">
        <v>109</v>
      </c>
      <c r="L114" s="56" t="s">
        <v>187</v>
      </c>
      <c r="M114" s="94" t="s">
        <v>111</v>
      </c>
      <c r="N114" s="54" t="s">
        <v>112</v>
      </c>
      <c r="O114" s="95" t="s">
        <v>110</v>
      </c>
      <c r="P114" s="94" t="s">
        <v>39</v>
      </c>
    </row>
    <row r="115" spans="8:16" x14ac:dyDescent="0.25">
      <c r="H115" s="5">
        <v>1</v>
      </c>
      <c r="I115" s="57" t="s">
        <v>53</v>
      </c>
      <c r="J115" s="58"/>
      <c r="K115" s="57" t="s">
        <v>62</v>
      </c>
      <c r="L115" s="57">
        <f>SQRT(($D$3/2)^2 +((($C$3/2)/SQRT(3))^2 ))</f>
        <v>4.1101500378128939E-4</v>
      </c>
      <c r="M115" s="57" t="s">
        <v>63</v>
      </c>
      <c r="N115" s="92">
        <f>SQRT(L115^2 +L115^2+((L116/2)/SQRT(3))^2)</f>
        <v>5.8287362838497559E-4</v>
      </c>
      <c r="O115" s="96">
        <f>(1/('Pengambilan Data '!AH89-C16))*$C$19*(1-L23*('Pengambilan Data '!AG89-20))</f>
        <v>1.0027533616369373</v>
      </c>
      <c r="P115" s="92" t="s">
        <v>113</v>
      </c>
    </row>
    <row r="116" spans="8:16" x14ac:dyDescent="0.25">
      <c r="I116" s="57"/>
      <c r="J116" s="59"/>
      <c r="K116" s="57" t="s">
        <v>65</v>
      </c>
      <c r="L116" s="57">
        <v>1.4999999999999999E-4</v>
      </c>
      <c r="M116" s="57"/>
      <c r="N116" s="92"/>
      <c r="O116" s="91"/>
      <c r="P116" s="92"/>
    </row>
    <row r="117" spans="8:16" x14ac:dyDescent="0.25">
      <c r="I117" s="57"/>
      <c r="J117" s="59"/>
      <c r="K117" s="57"/>
      <c r="L117" s="57"/>
      <c r="M117" s="57"/>
      <c r="N117" s="92"/>
      <c r="O117" s="90"/>
      <c r="P117" s="92"/>
    </row>
    <row r="118" spans="8:16" x14ac:dyDescent="0.25">
      <c r="H118" s="5">
        <v>2</v>
      </c>
      <c r="I118" s="16" t="s">
        <v>54</v>
      </c>
      <c r="J118" s="58"/>
      <c r="K118" s="57" t="s">
        <v>66</v>
      </c>
      <c r="L118" s="57">
        <v>0.06</v>
      </c>
      <c r="M118" s="57" t="s">
        <v>67</v>
      </c>
      <c r="N118" s="92">
        <f>SQRT(L119^2+L120^2)</f>
        <v>0.25367876736932621</v>
      </c>
      <c r="O118" s="97">
        <f>'Pengambilan Data '!AF89*(1/('Pengambilan Data '!AH89-C16))*$C$19*(-$L$79)</f>
        <v>-9.8371166222493256E-6</v>
      </c>
      <c r="P118" s="92" t="s">
        <v>114</v>
      </c>
    </row>
    <row r="119" spans="8:16" x14ac:dyDescent="0.25">
      <c r="I119" s="57"/>
      <c r="J119" s="59"/>
      <c r="K119" s="57" t="s">
        <v>68</v>
      </c>
      <c r="L119" s="57">
        <f>SQRT(($D$4/2)^2 +(($C$4/2)/SQRT(3))^2 + (($L$6/2)/SQRT(3))^2 +('Pengambilan Data '!AG90/SQRT(5))^2)</f>
        <v>0.2086134791442954</v>
      </c>
      <c r="M119" s="57"/>
      <c r="N119" s="92"/>
      <c r="O119" s="90"/>
      <c r="P119" s="92"/>
    </row>
    <row r="120" spans="8:16" x14ac:dyDescent="0.25">
      <c r="I120" s="57"/>
      <c r="J120" s="59"/>
      <c r="K120" s="57" t="s">
        <v>69</v>
      </c>
      <c r="L120" s="57">
        <f>(0.5/2)/SQRT(3)</f>
        <v>0.14433756729740646</v>
      </c>
      <c r="M120" s="57"/>
      <c r="N120" s="92"/>
      <c r="O120" s="90"/>
      <c r="P120" s="92"/>
    </row>
    <row r="121" spans="8:16" x14ac:dyDescent="0.25">
      <c r="I121" s="57"/>
      <c r="J121" s="59"/>
      <c r="K121" s="57"/>
      <c r="L121" s="57"/>
      <c r="M121" s="57"/>
      <c r="N121" s="92"/>
      <c r="O121" s="90"/>
      <c r="P121" s="92"/>
    </row>
    <row r="122" spans="8:16" x14ac:dyDescent="0.25">
      <c r="H122" s="5">
        <v>3</v>
      </c>
      <c r="I122" s="19" t="s">
        <v>55</v>
      </c>
      <c r="J122" s="58"/>
      <c r="K122" s="57" t="s">
        <v>70</v>
      </c>
      <c r="L122" s="57">
        <f>4.5 *10^-7</f>
        <v>4.4999999999999998E-7</v>
      </c>
      <c r="M122" s="57" t="s">
        <v>74</v>
      </c>
      <c r="N122" s="92">
        <f>SQRT(L122^2 +L124^2 +L125^2)</f>
        <v>4.4212719851993257E-5</v>
      </c>
      <c r="O122" s="98">
        <f>-$C$61*($C$58^2)*$C$59*$C$60</f>
        <v>-0.99652154861218034</v>
      </c>
      <c r="P122" s="92" t="s">
        <v>115</v>
      </c>
    </row>
    <row r="123" spans="8:16" x14ac:dyDescent="0.25">
      <c r="I123" s="57"/>
      <c r="J123" s="59"/>
      <c r="K123" s="57" t="s">
        <v>71</v>
      </c>
      <c r="L123" s="57">
        <f>(-0.1176*'Pengambilan Data '!AG89^2 +15.846*'Pengambilan Data '!AG89 - 62.677)*10^-6</f>
        <v>2.0680194334435272E-4</v>
      </c>
      <c r="M123" s="57"/>
      <c r="N123" s="92"/>
      <c r="O123" s="90"/>
      <c r="P123" s="92"/>
    </row>
    <row r="124" spans="8:16" x14ac:dyDescent="0.25">
      <c r="I124" s="57"/>
      <c r="J124" s="59"/>
      <c r="K124" s="57" t="s">
        <v>72</v>
      </c>
      <c r="L124" s="57">
        <f>L119*L123*'Pengambilan Data '!AH89</f>
        <v>4.3064626977495563E-5</v>
      </c>
      <c r="M124" s="57"/>
      <c r="N124" s="92"/>
      <c r="O124" s="90"/>
      <c r="P124" s="92"/>
    </row>
    <row r="125" spans="8:16" x14ac:dyDescent="0.25">
      <c r="I125" s="57"/>
      <c r="J125" s="59"/>
      <c r="K125" s="57" t="s">
        <v>73</v>
      </c>
      <c r="L125" s="57">
        <f>1*10^-5</f>
        <v>1.0000000000000001E-5</v>
      </c>
      <c r="M125" s="57"/>
      <c r="N125" s="92"/>
      <c r="O125" s="90"/>
      <c r="P125" s="92"/>
    </row>
    <row r="126" spans="8:16" x14ac:dyDescent="0.25">
      <c r="I126" s="57"/>
      <c r="J126" s="59"/>
      <c r="K126" s="57"/>
      <c r="L126" s="57"/>
      <c r="M126" s="57"/>
      <c r="N126" s="92"/>
      <c r="O126" s="90"/>
      <c r="P126" s="92"/>
    </row>
    <row r="127" spans="8:16" x14ac:dyDescent="0.25">
      <c r="H127" s="5">
        <v>4</v>
      </c>
      <c r="I127" s="19" t="s">
        <v>56</v>
      </c>
      <c r="J127" s="58"/>
      <c r="K127" s="57" t="s">
        <v>75</v>
      </c>
      <c r="L127" s="63">
        <f>(((0.34848*$C$10 - 0.009*$C$11*EXP(0.061*$C$12)) / ($C$12 + 273.15)))/1000</f>
        <v>1.0971981067979062E-3</v>
      </c>
      <c r="M127" s="57" t="s">
        <v>81</v>
      </c>
      <c r="N127" s="92">
        <f>L127*SQRT(((L128*$E$7)^2)+((L129*$D$5)^2)+((L130*$E$6)^2)+(L131^2))</f>
        <v>1.4091221310526325E-5</v>
      </c>
      <c r="O127" s="90">
        <f>$C$61*$C$58*$C$60*($C$59*($C$58-1/$D$55))</f>
        <v>0.87153431620784527</v>
      </c>
      <c r="P127" s="92" t="s">
        <v>115</v>
      </c>
    </row>
    <row r="128" spans="8:16" x14ac:dyDescent="0.25">
      <c r="I128" s="57"/>
      <c r="J128" s="59"/>
      <c r="K128" s="57" t="s">
        <v>76</v>
      </c>
      <c r="L128" s="57">
        <f>1*10^-5</f>
        <v>1.0000000000000001E-5</v>
      </c>
      <c r="M128" s="57"/>
      <c r="N128" s="92"/>
      <c r="O128" s="90"/>
      <c r="P128" s="92"/>
    </row>
    <row r="129" spans="8:16" x14ac:dyDescent="0.25">
      <c r="I129" s="57"/>
      <c r="J129" s="59"/>
      <c r="K129" s="57" t="s">
        <v>77</v>
      </c>
      <c r="L129" s="57">
        <f>-4*10^-3</f>
        <v>-4.0000000000000001E-3</v>
      </c>
      <c r="M129" s="57"/>
      <c r="N129" s="92"/>
      <c r="O129" s="90"/>
      <c r="P129" s="92"/>
    </row>
    <row r="130" spans="8:16" x14ac:dyDescent="0.25">
      <c r="I130" s="57"/>
      <c r="J130" s="59"/>
      <c r="K130" s="57" t="s">
        <v>78</v>
      </c>
      <c r="L130" s="57">
        <f>-9*10^-3</f>
        <v>-9.0000000000000011E-3</v>
      </c>
      <c r="M130" s="57"/>
      <c r="N130" s="92"/>
      <c r="O130" s="90"/>
      <c r="P130" s="92"/>
    </row>
    <row r="131" spans="8:16" x14ac:dyDescent="0.25">
      <c r="I131" s="57"/>
      <c r="J131" s="59"/>
      <c r="K131" s="57" t="s">
        <v>80</v>
      </c>
      <c r="L131" s="57">
        <f>2.4*10^-4</f>
        <v>2.4000000000000001E-4</v>
      </c>
      <c r="M131" s="57"/>
      <c r="N131" s="92"/>
      <c r="O131" s="90"/>
      <c r="P131" s="92"/>
    </row>
    <row r="132" spans="8:16" x14ac:dyDescent="0.25">
      <c r="I132" s="57"/>
      <c r="J132" s="59"/>
      <c r="K132" s="57"/>
      <c r="L132" s="57"/>
      <c r="M132" s="57"/>
      <c r="N132" s="92"/>
      <c r="O132" s="90"/>
      <c r="P132" s="92"/>
    </row>
    <row r="133" spans="8:16" x14ac:dyDescent="0.25">
      <c r="H133" s="5">
        <v>5</v>
      </c>
      <c r="I133" s="20" t="s">
        <v>57</v>
      </c>
      <c r="J133" s="58"/>
      <c r="K133" s="57" t="s">
        <v>82</v>
      </c>
      <c r="L133" s="57">
        <v>0.14000000000000001</v>
      </c>
      <c r="M133" s="57" t="s">
        <v>83</v>
      </c>
      <c r="N133" s="92">
        <f>L133</f>
        <v>0.14000000000000001</v>
      </c>
      <c r="O133" s="90">
        <f>$C$61*$C$58*$C$60*$C$56/($D$55^2)</f>
        <v>1.7252161485140357E-5</v>
      </c>
      <c r="P133" s="92" t="s">
        <v>115</v>
      </c>
    </row>
    <row r="134" spans="8:16" x14ac:dyDescent="0.25">
      <c r="I134" s="57"/>
      <c r="J134" s="59"/>
      <c r="K134" s="57"/>
      <c r="L134" s="57"/>
      <c r="M134" s="57"/>
      <c r="N134" s="92"/>
      <c r="O134" s="90"/>
      <c r="P134" s="92"/>
    </row>
    <row r="135" spans="8:16" x14ac:dyDescent="0.25">
      <c r="H135" s="5">
        <v>6</v>
      </c>
      <c r="I135" s="20" t="s">
        <v>58</v>
      </c>
      <c r="J135" s="58"/>
      <c r="K135" s="57" t="s">
        <v>84</v>
      </c>
      <c r="L135" s="57">
        <f>9.9*10^-6</f>
        <v>9.9000000000000001E-6</v>
      </c>
      <c r="M135" s="57" t="s">
        <v>85</v>
      </c>
      <c r="N135" s="92">
        <f>(L135/SQRT(3))*10/100</f>
        <v>5.7157676649772954E-7</v>
      </c>
      <c r="O135" s="90">
        <f>$C$61*$C$58*$C$59*(-'Pengambilan Data '!AG89)</f>
        <v>-19.83721005357668</v>
      </c>
      <c r="P135" s="92" t="s">
        <v>116</v>
      </c>
    </row>
    <row r="136" spans="8:16" x14ac:dyDescent="0.25">
      <c r="I136" s="57"/>
      <c r="J136" s="59"/>
      <c r="K136" s="57"/>
      <c r="L136" s="57"/>
      <c r="M136" s="57"/>
      <c r="N136" s="92"/>
      <c r="O136" s="90"/>
      <c r="P136" s="92"/>
    </row>
    <row r="137" spans="8:16" x14ac:dyDescent="0.25">
      <c r="H137" s="5">
        <v>7</v>
      </c>
      <c r="I137" s="20" t="s">
        <v>59</v>
      </c>
      <c r="J137" s="58"/>
      <c r="K137" s="61" t="s">
        <v>90</v>
      </c>
      <c r="L137" s="61">
        <f>22/7</f>
        <v>3.1428571428571428</v>
      </c>
      <c r="M137" s="61" t="s">
        <v>117</v>
      </c>
      <c r="N137" s="92">
        <f>(((0.5*'Pengambilan Data '!O79)*(0.25*L137*'Pengambilan Data '!N79^2))/SQRT(3))*10^-3</f>
        <v>6.2333924234627542E-4</v>
      </c>
      <c r="O137" s="90">
        <v>1</v>
      </c>
      <c r="P137" s="92"/>
    </row>
    <row r="138" spans="8:16" x14ac:dyDescent="0.25">
      <c r="I138" s="57"/>
      <c r="J138" s="59"/>
      <c r="K138" s="57"/>
      <c r="L138" s="57"/>
      <c r="M138" s="57"/>
      <c r="N138" s="92"/>
      <c r="O138" s="90"/>
      <c r="P138" s="92"/>
    </row>
    <row r="139" spans="8:16" x14ac:dyDescent="0.25">
      <c r="H139" s="5">
        <v>8</v>
      </c>
      <c r="I139" s="55" t="s">
        <v>60</v>
      </c>
      <c r="J139" s="60"/>
      <c r="K139" s="62" t="s">
        <v>92</v>
      </c>
      <c r="L139" s="62" t="s">
        <v>92</v>
      </c>
      <c r="M139" s="62" t="s">
        <v>93</v>
      </c>
      <c r="N139" s="93">
        <f>'Pengambilan Data '!AI90/SQRT(5)</f>
        <v>1.7555010783642498E-3</v>
      </c>
      <c r="O139" s="99">
        <v>1</v>
      </c>
      <c r="P139" s="93"/>
    </row>
  </sheetData>
  <mergeCells count="10">
    <mergeCell ref="I1:J1"/>
    <mergeCell ref="I29:J29"/>
    <mergeCell ref="I57:J57"/>
    <mergeCell ref="I85:J85"/>
    <mergeCell ref="I113:J113"/>
    <mergeCell ref="B13:C13"/>
    <mergeCell ref="B23:C23"/>
    <mergeCell ref="B33:C33"/>
    <mergeCell ref="B43:C43"/>
    <mergeCell ref="B53:C53"/>
  </mergeCells>
  <pageMargins left="0.7" right="0.7" top="0.75" bottom="0.75" header="0.3" footer="0.3"/>
  <ignoredErrors>
    <ignoredError sqref="Z4 AB4 AD4 Z7:Z9 AB7:AB9 AD7:AD9 Y4:Y11 AA4:AA11 AC4:AC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93BC-CBDB-465E-9701-859ADA731CA7}">
  <dimension ref="A8:U131"/>
  <sheetViews>
    <sheetView tabSelected="1" zoomScale="80" zoomScaleNormal="80" workbookViewId="0">
      <selection activeCell="N26" sqref="N26"/>
    </sheetView>
  </sheetViews>
  <sheetFormatPr defaultRowHeight="13.2" x14ac:dyDescent="0.25"/>
  <cols>
    <col min="2" max="2" width="36.88671875" bestFit="1" customWidth="1"/>
    <col min="3" max="3" width="15.33203125" customWidth="1"/>
    <col min="4" max="4" width="10" bestFit="1" customWidth="1"/>
    <col min="5" max="5" width="12.21875" bestFit="1" customWidth="1"/>
    <col min="9" max="9" width="12.88671875" bestFit="1" customWidth="1"/>
    <col min="11" max="11" width="13.6640625" bestFit="1" customWidth="1"/>
  </cols>
  <sheetData>
    <row r="8" spans="1:21" x14ac:dyDescent="0.25">
      <c r="B8" s="47" t="s">
        <v>100</v>
      </c>
    </row>
    <row r="9" spans="1:21" x14ac:dyDescent="0.25">
      <c r="B9" s="45" t="s">
        <v>98</v>
      </c>
      <c r="C9" s="45" t="s">
        <v>101</v>
      </c>
    </row>
    <row r="10" spans="1:21" x14ac:dyDescent="0.25">
      <c r="B10" s="46" t="s">
        <v>99</v>
      </c>
      <c r="C10" s="46" t="str">
        <f>CONCATENATE('Isian '!$B$6,)</f>
        <v xml:space="preserve">Gelas Ukur </v>
      </c>
      <c r="D10" s="161">
        <f>'Isian '!$B$10/5</f>
        <v>2</v>
      </c>
      <c r="E10" t="s">
        <v>7</v>
      </c>
    </row>
    <row r="11" spans="1:21" x14ac:dyDescent="0.25">
      <c r="B11" s="46" t="s">
        <v>102</v>
      </c>
      <c r="C11" s="46"/>
    </row>
    <row r="12" spans="1:21" x14ac:dyDescent="0.25">
      <c r="R12" t="s">
        <v>327</v>
      </c>
    </row>
    <row r="13" spans="1:21" ht="15.6" x14ac:dyDescent="0.25">
      <c r="B13" s="10" t="s">
        <v>38</v>
      </c>
      <c r="C13" s="10" t="s">
        <v>39</v>
      </c>
      <c r="D13" s="10" t="s">
        <v>10</v>
      </c>
      <c r="E13" s="10" t="s">
        <v>40</v>
      </c>
      <c r="F13" s="10" t="s">
        <v>11</v>
      </c>
      <c r="G13" s="10" t="s">
        <v>41</v>
      </c>
      <c r="H13" s="11" t="s">
        <v>12</v>
      </c>
      <c r="I13" s="10" t="s">
        <v>42</v>
      </c>
      <c r="J13" s="11" t="s">
        <v>43</v>
      </c>
      <c r="K13" s="11" t="s">
        <v>44</v>
      </c>
      <c r="L13" s="10" t="s">
        <v>45</v>
      </c>
      <c r="R13" s="105" t="s">
        <v>148</v>
      </c>
      <c r="S13" s="105" t="s">
        <v>323</v>
      </c>
      <c r="T13" s="105" t="s">
        <v>324</v>
      </c>
      <c r="U13" s="105" t="s">
        <v>309</v>
      </c>
    </row>
    <row r="14" spans="1:21" x14ac:dyDescent="0.25">
      <c r="B14" s="12">
        <v>1</v>
      </c>
      <c r="C14" s="12">
        <v>2</v>
      </c>
      <c r="D14" s="12">
        <v>3</v>
      </c>
      <c r="E14" s="12">
        <v>4</v>
      </c>
      <c r="F14" s="12">
        <v>5</v>
      </c>
      <c r="G14" s="12">
        <v>6</v>
      </c>
      <c r="H14" s="12">
        <v>7</v>
      </c>
      <c r="I14" s="12">
        <v>8</v>
      </c>
      <c r="J14" s="12">
        <v>9</v>
      </c>
      <c r="K14" s="12">
        <v>10</v>
      </c>
      <c r="L14" s="12">
        <v>11</v>
      </c>
      <c r="R14" s="6" t="s">
        <v>317</v>
      </c>
      <c r="S14" s="6">
        <v>2</v>
      </c>
      <c r="T14" s="6">
        <v>10</v>
      </c>
      <c r="U14" s="6">
        <v>2.1000000000000001E-2</v>
      </c>
    </row>
    <row r="15" spans="1:21" x14ac:dyDescent="0.25">
      <c r="A15">
        <v>1</v>
      </c>
      <c r="B15" s="13" t="s">
        <v>53</v>
      </c>
      <c r="C15" s="14" t="s">
        <v>8</v>
      </c>
      <c r="D15" s="14" t="s">
        <v>9</v>
      </c>
      <c r="E15" s="50">
        <f>'Peralatan &amp; Koefisien  '!N3</f>
        <v>5.8287362838497559E-4</v>
      </c>
      <c r="F15" s="14">
        <v>1</v>
      </c>
      <c r="G15" s="14">
        <v>60</v>
      </c>
      <c r="H15" s="15">
        <f>E15/F15</f>
        <v>5.8287362838497559E-4</v>
      </c>
      <c r="I15" s="15">
        <f>'Peralatan &amp; Koefisien  '!O3</f>
        <v>1.0027533616369373</v>
      </c>
      <c r="J15" s="15">
        <f>H15*I15</f>
        <v>5.8447849027255328E-4</v>
      </c>
      <c r="K15" s="15">
        <f>J15^2</f>
        <v>3.4161510559128314E-7</v>
      </c>
      <c r="L15" s="15">
        <f>K15^2/G15</f>
        <v>1.9450146728023921E-15</v>
      </c>
      <c r="R15" s="6" t="s">
        <v>317</v>
      </c>
      <c r="S15" s="6">
        <v>11</v>
      </c>
      <c r="T15" s="6">
        <v>50</v>
      </c>
      <c r="U15" s="6">
        <v>4.9000000000000002E-2</v>
      </c>
    </row>
    <row r="16" spans="1:21" x14ac:dyDescent="0.25">
      <c r="A16">
        <v>2</v>
      </c>
      <c r="B16" s="16" t="s">
        <v>54</v>
      </c>
      <c r="C16" s="14" t="s">
        <v>8</v>
      </c>
      <c r="D16" s="17" t="s">
        <v>9</v>
      </c>
      <c r="E16" s="51">
        <f>'Peralatan &amp; Koefisien  '!N6</f>
        <v>0.25367876736932621</v>
      </c>
      <c r="F16" s="17">
        <v>1</v>
      </c>
      <c r="G16" s="17">
        <v>60</v>
      </c>
      <c r="H16" s="18">
        <f t="shared" ref="H16:H22" si="0">E16/F16</f>
        <v>0.25367876736932621</v>
      </c>
      <c r="I16" s="17">
        <f>'Peralatan &amp; Koefisien  '!O6</f>
        <v>-9.8371166222493256E-6</v>
      </c>
      <c r="J16" s="18">
        <f t="shared" ref="J16:J22" si="1">H16*I16</f>
        <v>-2.4954676192005186E-6</v>
      </c>
      <c r="K16" s="18">
        <f t="shared" ref="K16:K22" si="2">J16^2</f>
        <v>6.2273586384783041E-12</v>
      </c>
      <c r="L16" s="18">
        <f t="shared" ref="L16:L22" si="3">K16^2/G16</f>
        <v>6.4633326020383924E-25</v>
      </c>
      <c r="R16" s="6" t="s">
        <v>317</v>
      </c>
      <c r="S16" s="6">
        <v>51</v>
      </c>
      <c r="T16" s="6">
        <v>100</v>
      </c>
      <c r="U16" s="6">
        <v>7.9000000000000001E-2</v>
      </c>
    </row>
    <row r="17" spans="1:21" x14ac:dyDescent="0.25">
      <c r="A17">
        <v>3</v>
      </c>
      <c r="B17" s="19" t="s">
        <v>55</v>
      </c>
      <c r="C17" s="14" t="s">
        <v>8</v>
      </c>
      <c r="D17" s="18" t="s">
        <v>9</v>
      </c>
      <c r="E17" s="52">
        <f>'Peralatan &amp; Koefisien  '!N10</f>
        <v>4.4212719851993257E-5</v>
      </c>
      <c r="F17" s="18">
        <v>1</v>
      </c>
      <c r="G17" s="18">
        <v>60</v>
      </c>
      <c r="H17" s="18">
        <f t="shared" si="0"/>
        <v>4.4212719851993257E-5</v>
      </c>
      <c r="I17" s="18">
        <f>'Peralatan &amp; Koefisien  '!O10</f>
        <v>-0.99652154861218034</v>
      </c>
      <c r="J17" s="18">
        <f t="shared" si="1"/>
        <v>-4.405892805526481E-5</v>
      </c>
      <c r="K17" s="18">
        <f t="shared" si="2"/>
        <v>1.9411891413790005E-9</v>
      </c>
      <c r="L17" s="18">
        <f t="shared" si="3"/>
        <v>6.2803588043462358E-20</v>
      </c>
      <c r="R17" s="6" t="s">
        <v>317</v>
      </c>
      <c r="S17" s="6">
        <v>101</v>
      </c>
      <c r="T17" s="6">
        <v>500</v>
      </c>
      <c r="U17" s="6">
        <v>0.25</v>
      </c>
    </row>
    <row r="18" spans="1:21" x14ac:dyDescent="0.25">
      <c r="A18">
        <v>4</v>
      </c>
      <c r="B18" s="19" t="s">
        <v>56</v>
      </c>
      <c r="C18" s="14" t="s">
        <v>8</v>
      </c>
      <c r="D18" s="18" t="s">
        <v>96</v>
      </c>
      <c r="E18" s="52">
        <f>'Peralatan &amp; Koefisien  '!N15</f>
        <v>1.4091221310526325E-5</v>
      </c>
      <c r="F18" s="18">
        <v>1</v>
      </c>
      <c r="G18" s="18">
        <v>60</v>
      </c>
      <c r="H18" s="18">
        <f t="shared" si="0"/>
        <v>1.4091221310526325E-5</v>
      </c>
      <c r="I18" s="18">
        <f>'Peralatan &amp; Koefisien  '!O15</f>
        <v>0.87153431620784527</v>
      </c>
      <c r="J18" s="18">
        <f t="shared" si="1"/>
        <v>1.2280982929402977E-5</v>
      </c>
      <c r="K18" s="18">
        <f t="shared" si="2"/>
        <v>1.5082254171228733E-10</v>
      </c>
      <c r="L18" s="18">
        <f t="shared" si="3"/>
        <v>3.7912398480924425E-22</v>
      </c>
      <c r="R18" s="6" t="s">
        <v>319</v>
      </c>
      <c r="S18" s="6">
        <v>2</v>
      </c>
      <c r="T18" s="6">
        <v>10</v>
      </c>
      <c r="U18" s="6">
        <v>8.0000000000000002E-3</v>
      </c>
    </row>
    <row r="19" spans="1:21" x14ac:dyDescent="0.25">
      <c r="A19">
        <v>5</v>
      </c>
      <c r="B19" s="20" t="s">
        <v>57</v>
      </c>
      <c r="C19" s="14" t="s">
        <v>8</v>
      </c>
      <c r="D19" s="21" t="s">
        <v>9</v>
      </c>
      <c r="E19" s="53">
        <f>'Peralatan &amp; Koefisien  '!N21</f>
        <v>0.14000000000000001</v>
      </c>
      <c r="F19" s="21">
        <v>2</v>
      </c>
      <c r="G19" s="18">
        <v>60</v>
      </c>
      <c r="H19" s="18">
        <f t="shared" si="0"/>
        <v>7.0000000000000007E-2</v>
      </c>
      <c r="I19" s="17">
        <f>'Peralatan &amp; Koefisien  '!O21</f>
        <v>1.7252161485140357E-5</v>
      </c>
      <c r="J19" s="18">
        <f t="shared" si="1"/>
        <v>1.2076513039598251E-6</v>
      </c>
      <c r="K19" s="18">
        <f t="shared" si="2"/>
        <v>1.4584216719558658E-12</v>
      </c>
      <c r="L19" s="18">
        <f t="shared" si="3"/>
        <v>3.5449896220509047E-26</v>
      </c>
      <c r="R19" s="6" t="s">
        <v>319</v>
      </c>
      <c r="S19" s="6">
        <v>11</v>
      </c>
      <c r="T19" s="6">
        <v>25</v>
      </c>
      <c r="U19" s="6">
        <v>1.0999999999999999E-2</v>
      </c>
    </row>
    <row r="20" spans="1:21" x14ac:dyDescent="0.25">
      <c r="A20">
        <v>6</v>
      </c>
      <c r="B20" s="20" t="s">
        <v>58</v>
      </c>
      <c r="C20" s="14" t="s">
        <v>8</v>
      </c>
      <c r="D20" s="21" t="s">
        <v>97</v>
      </c>
      <c r="E20" s="53">
        <f>'Peralatan &amp; Koefisien  '!N23</f>
        <v>5.7157676649772954E-7</v>
      </c>
      <c r="F20" s="21">
        <v>1</v>
      </c>
      <c r="G20" s="18">
        <v>50</v>
      </c>
      <c r="H20" s="18">
        <f t="shared" si="0"/>
        <v>5.7157676649772954E-7</v>
      </c>
      <c r="I20" s="17">
        <f>'Peralatan &amp; Koefisien  '!O23</f>
        <v>-19.83721005357668</v>
      </c>
      <c r="J20" s="18">
        <f t="shared" si="1"/>
        <v>-1.1338488378759611E-5</v>
      </c>
      <c r="K20" s="18">
        <f t="shared" si="2"/>
        <v>1.2856131871526674E-10</v>
      </c>
      <c r="L20" s="18">
        <f t="shared" si="3"/>
        <v>3.305602533961679E-22</v>
      </c>
      <c r="R20" s="6" t="s">
        <v>319</v>
      </c>
      <c r="S20" s="6">
        <v>26</v>
      </c>
      <c r="T20" s="6">
        <v>50</v>
      </c>
      <c r="U20" s="6">
        <v>1.4E-2</v>
      </c>
    </row>
    <row r="21" spans="1:21" x14ac:dyDescent="0.25">
      <c r="A21">
        <v>7</v>
      </c>
      <c r="B21" s="20" t="s">
        <v>59</v>
      </c>
      <c r="C21" s="14" t="s">
        <v>8</v>
      </c>
      <c r="D21" s="21" t="s">
        <v>97</v>
      </c>
      <c r="E21" s="53">
        <f>'Peralatan &amp; Koefisien  '!N25</f>
        <v>6.2333924234627542E-4</v>
      </c>
      <c r="F21" s="21">
        <v>1</v>
      </c>
      <c r="G21" s="21">
        <v>50</v>
      </c>
      <c r="H21" s="18">
        <f t="shared" si="0"/>
        <v>6.2333924234627542E-4</v>
      </c>
      <c r="I21" s="18">
        <v>1</v>
      </c>
      <c r="J21" s="18">
        <f t="shared" si="1"/>
        <v>6.2333924234627542E-4</v>
      </c>
      <c r="K21" s="18">
        <f t="shared" si="2"/>
        <v>3.8855181104882867E-7</v>
      </c>
      <c r="L21" s="18">
        <f t="shared" si="3"/>
        <v>3.0194501973864929E-15</v>
      </c>
      <c r="R21" s="6" t="s">
        <v>319</v>
      </c>
      <c r="S21" s="6">
        <v>51</v>
      </c>
      <c r="T21" s="6">
        <v>100</v>
      </c>
      <c r="U21" s="6">
        <v>2.7E-2</v>
      </c>
    </row>
    <row r="22" spans="1:21" x14ac:dyDescent="0.25">
      <c r="A22">
        <v>8</v>
      </c>
      <c r="B22" s="20" t="s">
        <v>60</v>
      </c>
      <c r="C22" s="14" t="s">
        <v>8</v>
      </c>
      <c r="D22" s="21" t="s">
        <v>9</v>
      </c>
      <c r="E22" s="53">
        <f>'Peralatan &amp; Koefisien  '!N27</f>
        <v>1.7555010783642498E-3</v>
      </c>
      <c r="F22" s="21">
        <v>1</v>
      </c>
      <c r="G22" s="21">
        <v>4</v>
      </c>
      <c r="H22" s="18">
        <f t="shared" si="0"/>
        <v>1.7555010783642498E-3</v>
      </c>
      <c r="I22" s="17">
        <v>1</v>
      </c>
      <c r="J22" s="18">
        <f t="shared" si="1"/>
        <v>1.7555010783642498E-3</v>
      </c>
      <c r="K22" s="18">
        <f t="shared" si="2"/>
        <v>3.0817840361380439E-6</v>
      </c>
      <c r="L22" s="18">
        <f t="shared" si="3"/>
        <v>2.3743482113488231E-12</v>
      </c>
      <c r="R22" s="6" t="s">
        <v>314</v>
      </c>
      <c r="S22" s="6">
        <v>1</v>
      </c>
      <c r="T22" s="6">
        <v>5</v>
      </c>
      <c r="U22" s="6">
        <v>3.5000000000000001E-3</v>
      </c>
    </row>
    <row r="23" spans="1:21" x14ac:dyDescent="0.25">
      <c r="B23" s="23" t="s">
        <v>46</v>
      </c>
      <c r="C23" s="24"/>
      <c r="D23" s="24"/>
      <c r="E23" s="25"/>
      <c r="F23" s="24"/>
      <c r="G23" s="24"/>
      <c r="H23" s="24"/>
      <c r="I23" s="24"/>
      <c r="J23" s="26"/>
      <c r="K23" s="27">
        <f>SUM(K15:K22)</f>
        <v>3.8141792115602728E-6</v>
      </c>
      <c r="L23" s="14">
        <f>SUM(L15:L22)</f>
        <v>2.3793127397329662E-12</v>
      </c>
      <c r="R23" s="6" t="s">
        <v>314</v>
      </c>
      <c r="S23" s="6">
        <v>6</v>
      </c>
      <c r="T23" s="6">
        <v>10</v>
      </c>
      <c r="U23" s="6">
        <v>5.5999999999999999E-3</v>
      </c>
    </row>
    <row r="24" spans="1:21" x14ac:dyDescent="0.25">
      <c r="B24" s="28" t="s">
        <v>47</v>
      </c>
      <c r="C24" s="29"/>
      <c r="D24" s="29"/>
      <c r="E24" s="30"/>
      <c r="F24" s="29"/>
      <c r="G24" s="29"/>
      <c r="H24" s="29"/>
      <c r="I24" s="29"/>
      <c r="J24" s="31"/>
      <c r="K24" s="32">
        <f>SQRT(K23)</f>
        <v>1.9529923736564547E-3</v>
      </c>
      <c r="L24" s="18"/>
      <c r="R24" s="6" t="s">
        <v>314</v>
      </c>
      <c r="S24" s="6">
        <v>11</v>
      </c>
      <c r="T24" s="6">
        <v>25</v>
      </c>
      <c r="U24" s="6">
        <v>9.7000000000000003E-3</v>
      </c>
    </row>
    <row r="25" spans="1:21" x14ac:dyDescent="0.25">
      <c r="B25" s="28" t="s">
        <v>48</v>
      </c>
      <c r="C25" s="29"/>
      <c r="D25" s="29"/>
      <c r="E25" s="30"/>
      <c r="F25" s="29"/>
      <c r="G25" s="29"/>
      <c r="H25" s="29"/>
      <c r="I25" s="29"/>
      <c r="J25" s="31"/>
      <c r="K25" s="32">
        <f>(K24^4)/L23</f>
        <v>6.1143551307724628</v>
      </c>
      <c r="L25" s="18"/>
      <c r="R25" s="6" t="s">
        <v>314</v>
      </c>
      <c r="S25" s="6">
        <v>26</v>
      </c>
      <c r="T25" s="6">
        <v>50</v>
      </c>
      <c r="U25" s="6">
        <v>1.7999999999999999E-2</v>
      </c>
    </row>
    <row r="26" spans="1:21" x14ac:dyDescent="0.25">
      <c r="B26" s="28" t="s">
        <v>49</v>
      </c>
      <c r="C26" s="29"/>
      <c r="D26" s="29"/>
      <c r="E26" s="30"/>
      <c r="F26" s="29"/>
      <c r="G26" s="29"/>
      <c r="H26" s="29"/>
      <c r="I26" s="29"/>
      <c r="J26" s="31"/>
      <c r="K26" s="33">
        <f>TINV(0.05,K25)</f>
        <v>2.4469118511449697</v>
      </c>
      <c r="L26" s="18"/>
      <c r="R26" s="6" t="s">
        <v>314</v>
      </c>
      <c r="S26" s="6">
        <v>51</v>
      </c>
      <c r="T26" s="6">
        <v>100</v>
      </c>
      <c r="U26" s="6">
        <v>5.2999999999999999E-2</v>
      </c>
    </row>
    <row r="27" spans="1:21" x14ac:dyDescent="0.25">
      <c r="B27" s="28" t="s">
        <v>50</v>
      </c>
      <c r="C27" s="29"/>
      <c r="D27" s="34"/>
      <c r="E27" s="30"/>
      <c r="F27" s="29"/>
      <c r="G27" s="29"/>
      <c r="H27" s="29"/>
      <c r="I27" s="29"/>
      <c r="J27" s="31"/>
      <c r="K27" s="32">
        <f>K26*K24</f>
        <v>4.7788001842957242E-3</v>
      </c>
      <c r="L27" s="18"/>
      <c r="R27" s="6" t="s">
        <v>318</v>
      </c>
      <c r="S27" s="6">
        <v>25</v>
      </c>
      <c r="T27" s="6">
        <v>25</v>
      </c>
      <c r="U27" s="104">
        <v>0.01</v>
      </c>
    </row>
    <row r="28" spans="1:21" x14ac:dyDescent="0.25">
      <c r="B28" s="35" t="s">
        <v>51</v>
      </c>
      <c r="C28" s="34"/>
      <c r="E28" s="36"/>
      <c r="F28" s="34"/>
      <c r="G28" s="34"/>
      <c r="H28" s="34"/>
      <c r="I28" s="34"/>
      <c r="J28" s="31"/>
      <c r="K28" s="43">
        <f>K26*K24</f>
        <v>4.7788001842957242E-3</v>
      </c>
      <c r="L28" s="21" t="s">
        <v>7</v>
      </c>
      <c r="R28" s="6" t="s">
        <v>318</v>
      </c>
      <c r="S28" s="6">
        <v>50</v>
      </c>
      <c r="T28" s="6">
        <v>50</v>
      </c>
      <c r="U28" s="104">
        <v>1.7000000000000001E-2</v>
      </c>
    </row>
    <row r="29" spans="1:21" x14ac:dyDescent="0.25">
      <c r="B29" s="37" t="s">
        <v>52</v>
      </c>
      <c r="C29" s="38"/>
      <c r="D29" s="38"/>
      <c r="E29" s="38"/>
      <c r="F29" s="38"/>
      <c r="G29" s="38"/>
      <c r="H29" s="38"/>
      <c r="I29" s="38"/>
      <c r="J29" s="38"/>
      <c r="K29" s="44">
        <f>K28/1000</f>
        <v>4.7788001842957243E-6</v>
      </c>
      <c r="L29" s="22" t="s">
        <v>95</v>
      </c>
      <c r="R29" s="6" t="s">
        <v>318</v>
      </c>
      <c r="S29" s="6">
        <v>100</v>
      </c>
      <c r="T29" s="6">
        <v>100</v>
      </c>
      <c r="U29" s="104">
        <v>2.3E-2</v>
      </c>
    </row>
    <row r="30" spans="1:21" x14ac:dyDescent="0.25">
      <c r="B30" s="112" t="s">
        <v>309</v>
      </c>
      <c r="C30" s="112"/>
      <c r="D30" s="112"/>
      <c r="E30" s="112"/>
      <c r="F30" s="112"/>
      <c r="G30" s="112"/>
      <c r="H30" s="112"/>
      <c r="I30" s="112"/>
      <c r="J30" s="112"/>
      <c r="K30" s="160" cm="1">
        <f t="array" ref="K30">IFERROR(INDEX($U$14:$U$34, MATCH(1, (D10&gt;=$S$14:$S$34)*(D10&lt;=$T$14:$T$34)*(C10=$R$14:$R$34), 0)),"Bintang")</f>
        <v>2.1000000000000001E-2</v>
      </c>
      <c r="L30" s="113" t="s">
        <v>226</v>
      </c>
      <c r="R30" s="6" t="s">
        <v>318</v>
      </c>
      <c r="S30" s="6">
        <v>250</v>
      </c>
      <c r="T30" s="6">
        <v>250</v>
      </c>
      <c r="U30" s="162">
        <v>4.1000000000000002E-2</v>
      </c>
    </row>
    <row r="31" spans="1:21" x14ac:dyDescent="0.25">
      <c r="R31" s="6" t="s">
        <v>318</v>
      </c>
      <c r="S31" s="6">
        <v>500</v>
      </c>
      <c r="T31" s="6">
        <v>500</v>
      </c>
      <c r="U31" s="163">
        <v>7.3999999999999996E-2</v>
      </c>
    </row>
    <row r="32" spans="1:21" x14ac:dyDescent="0.25">
      <c r="B32" s="47"/>
      <c r="R32" s="6" t="s">
        <v>247</v>
      </c>
      <c r="S32" s="6">
        <v>5</v>
      </c>
      <c r="T32" s="6">
        <v>5</v>
      </c>
      <c r="U32" s="6">
        <v>2.3999999999999998E-3</v>
      </c>
    </row>
    <row r="33" spans="2:21" x14ac:dyDescent="0.25">
      <c r="B33" s="103"/>
      <c r="R33" s="6" t="s">
        <v>247</v>
      </c>
      <c r="S33" s="6">
        <v>10</v>
      </c>
      <c r="T33" s="6">
        <v>10</v>
      </c>
      <c r="U33" s="6">
        <v>2.5000000000000001E-3</v>
      </c>
    </row>
    <row r="34" spans="2:21" x14ac:dyDescent="0.25">
      <c r="B34" s="47" t="s">
        <v>100</v>
      </c>
      <c r="R34" s="6" t="s">
        <v>247</v>
      </c>
      <c r="S34" s="6">
        <v>20</v>
      </c>
      <c r="T34" s="6">
        <v>20</v>
      </c>
      <c r="U34" s="6">
        <v>3.5000000000000001E-3</v>
      </c>
    </row>
    <row r="35" spans="2:21" x14ac:dyDescent="0.25">
      <c r="B35" s="45" t="s">
        <v>98</v>
      </c>
      <c r="C35" s="45" t="s">
        <v>101</v>
      </c>
    </row>
    <row r="36" spans="2:21" x14ac:dyDescent="0.25">
      <c r="B36" s="46" t="s">
        <v>99</v>
      </c>
      <c r="C36" s="46" t="str">
        <f>CONCATENATE('Isian '!$B$6,)</f>
        <v xml:space="preserve">Gelas Ukur </v>
      </c>
      <c r="D36">
        <f>'Isian '!$B$10*2/5</f>
        <v>4</v>
      </c>
      <c r="E36" t="s">
        <v>7</v>
      </c>
    </row>
    <row r="37" spans="2:21" x14ac:dyDescent="0.25">
      <c r="B37" s="46" t="s">
        <v>102</v>
      </c>
      <c r="C37" s="46"/>
    </row>
    <row r="39" spans="2:21" ht="15.6" x14ac:dyDescent="0.25">
      <c r="B39" s="10" t="s">
        <v>38</v>
      </c>
      <c r="C39" s="10" t="s">
        <v>39</v>
      </c>
      <c r="D39" s="10" t="s">
        <v>10</v>
      </c>
      <c r="E39" s="10" t="s">
        <v>40</v>
      </c>
      <c r="F39" s="10" t="s">
        <v>11</v>
      </c>
      <c r="G39" s="10" t="s">
        <v>41</v>
      </c>
      <c r="H39" s="11" t="s">
        <v>12</v>
      </c>
      <c r="I39" s="10" t="s">
        <v>42</v>
      </c>
      <c r="J39" s="11" t="s">
        <v>43</v>
      </c>
      <c r="K39" s="11" t="s">
        <v>44</v>
      </c>
      <c r="L39" s="10" t="s">
        <v>45</v>
      </c>
    </row>
    <row r="40" spans="2:21" x14ac:dyDescent="0.25">
      <c r="B40" s="12">
        <v>1</v>
      </c>
      <c r="C40" s="12">
        <v>2</v>
      </c>
      <c r="D40" s="12">
        <v>3</v>
      </c>
      <c r="E40" s="12">
        <v>4</v>
      </c>
      <c r="F40" s="12">
        <v>5</v>
      </c>
      <c r="G40" s="12">
        <v>6</v>
      </c>
      <c r="H40" s="12">
        <v>7</v>
      </c>
      <c r="I40" s="12">
        <v>8</v>
      </c>
      <c r="J40" s="12">
        <v>9</v>
      </c>
      <c r="K40" s="12">
        <v>10</v>
      </c>
      <c r="L40" s="12">
        <v>11</v>
      </c>
    </row>
    <row r="41" spans="2:21" x14ac:dyDescent="0.25">
      <c r="B41" s="13" t="s">
        <v>53</v>
      </c>
      <c r="C41" s="14" t="s">
        <v>8</v>
      </c>
      <c r="D41" s="14" t="s">
        <v>9</v>
      </c>
      <c r="E41" s="50">
        <f>'Peralatan &amp; Koefisien  '!X4</f>
        <v>5.8287362838497559E-4</v>
      </c>
      <c r="F41" s="14">
        <v>1</v>
      </c>
      <c r="G41" s="14">
        <v>60</v>
      </c>
      <c r="H41" s="15">
        <f>E41/F41</f>
        <v>5.8287362838497559E-4</v>
      </c>
      <c r="I41" s="15">
        <f>'Peralatan &amp; Koefisien  '!Y4</f>
        <v>1.0027533616369373</v>
      </c>
      <c r="J41" s="15">
        <f>H41*I41</f>
        <v>5.8447849027255328E-4</v>
      </c>
      <c r="K41" s="15">
        <f>J41^2</f>
        <v>3.4161510559128314E-7</v>
      </c>
      <c r="L41" s="15">
        <f>K41^2/G41</f>
        <v>1.9450146728023921E-15</v>
      </c>
    </row>
    <row r="42" spans="2:21" x14ac:dyDescent="0.25">
      <c r="B42" s="16" t="s">
        <v>54</v>
      </c>
      <c r="C42" s="14" t="s">
        <v>8</v>
      </c>
      <c r="D42" s="17" t="s">
        <v>9</v>
      </c>
      <c r="E42" s="50">
        <f>'Peralatan &amp; Koefisien  '!X5</f>
        <v>0.25367876736932621</v>
      </c>
      <c r="F42" s="17">
        <v>1</v>
      </c>
      <c r="G42" s="17">
        <v>60</v>
      </c>
      <c r="H42" s="18">
        <f t="shared" ref="H42:H48" si="4">E42/F42</f>
        <v>0.25367876736932621</v>
      </c>
      <c r="I42" s="15">
        <f>'Peralatan &amp; Koefisien  '!Y5</f>
        <v>-9.8371166222493256E-6</v>
      </c>
      <c r="J42" s="18">
        <f t="shared" ref="J42:J48" si="5">H42*I42</f>
        <v>-2.4954676192005186E-6</v>
      </c>
      <c r="K42" s="18">
        <f t="shared" ref="K42:K48" si="6">J42^2</f>
        <v>6.2273586384783041E-12</v>
      </c>
      <c r="L42" s="18">
        <f t="shared" ref="L42:L48" si="7">K42^2/G42</f>
        <v>6.4633326020383924E-25</v>
      </c>
    </row>
    <row r="43" spans="2:21" x14ac:dyDescent="0.25">
      <c r="B43" s="19" t="s">
        <v>55</v>
      </c>
      <c r="C43" s="14" t="s">
        <v>8</v>
      </c>
      <c r="D43" s="18" t="s">
        <v>9</v>
      </c>
      <c r="E43" s="50">
        <f>'Peralatan &amp; Koefisien  '!X6</f>
        <v>4.4212719851993257E-5</v>
      </c>
      <c r="F43" s="18">
        <v>1</v>
      </c>
      <c r="G43" s="18">
        <v>60</v>
      </c>
      <c r="H43" s="18">
        <f t="shared" si="4"/>
        <v>4.4212719851993257E-5</v>
      </c>
      <c r="I43" s="15">
        <f>'Peralatan &amp; Koefisien  '!Y6</f>
        <v>-0.99652154861218034</v>
      </c>
      <c r="J43" s="18">
        <f t="shared" si="5"/>
        <v>-4.405892805526481E-5</v>
      </c>
      <c r="K43" s="18">
        <f t="shared" si="6"/>
        <v>1.9411891413790005E-9</v>
      </c>
      <c r="L43" s="18">
        <f t="shared" si="7"/>
        <v>6.2803588043462358E-20</v>
      </c>
    </row>
    <row r="44" spans="2:21" x14ac:dyDescent="0.25">
      <c r="B44" s="19" t="s">
        <v>56</v>
      </c>
      <c r="C44" s="14" t="s">
        <v>8</v>
      </c>
      <c r="D44" s="18" t="s">
        <v>96</v>
      </c>
      <c r="E44" s="50">
        <f>'Peralatan &amp; Koefisien  '!X7</f>
        <v>1.4091221310526325E-5</v>
      </c>
      <c r="F44" s="18">
        <v>1</v>
      </c>
      <c r="G44" s="18">
        <v>60</v>
      </c>
      <c r="H44" s="18">
        <f t="shared" si="4"/>
        <v>1.4091221310526325E-5</v>
      </c>
      <c r="I44" s="15">
        <f>'Peralatan &amp; Koefisien  '!Y7</f>
        <v>0.87153431620784527</v>
      </c>
      <c r="J44" s="18">
        <f t="shared" si="5"/>
        <v>1.2280982929402977E-5</v>
      </c>
      <c r="K44" s="18">
        <f t="shared" si="6"/>
        <v>1.5082254171228733E-10</v>
      </c>
      <c r="L44" s="18">
        <f t="shared" si="7"/>
        <v>3.7912398480924425E-22</v>
      </c>
    </row>
    <row r="45" spans="2:21" x14ac:dyDescent="0.25">
      <c r="B45" s="20" t="s">
        <v>57</v>
      </c>
      <c r="C45" s="14" t="s">
        <v>8</v>
      </c>
      <c r="D45" s="21" t="s">
        <v>9</v>
      </c>
      <c r="E45" s="50">
        <f>'Peralatan &amp; Koefisien  '!X8</f>
        <v>0.14000000000000001</v>
      </c>
      <c r="F45" s="21">
        <v>2</v>
      </c>
      <c r="G45" s="18">
        <v>60</v>
      </c>
      <c r="H45" s="18">
        <f t="shared" si="4"/>
        <v>7.0000000000000007E-2</v>
      </c>
      <c r="I45" s="15">
        <f>'Peralatan &amp; Koefisien  '!Y8</f>
        <v>1.7252161485140357E-5</v>
      </c>
      <c r="J45" s="18">
        <f t="shared" si="5"/>
        <v>1.2076513039598251E-6</v>
      </c>
      <c r="K45" s="18">
        <f t="shared" si="6"/>
        <v>1.4584216719558658E-12</v>
      </c>
      <c r="L45" s="18">
        <f t="shared" si="7"/>
        <v>3.5449896220509047E-26</v>
      </c>
    </row>
    <row r="46" spans="2:21" x14ac:dyDescent="0.25">
      <c r="B46" s="20" t="s">
        <v>58</v>
      </c>
      <c r="C46" s="14" t="s">
        <v>8</v>
      </c>
      <c r="D46" s="21" t="s">
        <v>97</v>
      </c>
      <c r="E46" s="50">
        <f>'Peralatan &amp; Koefisien  '!X9</f>
        <v>5.7157676649772954E-7</v>
      </c>
      <c r="F46" s="21">
        <v>1</v>
      </c>
      <c r="G46" s="18">
        <v>50</v>
      </c>
      <c r="H46" s="18">
        <f t="shared" si="4"/>
        <v>5.7157676649772954E-7</v>
      </c>
      <c r="I46" s="15">
        <f>'Peralatan &amp; Koefisien  '!Y9</f>
        <v>-19.83721005357668</v>
      </c>
      <c r="J46" s="18">
        <f t="shared" si="5"/>
        <v>-1.1338488378759611E-5</v>
      </c>
      <c r="K46" s="18">
        <f t="shared" si="6"/>
        <v>1.2856131871526674E-10</v>
      </c>
      <c r="L46" s="18">
        <f t="shared" si="7"/>
        <v>3.305602533961679E-22</v>
      </c>
    </row>
    <row r="47" spans="2:21" x14ac:dyDescent="0.25">
      <c r="B47" s="20" t="s">
        <v>59</v>
      </c>
      <c r="C47" s="14" t="s">
        <v>8</v>
      </c>
      <c r="D47" s="21" t="s">
        <v>97</v>
      </c>
      <c r="E47" s="50">
        <f>'Peralatan &amp; Koefisien  '!X10</f>
        <v>6.2333924234627542E-4</v>
      </c>
      <c r="F47" s="21">
        <v>1</v>
      </c>
      <c r="G47" s="21">
        <v>50</v>
      </c>
      <c r="H47" s="18">
        <f t="shared" si="4"/>
        <v>6.2333924234627542E-4</v>
      </c>
      <c r="I47" s="15">
        <f>'Peralatan &amp; Koefisien  '!Y10</f>
        <v>1</v>
      </c>
      <c r="J47" s="18">
        <f t="shared" si="5"/>
        <v>6.2333924234627542E-4</v>
      </c>
      <c r="K47" s="18">
        <f t="shared" si="6"/>
        <v>3.8855181104882867E-7</v>
      </c>
      <c r="L47" s="18">
        <f t="shared" si="7"/>
        <v>3.0194501973864929E-15</v>
      </c>
    </row>
    <row r="48" spans="2:21" x14ac:dyDescent="0.25">
      <c r="B48" s="20" t="s">
        <v>60</v>
      </c>
      <c r="C48" s="14" t="s">
        <v>8</v>
      </c>
      <c r="D48" s="21" t="s">
        <v>9</v>
      </c>
      <c r="E48" s="50">
        <f>'Peralatan &amp; Koefisien  '!X11</f>
        <v>1.7555010783642498E-3</v>
      </c>
      <c r="F48" s="21">
        <v>1</v>
      </c>
      <c r="G48" s="21">
        <v>4</v>
      </c>
      <c r="H48" s="18">
        <f t="shared" si="4"/>
        <v>1.7555010783642498E-3</v>
      </c>
      <c r="I48" s="15">
        <f>'Peralatan &amp; Koefisien  '!Y11</f>
        <v>1</v>
      </c>
      <c r="J48" s="18">
        <f t="shared" si="5"/>
        <v>1.7555010783642498E-3</v>
      </c>
      <c r="K48" s="18">
        <f t="shared" si="6"/>
        <v>3.0817840361380439E-6</v>
      </c>
      <c r="L48" s="18">
        <f t="shared" si="7"/>
        <v>2.3743482113488231E-12</v>
      </c>
    </row>
    <row r="49" spans="2:12" x14ac:dyDescent="0.25">
      <c r="B49" s="23" t="s">
        <v>46</v>
      </c>
      <c r="C49" s="24"/>
      <c r="D49" s="24"/>
      <c r="E49" s="25"/>
      <c r="F49" s="24"/>
      <c r="G49" s="24"/>
      <c r="H49" s="24"/>
      <c r="I49" s="24"/>
      <c r="J49" s="26"/>
      <c r="K49" s="27">
        <f>SUM(K41:K48)</f>
        <v>3.8141792115602728E-6</v>
      </c>
      <c r="L49" s="14">
        <f>SUM(L41:L48)</f>
        <v>2.3793127397329662E-12</v>
      </c>
    </row>
    <row r="50" spans="2:12" x14ac:dyDescent="0.25">
      <c r="B50" s="28" t="s">
        <v>47</v>
      </c>
      <c r="C50" s="29"/>
      <c r="D50" s="29"/>
      <c r="E50" s="30"/>
      <c r="F50" s="29"/>
      <c r="G50" s="29"/>
      <c r="H50" s="29"/>
      <c r="I50" s="29"/>
      <c r="J50" s="31"/>
      <c r="K50" s="32">
        <f>SQRT(K49)</f>
        <v>1.9529923736564547E-3</v>
      </c>
      <c r="L50" s="18"/>
    </row>
    <row r="51" spans="2:12" x14ac:dyDescent="0.25">
      <c r="B51" s="28" t="s">
        <v>48</v>
      </c>
      <c r="C51" s="29"/>
      <c r="D51" s="29"/>
      <c r="E51" s="30"/>
      <c r="F51" s="29"/>
      <c r="G51" s="29"/>
      <c r="H51" s="29"/>
      <c r="I51" s="29"/>
      <c r="J51" s="31"/>
      <c r="K51" s="32">
        <f>(K50^4)/L49</f>
        <v>6.1143551307724628</v>
      </c>
      <c r="L51" s="18"/>
    </row>
    <row r="52" spans="2:12" x14ac:dyDescent="0.25">
      <c r="B52" s="28" t="s">
        <v>49</v>
      </c>
      <c r="C52" s="29"/>
      <c r="D52" s="29"/>
      <c r="E52" s="30"/>
      <c r="F52" s="29"/>
      <c r="G52" s="29"/>
      <c r="H52" s="29"/>
      <c r="I52" s="29"/>
      <c r="J52" s="31"/>
      <c r="K52" s="33">
        <f>TINV(0.05,K51)</f>
        <v>2.4469118511449697</v>
      </c>
      <c r="L52" s="18"/>
    </row>
    <row r="53" spans="2:12" x14ac:dyDescent="0.25">
      <c r="B53" s="28" t="s">
        <v>50</v>
      </c>
      <c r="C53" s="29"/>
      <c r="D53" s="34"/>
      <c r="E53" s="30"/>
      <c r="F53" s="29"/>
      <c r="G53" s="29"/>
      <c r="H53" s="29"/>
      <c r="I53" s="29"/>
      <c r="J53" s="31"/>
      <c r="K53" s="32">
        <f>K52*K50</f>
        <v>4.7788001842957242E-3</v>
      </c>
      <c r="L53" s="18"/>
    </row>
    <row r="54" spans="2:12" x14ac:dyDescent="0.25">
      <c r="B54" s="35" t="s">
        <v>51</v>
      </c>
      <c r="C54" s="34"/>
      <c r="E54" s="36"/>
      <c r="F54" s="34"/>
      <c r="G54" s="34"/>
      <c r="H54" s="34"/>
      <c r="I54" s="34"/>
      <c r="J54" s="31"/>
      <c r="K54" s="43">
        <f>K52*K50</f>
        <v>4.7788001842957242E-3</v>
      </c>
      <c r="L54" s="21" t="s">
        <v>7</v>
      </c>
    </row>
    <row r="55" spans="2:12" x14ac:dyDescent="0.25">
      <c r="B55" s="37" t="s">
        <v>52</v>
      </c>
      <c r="C55" s="38"/>
      <c r="D55" s="38"/>
      <c r="E55" s="38"/>
      <c r="F55" s="38"/>
      <c r="G55" s="38"/>
      <c r="H55" s="38"/>
      <c r="I55" s="38"/>
      <c r="J55" s="38"/>
      <c r="K55" s="44">
        <f>K54/1000</f>
        <v>4.7788001842957243E-6</v>
      </c>
      <c r="L55" s="22" t="s">
        <v>95</v>
      </c>
    </row>
    <row r="56" spans="2:12" x14ac:dyDescent="0.25">
      <c r="B56" s="112" t="s">
        <v>309</v>
      </c>
      <c r="C56" s="112"/>
      <c r="D56" s="112"/>
      <c r="E56" s="112"/>
      <c r="F56" s="112"/>
      <c r="G56" s="112"/>
      <c r="H56" s="112"/>
      <c r="I56" s="112"/>
      <c r="J56" s="112"/>
      <c r="K56" s="114" cm="1">
        <f t="array" ref="K56">IFERROR(INDEX($U$14:$U$34, MATCH(1, (D36&gt;=$S$14:$S$34)*(D36&lt;=$T$14:$T$34)*(C36=$R$14:$R$34), 0)),0)</f>
        <v>2.1000000000000001E-2</v>
      </c>
      <c r="L56" s="113" t="s">
        <v>226</v>
      </c>
    </row>
    <row r="59" spans="2:12" x14ac:dyDescent="0.25">
      <c r="B59" s="47" t="s">
        <v>100</v>
      </c>
    </row>
    <row r="60" spans="2:12" x14ac:dyDescent="0.25">
      <c r="B60" s="45" t="s">
        <v>98</v>
      </c>
      <c r="C60" s="45" t="s">
        <v>101</v>
      </c>
    </row>
    <row r="61" spans="2:12" x14ac:dyDescent="0.25">
      <c r="B61" s="46" t="s">
        <v>99</v>
      </c>
      <c r="C61" s="46" t="str">
        <f>CONCATENATE('Isian '!$B$6)</f>
        <v xml:space="preserve">Gelas Ukur </v>
      </c>
      <c r="D61">
        <f>'Isian '!$B$10*3/5</f>
        <v>6</v>
      </c>
      <c r="E61" t="s">
        <v>7</v>
      </c>
    </row>
    <row r="62" spans="2:12" x14ac:dyDescent="0.25">
      <c r="B62" s="46" t="s">
        <v>102</v>
      </c>
      <c r="C62" s="46"/>
    </row>
    <row r="64" spans="2:12" ht="15.6" x14ac:dyDescent="0.25">
      <c r="B64" s="10" t="s">
        <v>38</v>
      </c>
      <c r="C64" s="10" t="s">
        <v>39</v>
      </c>
      <c r="D64" s="10" t="s">
        <v>10</v>
      </c>
      <c r="E64" s="10" t="s">
        <v>40</v>
      </c>
      <c r="F64" s="10" t="s">
        <v>11</v>
      </c>
      <c r="G64" s="10" t="s">
        <v>41</v>
      </c>
      <c r="H64" s="11" t="s">
        <v>12</v>
      </c>
      <c r="I64" s="10" t="s">
        <v>42</v>
      </c>
      <c r="J64" s="11" t="s">
        <v>43</v>
      </c>
      <c r="K64" s="11" t="s">
        <v>44</v>
      </c>
      <c r="L64" s="10" t="s">
        <v>45</v>
      </c>
    </row>
    <row r="65" spans="2:12" x14ac:dyDescent="0.25">
      <c r="B65" s="12">
        <v>1</v>
      </c>
      <c r="C65" s="12">
        <v>2</v>
      </c>
      <c r="D65" s="12">
        <v>3</v>
      </c>
      <c r="E65" s="12">
        <v>4</v>
      </c>
      <c r="F65" s="12">
        <v>5</v>
      </c>
      <c r="G65" s="12">
        <v>6</v>
      </c>
      <c r="H65" s="12">
        <v>7</v>
      </c>
      <c r="I65" s="12">
        <v>8</v>
      </c>
      <c r="J65" s="12">
        <v>9</v>
      </c>
      <c r="K65" s="12">
        <v>10</v>
      </c>
      <c r="L65" s="12">
        <v>11</v>
      </c>
    </row>
    <row r="66" spans="2:12" x14ac:dyDescent="0.25">
      <c r="B66" s="13" t="s">
        <v>53</v>
      </c>
      <c r="C66" s="14" t="s">
        <v>8</v>
      </c>
      <c r="D66" s="14" t="s">
        <v>9</v>
      </c>
      <c r="E66" s="50">
        <f>'Peralatan &amp; Koefisien  '!Z4</f>
        <v>5.8287362838497559E-4</v>
      </c>
      <c r="F66" s="14">
        <v>1</v>
      </c>
      <c r="G66" s="14">
        <v>60</v>
      </c>
      <c r="H66" s="15">
        <f>E66/F66</f>
        <v>5.8287362838497559E-4</v>
      </c>
      <c r="I66" s="15">
        <f>'Peralatan &amp; Koefisien  '!AA4</f>
        <v>1.0027533616369373</v>
      </c>
      <c r="J66" s="15">
        <f>H66*I66</f>
        <v>5.8447849027255328E-4</v>
      </c>
      <c r="K66" s="15">
        <f>J66^2</f>
        <v>3.4161510559128314E-7</v>
      </c>
      <c r="L66" s="15">
        <f>K66^2/G66</f>
        <v>1.9450146728023921E-15</v>
      </c>
    </row>
    <row r="67" spans="2:12" x14ac:dyDescent="0.25">
      <c r="B67" s="16" t="s">
        <v>54</v>
      </c>
      <c r="C67" s="14" t="s">
        <v>8</v>
      </c>
      <c r="D67" s="17" t="s">
        <v>9</v>
      </c>
      <c r="E67" s="50">
        <f>'Peralatan &amp; Koefisien  '!Z5</f>
        <v>0.25367876736932621</v>
      </c>
      <c r="F67" s="17">
        <v>1</v>
      </c>
      <c r="G67" s="17">
        <v>60</v>
      </c>
      <c r="H67" s="18">
        <f t="shared" ref="H67:H73" si="8">E67/F67</f>
        <v>0.25367876736932621</v>
      </c>
      <c r="I67" s="15">
        <f>'Peralatan &amp; Koefisien  '!AA5</f>
        <v>-9.8371166222493256E-6</v>
      </c>
      <c r="J67" s="18">
        <f t="shared" ref="J67:J73" si="9">H67*I67</f>
        <v>-2.4954676192005186E-6</v>
      </c>
      <c r="K67" s="18">
        <f t="shared" ref="K67:K73" si="10">J67^2</f>
        <v>6.2273586384783041E-12</v>
      </c>
      <c r="L67" s="18">
        <f t="shared" ref="L67:L73" si="11">K67^2/G67</f>
        <v>6.4633326020383924E-25</v>
      </c>
    </row>
    <row r="68" spans="2:12" x14ac:dyDescent="0.25">
      <c r="B68" s="19" t="s">
        <v>55</v>
      </c>
      <c r="C68" s="14" t="s">
        <v>8</v>
      </c>
      <c r="D68" s="18" t="s">
        <v>9</v>
      </c>
      <c r="E68" s="50">
        <f>'Peralatan &amp; Koefisien  '!Z6</f>
        <v>4.4212719851993257E-5</v>
      </c>
      <c r="F68" s="18">
        <v>1</v>
      </c>
      <c r="G68" s="18">
        <v>60</v>
      </c>
      <c r="H68" s="18">
        <f t="shared" si="8"/>
        <v>4.4212719851993257E-5</v>
      </c>
      <c r="I68" s="15">
        <f>'Peralatan &amp; Koefisien  '!AA6</f>
        <v>-0.99652154861218034</v>
      </c>
      <c r="J68" s="18">
        <f t="shared" si="9"/>
        <v>-4.405892805526481E-5</v>
      </c>
      <c r="K68" s="18">
        <f t="shared" si="10"/>
        <v>1.9411891413790005E-9</v>
      </c>
      <c r="L68" s="18">
        <f t="shared" si="11"/>
        <v>6.2803588043462358E-20</v>
      </c>
    </row>
    <row r="69" spans="2:12" x14ac:dyDescent="0.25">
      <c r="B69" s="19" t="s">
        <v>56</v>
      </c>
      <c r="C69" s="14" t="s">
        <v>8</v>
      </c>
      <c r="D69" s="18" t="s">
        <v>96</v>
      </c>
      <c r="E69" s="50">
        <f>'Peralatan &amp; Koefisien  '!Z7</f>
        <v>1.4091221310526325E-5</v>
      </c>
      <c r="F69" s="18">
        <v>1</v>
      </c>
      <c r="G69" s="18">
        <v>60</v>
      </c>
      <c r="H69" s="18">
        <f t="shared" si="8"/>
        <v>1.4091221310526325E-5</v>
      </c>
      <c r="I69" s="15">
        <f>'Peralatan &amp; Koefisien  '!AA7</f>
        <v>0.87153431620784527</v>
      </c>
      <c r="J69" s="18">
        <f t="shared" si="9"/>
        <v>1.2280982929402977E-5</v>
      </c>
      <c r="K69" s="18">
        <f t="shared" si="10"/>
        <v>1.5082254171228733E-10</v>
      </c>
      <c r="L69" s="18">
        <f t="shared" si="11"/>
        <v>3.7912398480924425E-22</v>
      </c>
    </row>
    <row r="70" spans="2:12" x14ac:dyDescent="0.25">
      <c r="B70" s="20" t="s">
        <v>57</v>
      </c>
      <c r="C70" s="14" t="s">
        <v>8</v>
      </c>
      <c r="D70" s="21" t="s">
        <v>9</v>
      </c>
      <c r="E70" s="50">
        <f>'Peralatan &amp; Koefisien  '!Z8</f>
        <v>0.14000000000000001</v>
      </c>
      <c r="F70" s="21">
        <v>2</v>
      </c>
      <c r="G70" s="18">
        <v>60</v>
      </c>
      <c r="H70" s="18">
        <f t="shared" si="8"/>
        <v>7.0000000000000007E-2</v>
      </c>
      <c r="I70" s="15">
        <f>'Peralatan &amp; Koefisien  '!AA8</f>
        <v>1.7252161485140357E-5</v>
      </c>
      <c r="J70" s="18">
        <f t="shared" si="9"/>
        <v>1.2076513039598251E-6</v>
      </c>
      <c r="K70" s="18">
        <f t="shared" si="10"/>
        <v>1.4584216719558658E-12</v>
      </c>
      <c r="L70" s="18">
        <f t="shared" si="11"/>
        <v>3.5449896220509047E-26</v>
      </c>
    </row>
    <row r="71" spans="2:12" x14ac:dyDescent="0.25">
      <c r="B71" s="20" t="s">
        <v>58</v>
      </c>
      <c r="C71" s="14" t="s">
        <v>8</v>
      </c>
      <c r="D71" s="21" t="s">
        <v>97</v>
      </c>
      <c r="E71" s="50">
        <f>'Peralatan &amp; Koefisien  '!Z9</f>
        <v>5.7157676649772954E-7</v>
      </c>
      <c r="F71" s="21">
        <v>1</v>
      </c>
      <c r="G71" s="18">
        <v>50</v>
      </c>
      <c r="H71" s="18">
        <f t="shared" si="8"/>
        <v>5.7157676649772954E-7</v>
      </c>
      <c r="I71" s="15">
        <f>'Peralatan &amp; Koefisien  '!AA9</f>
        <v>-19.83721005357668</v>
      </c>
      <c r="J71" s="18">
        <f t="shared" si="9"/>
        <v>-1.1338488378759611E-5</v>
      </c>
      <c r="K71" s="18">
        <f t="shared" si="10"/>
        <v>1.2856131871526674E-10</v>
      </c>
      <c r="L71" s="18">
        <f t="shared" si="11"/>
        <v>3.305602533961679E-22</v>
      </c>
    </row>
    <row r="72" spans="2:12" x14ac:dyDescent="0.25">
      <c r="B72" s="20" t="s">
        <v>59</v>
      </c>
      <c r="C72" s="14" t="s">
        <v>8</v>
      </c>
      <c r="D72" s="21" t="s">
        <v>97</v>
      </c>
      <c r="E72" s="50">
        <f>'Peralatan &amp; Koefisien  '!Z10</f>
        <v>6.2333924234627542E-4</v>
      </c>
      <c r="F72" s="21">
        <v>1</v>
      </c>
      <c r="G72" s="21">
        <v>50</v>
      </c>
      <c r="H72" s="18">
        <f t="shared" si="8"/>
        <v>6.2333924234627542E-4</v>
      </c>
      <c r="I72" s="15">
        <f>'Peralatan &amp; Koefisien  '!AA10</f>
        <v>1</v>
      </c>
      <c r="J72" s="18">
        <f t="shared" si="9"/>
        <v>6.2333924234627542E-4</v>
      </c>
      <c r="K72" s="18">
        <f t="shared" si="10"/>
        <v>3.8855181104882867E-7</v>
      </c>
      <c r="L72" s="18">
        <f t="shared" si="11"/>
        <v>3.0194501973864929E-15</v>
      </c>
    </row>
    <row r="73" spans="2:12" x14ac:dyDescent="0.25">
      <c r="B73" s="20" t="s">
        <v>60</v>
      </c>
      <c r="C73" s="14" t="s">
        <v>8</v>
      </c>
      <c r="D73" s="21" t="s">
        <v>9</v>
      </c>
      <c r="E73" s="50">
        <f>'Peralatan &amp; Koefisien  '!Z11</f>
        <v>1.7555010783642498E-3</v>
      </c>
      <c r="F73" s="21">
        <v>1</v>
      </c>
      <c r="G73" s="21">
        <v>4</v>
      </c>
      <c r="H73" s="18">
        <f t="shared" si="8"/>
        <v>1.7555010783642498E-3</v>
      </c>
      <c r="I73" s="15">
        <f>'Peralatan &amp; Koefisien  '!AA11</f>
        <v>1</v>
      </c>
      <c r="J73" s="18">
        <f t="shared" si="9"/>
        <v>1.7555010783642498E-3</v>
      </c>
      <c r="K73" s="18">
        <f t="shared" si="10"/>
        <v>3.0817840361380439E-6</v>
      </c>
      <c r="L73" s="18">
        <f t="shared" si="11"/>
        <v>2.3743482113488231E-12</v>
      </c>
    </row>
    <row r="74" spans="2:12" x14ac:dyDescent="0.25">
      <c r="B74" s="23" t="s">
        <v>46</v>
      </c>
      <c r="C74" s="24"/>
      <c r="D74" s="24"/>
      <c r="E74" s="25"/>
      <c r="F74" s="24"/>
      <c r="G74" s="24"/>
      <c r="H74" s="24"/>
      <c r="I74" s="24"/>
      <c r="J74" s="26"/>
      <c r="K74" s="27">
        <f>SUM(K66:K73)</f>
        <v>3.8141792115602728E-6</v>
      </c>
      <c r="L74" s="14">
        <f>SUM(L66:L73)</f>
        <v>2.3793127397329662E-12</v>
      </c>
    </row>
    <row r="75" spans="2:12" x14ac:dyDescent="0.25">
      <c r="B75" s="28" t="s">
        <v>47</v>
      </c>
      <c r="C75" s="29"/>
      <c r="D75" s="29"/>
      <c r="E75" s="30"/>
      <c r="F75" s="29"/>
      <c r="G75" s="29"/>
      <c r="H75" s="29"/>
      <c r="I75" s="29"/>
      <c r="J75" s="31"/>
      <c r="K75" s="32">
        <f>SQRT(K74)</f>
        <v>1.9529923736564547E-3</v>
      </c>
      <c r="L75" s="18"/>
    </row>
    <row r="76" spans="2:12" x14ac:dyDescent="0.25">
      <c r="B76" s="28" t="s">
        <v>48</v>
      </c>
      <c r="C76" s="29"/>
      <c r="D76" s="29"/>
      <c r="E76" s="30"/>
      <c r="F76" s="29"/>
      <c r="G76" s="29"/>
      <c r="H76" s="29"/>
      <c r="I76" s="29"/>
      <c r="J76" s="31"/>
      <c r="K76" s="32">
        <f>(K75^4)/L74</f>
        <v>6.1143551307724628</v>
      </c>
      <c r="L76" s="18"/>
    </row>
    <row r="77" spans="2:12" x14ac:dyDescent="0.25">
      <c r="B77" s="28" t="s">
        <v>49</v>
      </c>
      <c r="C77" s="29"/>
      <c r="D77" s="29"/>
      <c r="E77" s="30"/>
      <c r="F77" s="29"/>
      <c r="G77" s="29"/>
      <c r="H77" s="29"/>
      <c r="I77" s="29"/>
      <c r="J77" s="31"/>
      <c r="K77" s="33">
        <f>TINV(0.05,K76)</f>
        <v>2.4469118511449697</v>
      </c>
      <c r="L77" s="18"/>
    </row>
    <row r="78" spans="2:12" x14ac:dyDescent="0.25">
      <c r="B78" s="28" t="s">
        <v>50</v>
      </c>
      <c r="C78" s="29"/>
      <c r="D78" s="34"/>
      <c r="E78" s="30"/>
      <c r="F78" s="29"/>
      <c r="G78" s="29"/>
      <c r="H78" s="29"/>
      <c r="I78" s="29"/>
      <c r="J78" s="31"/>
      <c r="K78" s="32">
        <f>K77*K75</f>
        <v>4.7788001842957242E-3</v>
      </c>
      <c r="L78" s="18"/>
    </row>
    <row r="79" spans="2:12" x14ac:dyDescent="0.25">
      <c r="B79" s="35" t="s">
        <v>51</v>
      </c>
      <c r="C79" s="34"/>
      <c r="E79" s="36"/>
      <c r="F79" s="34"/>
      <c r="G79" s="34"/>
      <c r="H79" s="34"/>
      <c r="I79" s="34"/>
      <c r="J79" s="31"/>
      <c r="K79" s="43">
        <f>K77*K75</f>
        <v>4.7788001842957242E-3</v>
      </c>
      <c r="L79" s="21" t="s">
        <v>7</v>
      </c>
    </row>
    <row r="80" spans="2:12" x14ac:dyDescent="0.25">
      <c r="B80" s="37" t="s">
        <v>52</v>
      </c>
      <c r="C80" s="38"/>
      <c r="D80" s="38"/>
      <c r="E80" s="38"/>
      <c r="F80" s="38"/>
      <c r="G80" s="38"/>
      <c r="H80" s="38"/>
      <c r="I80" s="38"/>
      <c r="J80" s="38"/>
      <c r="K80" s="44">
        <f>K79/1000</f>
        <v>4.7788001842957243E-6</v>
      </c>
      <c r="L80" s="22" t="s">
        <v>95</v>
      </c>
    </row>
    <row r="81" spans="2:12" x14ac:dyDescent="0.25">
      <c r="B81" s="112" t="s">
        <v>309</v>
      </c>
      <c r="C81" s="112"/>
      <c r="D81" s="112"/>
      <c r="E81" s="112"/>
      <c r="F81" s="112"/>
      <c r="G81" s="112"/>
      <c r="H81" s="112"/>
      <c r="I81" s="112"/>
      <c r="J81" s="112"/>
      <c r="K81" s="159" cm="1">
        <f t="array" ref="K81">IFERROR(INDEX($U$14:$U$34, MATCH(1, (D61&gt;=$S$14:$S$34)*(D61&lt;=$T$14:$T$34)*(C61=$R$14:$R$34), 0)),0)</f>
        <v>2.1000000000000001E-2</v>
      </c>
      <c r="L81" s="113" t="s">
        <v>226</v>
      </c>
    </row>
    <row r="84" spans="2:12" x14ac:dyDescent="0.25">
      <c r="B84" s="47" t="s">
        <v>100</v>
      </c>
    </row>
    <row r="85" spans="2:12" x14ac:dyDescent="0.25">
      <c r="B85" s="45" t="s">
        <v>98</v>
      </c>
      <c r="C85" s="45" t="s">
        <v>101</v>
      </c>
    </row>
    <row r="86" spans="2:12" x14ac:dyDescent="0.25">
      <c r="B86" s="46" t="s">
        <v>99</v>
      </c>
      <c r="C86" s="46" t="str">
        <f>CONCATENATE('Isian '!$B$6)</f>
        <v xml:space="preserve">Gelas Ukur </v>
      </c>
      <c r="D86">
        <f>'Isian '!$B$10*4/5</f>
        <v>8</v>
      </c>
      <c r="E86" t="s">
        <v>7</v>
      </c>
    </row>
    <row r="87" spans="2:12" x14ac:dyDescent="0.25">
      <c r="B87" s="46" t="s">
        <v>102</v>
      </c>
      <c r="C87" s="46"/>
    </row>
    <row r="89" spans="2:12" ht="15.6" x14ac:dyDescent="0.25">
      <c r="B89" s="10" t="s">
        <v>38</v>
      </c>
      <c r="C89" s="10" t="s">
        <v>39</v>
      </c>
      <c r="D89" s="10" t="s">
        <v>10</v>
      </c>
      <c r="E89" s="10" t="s">
        <v>40</v>
      </c>
      <c r="F89" s="10" t="s">
        <v>11</v>
      </c>
      <c r="G89" s="10" t="s">
        <v>41</v>
      </c>
      <c r="H89" s="11" t="s">
        <v>12</v>
      </c>
      <c r="I89" s="10" t="s">
        <v>42</v>
      </c>
      <c r="J89" s="11" t="s">
        <v>43</v>
      </c>
      <c r="K89" s="11" t="s">
        <v>44</v>
      </c>
      <c r="L89" s="10" t="s">
        <v>45</v>
      </c>
    </row>
    <row r="90" spans="2:12" x14ac:dyDescent="0.25">
      <c r="B90" s="12">
        <v>1</v>
      </c>
      <c r="C90" s="12">
        <v>2</v>
      </c>
      <c r="D90" s="12">
        <v>3</v>
      </c>
      <c r="E90" s="12">
        <v>4</v>
      </c>
      <c r="F90" s="12">
        <v>5</v>
      </c>
      <c r="G90" s="12">
        <v>6</v>
      </c>
      <c r="H90" s="12">
        <v>7</v>
      </c>
      <c r="I90" s="12">
        <v>8</v>
      </c>
      <c r="J90" s="12">
        <v>9</v>
      </c>
      <c r="K90" s="12">
        <v>10</v>
      </c>
      <c r="L90" s="12">
        <v>11</v>
      </c>
    </row>
    <row r="91" spans="2:12" x14ac:dyDescent="0.25">
      <c r="B91" s="13" t="s">
        <v>53</v>
      </c>
      <c r="C91" s="14" t="s">
        <v>8</v>
      </c>
      <c r="D91" s="14" t="s">
        <v>9</v>
      </c>
      <c r="E91" s="50">
        <f>'Peralatan &amp; Koefisien  '!AB4</f>
        <v>5.8287362838497559E-4</v>
      </c>
      <c r="F91" s="14">
        <v>1</v>
      </c>
      <c r="G91" s="14">
        <v>60</v>
      </c>
      <c r="H91" s="15">
        <f>E91/F91</f>
        <v>5.8287362838497559E-4</v>
      </c>
      <c r="I91" s="15">
        <f>'Peralatan &amp; Koefisien  '!AC4</f>
        <v>1.0027533616369373</v>
      </c>
      <c r="J91" s="15">
        <f>H91*I91</f>
        <v>5.8447849027255328E-4</v>
      </c>
      <c r="K91" s="15">
        <f>J91^2</f>
        <v>3.4161510559128314E-7</v>
      </c>
      <c r="L91" s="15">
        <f>K91^2/G91</f>
        <v>1.9450146728023921E-15</v>
      </c>
    </row>
    <row r="92" spans="2:12" x14ac:dyDescent="0.25">
      <c r="B92" s="16" t="s">
        <v>54</v>
      </c>
      <c r="C92" s="14" t="s">
        <v>8</v>
      </c>
      <c r="D92" s="17" t="s">
        <v>9</v>
      </c>
      <c r="E92" s="50">
        <f>'Peralatan &amp; Koefisien  '!AB5</f>
        <v>0.25367876736932621</v>
      </c>
      <c r="F92" s="17">
        <v>1</v>
      </c>
      <c r="G92" s="17">
        <v>60</v>
      </c>
      <c r="H92" s="18">
        <f t="shared" ref="H92:H98" si="12">E92/F92</f>
        <v>0.25367876736932621</v>
      </c>
      <c r="I92" s="15">
        <f>'Peralatan &amp; Koefisien  '!AC5</f>
        <v>-9.8371166222493256E-6</v>
      </c>
      <c r="J92" s="18">
        <f t="shared" ref="J92:J98" si="13">H92*I92</f>
        <v>-2.4954676192005186E-6</v>
      </c>
      <c r="K92" s="18">
        <f t="shared" ref="K92:K98" si="14">J92^2</f>
        <v>6.2273586384783041E-12</v>
      </c>
      <c r="L92" s="18">
        <f t="shared" ref="L92:L98" si="15">K92^2/G92</f>
        <v>6.4633326020383924E-25</v>
      </c>
    </row>
    <row r="93" spans="2:12" x14ac:dyDescent="0.25">
      <c r="B93" s="19" t="s">
        <v>55</v>
      </c>
      <c r="C93" s="14" t="s">
        <v>8</v>
      </c>
      <c r="D93" s="18" t="s">
        <v>9</v>
      </c>
      <c r="E93" s="50">
        <f>'Peralatan &amp; Koefisien  '!AB6</f>
        <v>4.4212719851993257E-5</v>
      </c>
      <c r="F93" s="18">
        <v>1</v>
      </c>
      <c r="G93" s="18">
        <v>60</v>
      </c>
      <c r="H93" s="18">
        <f t="shared" si="12"/>
        <v>4.4212719851993257E-5</v>
      </c>
      <c r="I93" s="15">
        <f>'Peralatan &amp; Koefisien  '!AC6</f>
        <v>-0.99652154861218034</v>
      </c>
      <c r="J93" s="18">
        <f t="shared" si="13"/>
        <v>-4.405892805526481E-5</v>
      </c>
      <c r="K93" s="18">
        <f t="shared" si="14"/>
        <v>1.9411891413790005E-9</v>
      </c>
      <c r="L93" s="18">
        <f t="shared" si="15"/>
        <v>6.2803588043462358E-20</v>
      </c>
    </row>
    <row r="94" spans="2:12" x14ac:dyDescent="0.25">
      <c r="B94" s="19" t="s">
        <v>56</v>
      </c>
      <c r="C94" s="14" t="s">
        <v>8</v>
      </c>
      <c r="D94" s="18" t="s">
        <v>96</v>
      </c>
      <c r="E94" s="50">
        <f>'Peralatan &amp; Koefisien  '!AB7</f>
        <v>1.4091221310526325E-5</v>
      </c>
      <c r="F94" s="18">
        <v>1</v>
      </c>
      <c r="G94" s="18">
        <v>60</v>
      </c>
      <c r="H94" s="18">
        <f t="shared" si="12"/>
        <v>1.4091221310526325E-5</v>
      </c>
      <c r="I94" s="15">
        <f>'Peralatan &amp; Koefisien  '!AC7</f>
        <v>0.87153431620784527</v>
      </c>
      <c r="J94" s="18">
        <f t="shared" si="13"/>
        <v>1.2280982929402977E-5</v>
      </c>
      <c r="K94" s="18">
        <f t="shared" si="14"/>
        <v>1.5082254171228733E-10</v>
      </c>
      <c r="L94" s="18">
        <f t="shared" si="15"/>
        <v>3.7912398480924425E-22</v>
      </c>
    </row>
    <row r="95" spans="2:12" x14ac:dyDescent="0.25">
      <c r="B95" s="20" t="s">
        <v>57</v>
      </c>
      <c r="C95" s="14" t="s">
        <v>8</v>
      </c>
      <c r="D95" s="21" t="s">
        <v>9</v>
      </c>
      <c r="E95" s="50">
        <f>'Peralatan &amp; Koefisien  '!AB8</f>
        <v>0.14000000000000001</v>
      </c>
      <c r="F95" s="21">
        <v>2</v>
      </c>
      <c r="G95" s="18">
        <v>60</v>
      </c>
      <c r="H95" s="18">
        <f t="shared" si="12"/>
        <v>7.0000000000000007E-2</v>
      </c>
      <c r="I95" s="15">
        <f>'Peralatan &amp; Koefisien  '!AC8</f>
        <v>1.7252161485140357E-5</v>
      </c>
      <c r="J95" s="18">
        <f t="shared" si="13"/>
        <v>1.2076513039598251E-6</v>
      </c>
      <c r="K95" s="18">
        <f t="shared" si="14"/>
        <v>1.4584216719558658E-12</v>
      </c>
      <c r="L95" s="18">
        <f t="shared" si="15"/>
        <v>3.5449896220509047E-26</v>
      </c>
    </row>
    <row r="96" spans="2:12" x14ac:dyDescent="0.25">
      <c r="B96" s="20" t="s">
        <v>58</v>
      </c>
      <c r="C96" s="14" t="s">
        <v>8</v>
      </c>
      <c r="D96" s="21" t="s">
        <v>97</v>
      </c>
      <c r="E96" s="50">
        <f>'Peralatan &amp; Koefisien  '!AB9</f>
        <v>5.7157676649772954E-7</v>
      </c>
      <c r="F96" s="21">
        <v>1</v>
      </c>
      <c r="G96" s="18">
        <v>50</v>
      </c>
      <c r="H96" s="18">
        <f t="shared" si="12"/>
        <v>5.7157676649772954E-7</v>
      </c>
      <c r="I96" s="15">
        <f>'Peralatan &amp; Koefisien  '!AC9</f>
        <v>-19.83721005357668</v>
      </c>
      <c r="J96" s="18">
        <f t="shared" si="13"/>
        <v>-1.1338488378759611E-5</v>
      </c>
      <c r="K96" s="18">
        <f t="shared" si="14"/>
        <v>1.2856131871526674E-10</v>
      </c>
      <c r="L96" s="18">
        <f t="shared" si="15"/>
        <v>3.305602533961679E-22</v>
      </c>
    </row>
    <row r="97" spans="2:12" x14ac:dyDescent="0.25">
      <c r="B97" s="20" t="s">
        <v>59</v>
      </c>
      <c r="C97" s="14" t="s">
        <v>8</v>
      </c>
      <c r="D97" s="21" t="s">
        <v>97</v>
      </c>
      <c r="E97" s="50">
        <f>'Peralatan &amp; Koefisien  '!AB10</f>
        <v>6.2333924234627542E-4</v>
      </c>
      <c r="F97" s="21">
        <v>1</v>
      </c>
      <c r="G97" s="21">
        <v>50</v>
      </c>
      <c r="H97" s="18">
        <f t="shared" si="12"/>
        <v>6.2333924234627542E-4</v>
      </c>
      <c r="I97" s="15">
        <f>'Peralatan &amp; Koefisien  '!AC10</f>
        <v>1</v>
      </c>
      <c r="J97" s="18">
        <f t="shared" si="13"/>
        <v>6.2333924234627542E-4</v>
      </c>
      <c r="K97" s="18">
        <f t="shared" si="14"/>
        <v>3.8855181104882867E-7</v>
      </c>
      <c r="L97" s="18">
        <f t="shared" si="15"/>
        <v>3.0194501973864929E-15</v>
      </c>
    </row>
    <row r="98" spans="2:12" x14ac:dyDescent="0.25">
      <c r="B98" s="20" t="s">
        <v>60</v>
      </c>
      <c r="C98" s="14" t="s">
        <v>8</v>
      </c>
      <c r="D98" s="21" t="s">
        <v>9</v>
      </c>
      <c r="E98" s="50">
        <f>'Peralatan &amp; Koefisien  '!AB11</f>
        <v>1.7555010783642498E-3</v>
      </c>
      <c r="F98" s="21">
        <v>1</v>
      </c>
      <c r="G98" s="21">
        <v>4</v>
      </c>
      <c r="H98" s="18">
        <f t="shared" si="12"/>
        <v>1.7555010783642498E-3</v>
      </c>
      <c r="I98" s="15">
        <f>'Peralatan &amp; Koefisien  '!AC11</f>
        <v>1</v>
      </c>
      <c r="J98" s="18">
        <f t="shared" si="13"/>
        <v>1.7555010783642498E-3</v>
      </c>
      <c r="K98" s="18">
        <f t="shared" si="14"/>
        <v>3.0817840361380439E-6</v>
      </c>
      <c r="L98" s="18">
        <f t="shared" si="15"/>
        <v>2.3743482113488231E-12</v>
      </c>
    </row>
    <row r="99" spans="2:12" x14ac:dyDescent="0.25">
      <c r="B99" s="23" t="s">
        <v>46</v>
      </c>
      <c r="C99" s="24"/>
      <c r="D99" s="24"/>
      <c r="E99" s="25"/>
      <c r="F99" s="24"/>
      <c r="G99" s="24"/>
      <c r="H99" s="24"/>
      <c r="I99" s="24"/>
      <c r="J99" s="26"/>
      <c r="K99" s="27">
        <f>SUM(K91:K98)</f>
        <v>3.8141792115602728E-6</v>
      </c>
      <c r="L99" s="14">
        <f>SUM(L91:L98)</f>
        <v>2.3793127397329662E-12</v>
      </c>
    </row>
    <row r="100" spans="2:12" x14ac:dyDescent="0.25">
      <c r="B100" s="28" t="s">
        <v>47</v>
      </c>
      <c r="C100" s="29"/>
      <c r="D100" s="29"/>
      <c r="E100" s="30"/>
      <c r="F100" s="29"/>
      <c r="G100" s="29"/>
      <c r="H100" s="29"/>
      <c r="I100" s="29"/>
      <c r="J100" s="31"/>
      <c r="K100" s="32">
        <f>SQRT(K99)</f>
        <v>1.9529923736564547E-3</v>
      </c>
      <c r="L100" s="18"/>
    </row>
    <row r="101" spans="2:12" x14ac:dyDescent="0.25">
      <c r="B101" s="28" t="s">
        <v>48</v>
      </c>
      <c r="C101" s="29"/>
      <c r="D101" s="29"/>
      <c r="E101" s="30"/>
      <c r="F101" s="29"/>
      <c r="G101" s="29"/>
      <c r="H101" s="29"/>
      <c r="I101" s="29"/>
      <c r="J101" s="31"/>
      <c r="K101" s="32">
        <f>(K100^4)/L99</f>
        <v>6.1143551307724628</v>
      </c>
      <c r="L101" s="18"/>
    </row>
    <row r="102" spans="2:12" x14ac:dyDescent="0.25">
      <c r="B102" s="28" t="s">
        <v>49</v>
      </c>
      <c r="C102" s="29"/>
      <c r="D102" s="29"/>
      <c r="E102" s="30"/>
      <c r="F102" s="29"/>
      <c r="G102" s="29"/>
      <c r="H102" s="29"/>
      <c r="I102" s="29"/>
      <c r="J102" s="31"/>
      <c r="K102" s="33">
        <f>TINV(0.05,K101)</f>
        <v>2.4469118511449697</v>
      </c>
      <c r="L102" s="18"/>
    </row>
    <row r="103" spans="2:12" x14ac:dyDescent="0.25">
      <c r="B103" s="28" t="s">
        <v>50</v>
      </c>
      <c r="C103" s="29"/>
      <c r="D103" s="34"/>
      <c r="E103" s="30"/>
      <c r="F103" s="29"/>
      <c r="G103" s="29"/>
      <c r="H103" s="29"/>
      <c r="I103" s="29"/>
      <c r="J103" s="31"/>
      <c r="K103" s="32">
        <f>K102*K100</f>
        <v>4.7788001842957242E-3</v>
      </c>
      <c r="L103" s="18"/>
    </row>
    <row r="104" spans="2:12" x14ac:dyDescent="0.25">
      <c r="B104" s="35" t="s">
        <v>51</v>
      </c>
      <c r="C104" s="34"/>
      <c r="E104" s="36"/>
      <c r="F104" s="34"/>
      <c r="G104" s="34"/>
      <c r="H104" s="34"/>
      <c r="I104" s="34"/>
      <c r="J104" s="31"/>
      <c r="K104" s="43">
        <f>K102*K100</f>
        <v>4.7788001842957242E-3</v>
      </c>
      <c r="L104" s="21" t="s">
        <v>7</v>
      </c>
    </row>
    <row r="105" spans="2:12" x14ac:dyDescent="0.25">
      <c r="B105" s="37" t="s">
        <v>52</v>
      </c>
      <c r="C105" s="38"/>
      <c r="D105" s="38"/>
      <c r="E105" s="38"/>
      <c r="F105" s="38"/>
      <c r="G105" s="38"/>
      <c r="H105" s="38"/>
      <c r="I105" s="38"/>
      <c r="J105" s="38"/>
      <c r="K105" s="44">
        <f>K104/1000</f>
        <v>4.7788001842957243E-6</v>
      </c>
      <c r="L105" s="22" t="s">
        <v>95</v>
      </c>
    </row>
    <row r="106" spans="2:12" x14ac:dyDescent="0.25">
      <c r="B106" s="112" t="s">
        <v>309</v>
      </c>
      <c r="C106" s="112"/>
      <c r="D106" s="112"/>
      <c r="E106" s="112"/>
      <c r="F106" s="112"/>
      <c r="G106" s="112"/>
      <c r="H106" s="112"/>
      <c r="I106" s="112"/>
      <c r="J106" s="112"/>
      <c r="K106" s="114" cm="1">
        <f t="array" ref="K106">IFERROR(INDEX($U$14:$U$34, MATCH(1, (D86&gt;=$S$14:$S$34)*(D86&lt;=$T$14:$T$34)*(C86=$R$14:$R$34), 0)),0)</f>
        <v>2.1000000000000001E-2</v>
      </c>
      <c r="L106" s="113" t="s">
        <v>226</v>
      </c>
    </row>
    <row r="109" spans="2:12" x14ac:dyDescent="0.25">
      <c r="B109" s="47" t="s">
        <v>100</v>
      </c>
    </row>
    <row r="110" spans="2:12" x14ac:dyDescent="0.25">
      <c r="B110" s="45" t="s">
        <v>98</v>
      </c>
      <c r="C110" s="45" t="s">
        <v>101</v>
      </c>
    </row>
    <row r="111" spans="2:12" x14ac:dyDescent="0.25">
      <c r="B111" s="46" t="s">
        <v>99</v>
      </c>
      <c r="C111" s="46" t="str">
        <f>CONCATENATE('Isian '!$B$6)</f>
        <v xml:space="preserve">Gelas Ukur </v>
      </c>
      <c r="D111">
        <f>'Isian '!$B$10*5/5</f>
        <v>10</v>
      </c>
      <c r="E111" t="s">
        <v>7</v>
      </c>
    </row>
    <row r="112" spans="2:12" x14ac:dyDescent="0.25">
      <c r="B112" s="46" t="s">
        <v>102</v>
      </c>
      <c r="C112" s="46"/>
    </row>
    <row r="114" spans="2:12" ht="15.6" x14ac:dyDescent="0.25">
      <c r="B114" s="10" t="s">
        <v>38</v>
      </c>
      <c r="C114" s="10" t="s">
        <v>39</v>
      </c>
      <c r="D114" s="10" t="s">
        <v>10</v>
      </c>
      <c r="E114" s="10" t="s">
        <v>40</v>
      </c>
      <c r="F114" s="10" t="s">
        <v>11</v>
      </c>
      <c r="G114" s="10" t="s">
        <v>41</v>
      </c>
      <c r="H114" s="11" t="s">
        <v>12</v>
      </c>
      <c r="I114" s="10" t="s">
        <v>42</v>
      </c>
      <c r="J114" s="11" t="s">
        <v>43</v>
      </c>
      <c r="K114" s="11" t="s">
        <v>44</v>
      </c>
      <c r="L114" s="10" t="s">
        <v>45</v>
      </c>
    </row>
    <row r="115" spans="2:12" x14ac:dyDescent="0.25">
      <c r="B115" s="12">
        <v>1</v>
      </c>
      <c r="C115" s="12">
        <v>2</v>
      </c>
      <c r="D115" s="12">
        <v>3</v>
      </c>
      <c r="E115" s="12">
        <v>4</v>
      </c>
      <c r="F115" s="12">
        <v>5</v>
      </c>
      <c r="G115" s="12">
        <v>6</v>
      </c>
      <c r="H115" s="12">
        <v>7</v>
      </c>
      <c r="I115" s="12">
        <v>8</v>
      </c>
      <c r="J115" s="12">
        <v>9</v>
      </c>
      <c r="K115" s="12">
        <v>10</v>
      </c>
      <c r="L115" s="12">
        <v>11</v>
      </c>
    </row>
    <row r="116" spans="2:12" x14ac:dyDescent="0.25">
      <c r="B116" s="13" t="s">
        <v>53</v>
      </c>
      <c r="C116" s="14" t="s">
        <v>8</v>
      </c>
      <c r="D116" s="14" t="s">
        <v>9</v>
      </c>
      <c r="E116" s="50">
        <f>'Peralatan &amp; Koefisien  '!AD4</f>
        <v>5.8287362838497559E-4</v>
      </c>
      <c r="F116" s="14">
        <v>1</v>
      </c>
      <c r="G116" s="14">
        <v>60</v>
      </c>
      <c r="H116" s="15">
        <f>E116/F116</f>
        <v>5.8287362838497559E-4</v>
      </c>
      <c r="I116" s="15">
        <f>'Peralatan &amp; Koefisien  '!AE4</f>
        <v>1.0027533616369373</v>
      </c>
      <c r="J116" s="15">
        <f>H116*I116</f>
        <v>5.8447849027255328E-4</v>
      </c>
      <c r="K116" s="15">
        <f>J116^2</f>
        <v>3.4161510559128314E-7</v>
      </c>
      <c r="L116" s="15">
        <f>K116^2/G116</f>
        <v>1.9450146728023921E-15</v>
      </c>
    </row>
    <row r="117" spans="2:12" x14ac:dyDescent="0.25">
      <c r="B117" s="16" t="s">
        <v>54</v>
      </c>
      <c r="C117" s="14" t="s">
        <v>8</v>
      </c>
      <c r="D117" s="17" t="s">
        <v>9</v>
      </c>
      <c r="E117" s="50">
        <f>'Peralatan &amp; Koefisien  '!AD5</f>
        <v>0.25367876736932621</v>
      </c>
      <c r="F117" s="17">
        <v>1</v>
      </c>
      <c r="G117" s="17">
        <v>60</v>
      </c>
      <c r="H117" s="18">
        <f t="shared" ref="H117:H123" si="16">E117/F117</f>
        <v>0.25367876736932621</v>
      </c>
      <c r="I117" s="15">
        <f>'Peralatan &amp; Koefisien  '!AE5</f>
        <v>-9.8371166222493256E-6</v>
      </c>
      <c r="J117" s="18">
        <f t="shared" ref="J117:J123" si="17">H117*I117</f>
        <v>-2.4954676192005186E-6</v>
      </c>
      <c r="K117" s="18">
        <f t="shared" ref="K117:K123" si="18">J117^2</f>
        <v>6.2273586384783041E-12</v>
      </c>
      <c r="L117" s="18">
        <f t="shared" ref="L117:L123" si="19">K117^2/G117</f>
        <v>6.4633326020383924E-25</v>
      </c>
    </row>
    <row r="118" spans="2:12" x14ac:dyDescent="0.25">
      <c r="B118" s="19" t="s">
        <v>55</v>
      </c>
      <c r="C118" s="14" t="s">
        <v>8</v>
      </c>
      <c r="D118" s="18" t="s">
        <v>9</v>
      </c>
      <c r="E118" s="50">
        <f>'Peralatan &amp; Koefisien  '!AD6</f>
        <v>4.4212719851993257E-5</v>
      </c>
      <c r="F118" s="18">
        <v>1</v>
      </c>
      <c r="G118" s="18">
        <v>60</v>
      </c>
      <c r="H118" s="18">
        <f t="shared" si="16"/>
        <v>4.4212719851993257E-5</v>
      </c>
      <c r="I118" s="15">
        <f>'Peralatan &amp; Koefisien  '!AE6</f>
        <v>-0.99652154861218034</v>
      </c>
      <c r="J118" s="18">
        <f t="shared" si="17"/>
        <v>-4.405892805526481E-5</v>
      </c>
      <c r="K118" s="18">
        <f t="shared" si="18"/>
        <v>1.9411891413790005E-9</v>
      </c>
      <c r="L118" s="18">
        <f t="shared" si="19"/>
        <v>6.2803588043462358E-20</v>
      </c>
    </row>
    <row r="119" spans="2:12" x14ac:dyDescent="0.25">
      <c r="B119" s="19" t="s">
        <v>56</v>
      </c>
      <c r="C119" s="14" t="s">
        <v>8</v>
      </c>
      <c r="D119" s="18" t="s">
        <v>96</v>
      </c>
      <c r="E119" s="50">
        <f>'Peralatan &amp; Koefisien  '!AD7</f>
        <v>1.4091221310526325E-5</v>
      </c>
      <c r="F119" s="18">
        <v>1</v>
      </c>
      <c r="G119" s="18">
        <v>60</v>
      </c>
      <c r="H119" s="18">
        <f t="shared" si="16"/>
        <v>1.4091221310526325E-5</v>
      </c>
      <c r="I119" s="15">
        <f>'Peralatan &amp; Koefisien  '!AE7</f>
        <v>0.87153431620784527</v>
      </c>
      <c r="J119" s="18">
        <f t="shared" si="17"/>
        <v>1.2280982929402977E-5</v>
      </c>
      <c r="K119" s="18">
        <f t="shared" si="18"/>
        <v>1.5082254171228733E-10</v>
      </c>
      <c r="L119" s="18">
        <f t="shared" si="19"/>
        <v>3.7912398480924425E-22</v>
      </c>
    </row>
    <row r="120" spans="2:12" x14ac:dyDescent="0.25">
      <c r="B120" s="20" t="s">
        <v>57</v>
      </c>
      <c r="C120" s="14" t="s">
        <v>8</v>
      </c>
      <c r="D120" s="21" t="s">
        <v>9</v>
      </c>
      <c r="E120" s="50">
        <f>'Peralatan &amp; Koefisien  '!AD8</f>
        <v>0.14000000000000001</v>
      </c>
      <c r="F120" s="21">
        <v>2</v>
      </c>
      <c r="G120" s="18">
        <v>60</v>
      </c>
      <c r="H120" s="18">
        <f t="shared" si="16"/>
        <v>7.0000000000000007E-2</v>
      </c>
      <c r="I120" s="15">
        <f>'Peralatan &amp; Koefisien  '!AE8</f>
        <v>1.7252161485140357E-5</v>
      </c>
      <c r="J120" s="18">
        <f t="shared" si="17"/>
        <v>1.2076513039598251E-6</v>
      </c>
      <c r="K120" s="18">
        <f t="shared" si="18"/>
        <v>1.4584216719558658E-12</v>
      </c>
      <c r="L120" s="18">
        <f t="shared" si="19"/>
        <v>3.5449896220509047E-26</v>
      </c>
    </row>
    <row r="121" spans="2:12" x14ac:dyDescent="0.25">
      <c r="B121" s="20" t="s">
        <v>58</v>
      </c>
      <c r="C121" s="14" t="s">
        <v>8</v>
      </c>
      <c r="D121" s="21" t="s">
        <v>97</v>
      </c>
      <c r="E121" s="50">
        <f>'Peralatan &amp; Koefisien  '!AD9</f>
        <v>5.7157676649772954E-7</v>
      </c>
      <c r="F121" s="21">
        <v>1</v>
      </c>
      <c r="G121" s="18">
        <v>50</v>
      </c>
      <c r="H121" s="18">
        <f t="shared" si="16"/>
        <v>5.7157676649772954E-7</v>
      </c>
      <c r="I121" s="15">
        <f>'Peralatan &amp; Koefisien  '!AE9</f>
        <v>-19.83721005357668</v>
      </c>
      <c r="J121" s="18">
        <f t="shared" si="17"/>
        <v>-1.1338488378759611E-5</v>
      </c>
      <c r="K121" s="18">
        <f t="shared" si="18"/>
        <v>1.2856131871526674E-10</v>
      </c>
      <c r="L121" s="18">
        <f t="shared" si="19"/>
        <v>3.305602533961679E-22</v>
      </c>
    </row>
    <row r="122" spans="2:12" x14ac:dyDescent="0.25">
      <c r="B122" s="20" t="s">
        <v>59</v>
      </c>
      <c r="C122" s="14" t="s">
        <v>8</v>
      </c>
      <c r="D122" s="21" t="s">
        <v>97</v>
      </c>
      <c r="E122" s="50">
        <f>'Peralatan &amp; Koefisien  '!AD10</f>
        <v>6.2333924234627542E-4</v>
      </c>
      <c r="F122" s="21">
        <v>1</v>
      </c>
      <c r="G122" s="21">
        <v>50</v>
      </c>
      <c r="H122" s="18">
        <f t="shared" si="16"/>
        <v>6.2333924234627542E-4</v>
      </c>
      <c r="I122" s="15">
        <f>'Peralatan &amp; Koefisien  '!AE10</f>
        <v>1</v>
      </c>
      <c r="J122" s="18">
        <f t="shared" si="17"/>
        <v>6.2333924234627542E-4</v>
      </c>
      <c r="K122" s="18">
        <f t="shared" si="18"/>
        <v>3.8855181104882867E-7</v>
      </c>
      <c r="L122" s="18">
        <f t="shared" si="19"/>
        <v>3.0194501973864929E-15</v>
      </c>
    </row>
    <row r="123" spans="2:12" x14ac:dyDescent="0.25">
      <c r="B123" s="20" t="s">
        <v>60</v>
      </c>
      <c r="C123" s="14" t="s">
        <v>8</v>
      </c>
      <c r="D123" s="21" t="s">
        <v>9</v>
      </c>
      <c r="E123" s="50">
        <f>'Peralatan &amp; Koefisien  '!AD11</f>
        <v>1.7555010783642498E-3</v>
      </c>
      <c r="F123" s="21">
        <v>1</v>
      </c>
      <c r="G123" s="21">
        <v>4</v>
      </c>
      <c r="H123" s="18">
        <f t="shared" si="16"/>
        <v>1.7555010783642498E-3</v>
      </c>
      <c r="I123" s="15">
        <f>'Peralatan &amp; Koefisien  '!AE11</f>
        <v>1</v>
      </c>
      <c r="J123" s="18">
        <f t="shared" si="17"/>
        <v>1.7555010783642498E-3</v>
      </c>
      <c r="K123" s="18">
        <f t="shared" si="18"/>
        <v>3.0817840361380439E-6</v>
      </c>
      <c r="L123" s="18">
        <f t="shared" si="19"/>
        <v>2.3743482113488231E-12</v>
      </c>
    </row>
    <row r="124" spans="2:12" x14ac:dyDescent="0.25">
      <c r="B124" s="23" t="s">
        <v>46</v>
      </c>
      <c r="C124" s="24"/>
      <c r="D124" s="24"/>
      <c r="E124" s="25"/>
      <c r="F124" s="24"/>
      <c r="G124" s="24"/>
      <c r="H124" s="24"/>
      <c r="I124" s="24"/>
      <c r="J124" s="26"/>
      <c r="K124" s="27">
        <f>SUM(K116:K123)</f>
        <v>3.8141792115602728E-6</v>
      </c>
      <c r="L124" s="14">
        <f>SUM(L116:L123)</f>
        <v>2.3793127397329662E-12</v>
      </c>
    </row>
    <row r="125" spans="2:12" x14ac:dyDescent="0.25">
      <c r="B125" s="28" t="s">
        <v>47</v>
      </c>
      <c r="C125" s="29"/>
      <c r="D125" s="29"/>
      <c r="E125" s="30"/>
      <c r="F125" s="29"/>
      <c r="G125" s="29"/>
      <c r="H125" s="29"/>
      <c r="I125" s="29"/>
      <c r="J125" s="31"/>
      <c r="K125" s="32">
        <f>SQRT(K124)</f>
        <v>1.9529923736564547E-3</v>
      </c>
      <c r="L125" s="18"/>
    </row>
    <row r="126" spans="2:12" x14ac:dyDescent="0.25">
      <c r="B126" s="28" t="s">
        <v>48</v>
      </c>
      <c r="C126" s="29"/>
      <c r="D126" s="29"/>
      <c r="E126" s="30"/>
      <c r="F126" s="29"/>
      <c r="G126" s="29"/>
      <c r="H126" s="29"/>
      <c r="I126" s="29"/>
      <c r="J126" s="31"/>
      <c r="K126" s="32">
        <f>(K125^4)/L124</f>
        <v>6.1143551307724628</v>
      </c>
      <c r="L126" s="18"/>
    </row>
    <row r="127" spans="2:12" x14ac:dyDescent="0.25">
      <c r="B127" s="28" t="s">
        <v>49</v>
      </c>
      <c r="C127" s="29"/>
      <c r="D127" s="29"/>
      <c r="E127" s="30"/>
      <c r="F127" s="29"/>
      <c r="G127" s="29"/>
      <c r="H127" s="29"/>
      <c r="I127" s="29"/>
      <c r="J127" s="31"/>
      <c r="K127" s="33">
        <f>TINV(0.05,K126)</f>
        <v>2.4469118511449697</v>
      </c>
      <c r="L127" s="18"/>
    </row>
    <row r="128" spans="2:12" x14ac:dyDescent="0.25">
      <c r="B128" s="28" t="s">
        <v>50</v>
      </c>
      <c r="C128" s="29"/>
      <c r="D128" s="34"/>
      <c r="E128" s="30"/>
      <c r="F128" s="29"/>
      <c r="G128" s="29"/>
      <c r="H128" s="29"/>
      <c r="I128" s="29"/>
      <c r="J128" s="31"/>
      <c r="K128" s="32">
        <f>K127*K125</f>
        <v>4.7788001842957242E-3</v>
      </c>
      <c r="L128" s="18"/>
    </row>
    <row r="129" spans="2:12" x14ac:dyDescent="0.25">
      <c r="B129" s="35" t="s">
        <v>51</v>
      </c>
      <c r="C129" s="34"/>
      <c r="E129" s="36"/>
      <c r="F129" s="34"/>
      <c r="G129" s="34"/>
      <c r="H129" s="34"/>
      <c r="I129" s="34"/>
      <c r="J129" s="31"/>
      <c r="K129" s="43">
        <f>K127*K125</f>
        <v>4.7788001842957242E-3</v>
      </c>
      <c r="L129" s="21" t="s">
        <v>7</v>
      </c>
    </row>
    <row r="130" spans="2:12" x14ac:dyDescent="0.25">
      <c r="B130" s="37" t="s">
        <v>52</v>
      </c>
      <c r="C130" s="38"/>
      <c r="D130" s="38"/>
      <c r="E130" s="38"/>
      <c r="F130" s="38"/>
      <c r="G130" s="38"/>
      <c r="H130" s="38"/>
      <c r="I130" s="38"/>
      <c r="J130" s="38"/>
      <c r="K130" s="44">
        <f>K129/1000</f>
        <v>4.7788001842957243E-6</v>
      </c>
      <c r="L130" s="22" t="s">
        <v>95</v>
      </c>
    </row>
    <row r="131" spans="2:12" x14ac:dyDescent="0.25">
      <c r="B131" s="112" t="s">
        <v>309</v>
      </c>
      <c r="C131" s="112"/>
      <c r="D131" s="112"/>
      <c r="E131" s="112"/>
      <c r="F131" s="112"/>
      <c r="G131" s="112"/>
      <c r="H131" s="112"/>
      <c r="I131" s="112"/>
      <c r="J131" s="112"/>
      <c r="K131" s="114" cm="1">
        <f t="array" ref="K131">IFERROR(INDEX($U$14:$U$34, MATCH(1, (D111&gt;=$S$14:$S$34)*(D111&lt;=$T$14:$T$34)*(C111=$R$14:$R$34), 0)),0)</f>
        <v>2.1000000000000001E-2</v>
      </c>
      <c r="L131" s="113" t="s">
        <v>226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4EBF-70AB-4211-9C49-25C7CD7D7590}">
  <sheetPr>
    <tabColor theme="9"/>
  </sheetPr>
  <dimension ref="A1:M102"/>
  <sheetViews>
    <sheetView view="pageBreakPreview" zoomScaleNormal="100" zoomScaleSheetLayoutView="100" workbookViewId="0">
      <selection activeCell="F46" sqref="F46:I46"/>
    </sheetView>
  </sheetViews>
  <sheetFormatPr defaultRowHeight="13.2" x14ac:dyDescent="0.25"/>
  <cols>
    <col min="1" max="1" width="9.88671875" customWidth="1"/>
    <col min="3" max="3" width="12.109375" customWidth="1"/>
    <col min="4" max="4" width="7.44140625" customWidth="1"/>
    <col min="5" max="5" width="8.88671875" customWidth="1"/>
    <col min="6" max="6" width="11.44140625" customWidth="1"/>
    <col min="9" max="9" width="8.77734375" customWidth="1"/>
    <col min="12" max="12" width="5" customWidth="1"/>
  </cols>
  <sheetData>
    <row r="1" spans="1:12" ht="14.4" x14ac:dyDescent="0.2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14.4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14.4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ht="14.4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ht="14.4" x14ac:dyDescent="0.2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ht="14.4" x14ac:dyDescent="0.2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1:12" ht="22.8" x14ac:dyDescent="0.25">
      <c r="A7" s="179" t="s">
        <v>140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</row>
    <row r="8" spans="1:12" ht="18" x14ac:dyDescent="0.25">
      <c r="A8" s="180" t="s">
        <v>141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</row>
    <row r="9" spans="1:12" ht="14.4" x14ac:dyDescent="0.25">
      <c r="A9" s="181" t="s">
        <v>250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</row>
    <row r="10" spans="1:12" ht="14.4" x14ac:dyDescent="0.2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1:12" ht="14.4" x14ac:dyDescent="0.2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1:12" ht="14.4" x14ac:dyDescent="0.2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1:12" ht="14.4" x14ac:dyDescent="0.25">
      <c r="A13" s="64"/>
      <c r="B13" s="66" t="s">
        <v>142</v>
      </c>
      <c r="C13" s="67"/>
      <c r="D13" s="67"/>
      <c r="E13" s="64"/>
      <c r="F13" s="64"/>
      <c r="G13" s="64"/>
      <c r="H13" s="64"/>
      <c r="I13" s="64"/>
      <c r="J13" s="64"/>
      <c r="K13" s="64"/>
      <c r="L13" s="64"/>
    </row>
    <row r="14" spans="1:12" ht="14.4" x14ac:dyDescent="0.25">
      <c r="A14" s="64"/>
      <c r="B14" s="68" t="s">
        <v>143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spans="1:12" ht="14.4" x14ac:dyDescent="0.2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1:12" ht="14.4" x14ac:dyDescent="0.25">
      <c r="A16" s="64"/>
      <c r="B16" s="69" t="s">
        <v>144</v>
      </c>
      <c r="C16" s="64"/>
      <c r="D16" s="70" t="s">
        <v>4</v>
      </c>
      <c r="E16" s="69" t="str">
        <f>'Isian '!B6</f>
        <v xml:space="preserve">Gelas Ukur </v>
      </c>
      <c r="F16" s="69"/>
      <c r="G16" s="64"/>
      <c r="H16" s="64"/>
      <c r="I16" s="64"/>
      <c r="J16" s="64"/>
      <c r="K16" s="64"/>
      <c r="L16" s="64"/>
    </row>
    <row r="17" spans="1:12" ht="14.4" x14ac:dyDescent="0.25">
      <c r="A17" s="64"/>
      <c r="B17" s="71" t="s">
        <v>145</v>
      </c>
      <c r="C17" s="64"/>
      <c r="D17" s="64"/>
      <c r="E17" s="69"/>
      <c r="F17" s="69"/>
      <c r="G17" s="64"/>
      <c r="H17" s="64"/>
      <c r="I17" s="64"/>
      <c r="J17" s="64"/>
      <c r="K17" s="64"/>
      <c r="L17" s="64"/>
    </row>
    <row r="18" spans="1:12" ht="14.4" x14ac:dyDescent="0.25">
      <c r="A18" s="64"/>
      <c r="B18" s="72" t="s">
        <v>146</v>
      </c>
      <c r="C18" s="64"/>
      <c r="D18" s="70" t="s">
        <v>4</v>
      </c>
      <c r="E18" s="69" t="str">
        <f>'Isian '!B7</f>
        <v>Iwaki</v>
      </c>
      <c r="F18" s="69"/>
      <c r="G18" s="64"/>
      <c r="H18" s="64"/>
      <c r="I18" s="64"/>
      <c r="J18" s="64"/>
      <c r="K18" s="64"/>
      <c r="L18" s="64"/>
    </row>
    <row r="19" spans="1:12" ht="14.4" x14ac:dyDescent="0.25">
      <c r="A19" s="64"/>
      <c r="B19" s="73" t="s">
        <v>147</v>
      </c>
      <c r="C19" s="64"/>
      <c r="D19" s="64"/>
      <c r="E19" s="69"/>
      <c r="F19" s="69"/>
      <c r="G19" s="64"/>
      <c r="H19" s="64"/>
      <c r="I19" s="64"/>
      <c r="J19" s="64"/>
      <c r="K19" s="64"/>
      <c r="L19" s="64"/>
    </row>
    <row r="20" spans="1:12" ht="14.4" x14ac:dyDescent="0.25">
      <c r="A20" s="64"/>
      <c r="B20" s="72" t="s">
        <v>148</v>
      </c>
      <c r="C20" s="64"/>
      <c r="D20" s="70" t="s">
        <v>4</v>
      </c>
      <c r="E20" s="69" t="str">
        <f>'Isian '!B8</f>
        <v>-</v>
      </c>
      <c r="F20" s="69"/>
      <c r="G20" s="64"/>
      <c r="H20" s="64"/>
      <c r="I20" s="64"/>
      <c r="J20" s="64"/>
      <c r="K20" s="64"/>
      <c r="L20" s="64"/>
    </row>
    <row r="21" spans="1:12" ht="14.4" x14ac:dyDescent="0.25">
      <c r="A21" s="64"/>
      <c r="B21" s="73" t="s">
        <v>149</v>
      </c>
      <c r="C21" s="64"/>
      <c r="D21" s="64"/>
      <c r="E21" s="69"/>
      <c r="F21" s="69"/>
      <c r="G21" s="64"/>
      <c r="H21" s="64"/>
      <c r="I21" s="64"/>
      <c r="J21" s="64"/>
      <c r="K21" s="64"/>
      <c r="L21" s="64"/>
    </row>
    <row r="22" spans="1:12" ht="14.4" x14ac:dyDescent="0.25">
      <c r="A22" s="64"/>
      <c r="B22" s="69" t="s">
        <v>150</v>
      </c>
      <c r="C22" s="64"/>
      <c r="D22" s="70" t="s">
        <v>4</v>
      </c>
      <c r="E22" s="120">
        <f>'Isian '!B12</f>
        <v>1</v>
      </c>
      <c r="F22" s="69"/>
      <c r="G22" s="64"/>
      <c r="H22" s="64"/>
      <c r="I22" s="64"/>
      <c r="J22" s="64"/>
      <c r="K22" s="64"/>
      <c r="L22" s="64"/>
    </row>
    <row r="23" spans="1:12" ht="14.4" x14ac:dyDescent="0.25">
      <c r="A23" s="64"/>
      <c r="B23" s="71" t="s">
        <v>151</v>
      </c>
      <c r="C23" s="64"/>
      <c r="D23" s="64"/>
      <c r="E23" s="69"/>
      <c r="F23" s="69"/>
      <c r="G23" s="64"/>
      <c r="H23" s="64"/>
      <c r="I23" s="64"/>
      <c r="J23" s="64"/>
      <c r="K23" s="64"/>
      <c r="L23" s="64"/>
    </row>
    <row r="24" spans="1:12" ht="14.4" x14ac:dyDescent="0.25">
      <c r="A24" s="64"/>
      <c r="B24" s="69" t="s">
        <v>152</v>
      </c>
      <c r="C24" s="64"/>
      <c r="D24" s="70" t="s">
        <v>4</v>
      </c>
      <c r="E24" s="69" t="str">
        <f>'Isian '!B9</f>
        <v>-</v>
      </c>
      <c r="F24" s="69"/>
      <c r="G24" s="64"/>
      <c r="H24" s="64"/>
      <c r="I24" s="64"/>
      <c r="J24" s="64"/>
      <c r="K24" s="64"/>
      <c r="L24" s="64"/>
    </row>
    <row r="25" spans="1:12" ht="14.4" x14ac:dyDescent="0.25">
      <c r="A25" s="64"/>
      <c r="B25" s="71" t="s">
        <v>153</v>
      </c>
      <c r="C25" s="64"/>
      <c r="D25" s="64"/>
      <c r="E25" s="69"/>
      <c r="F25" s="69"/>
      <c r="G25" s="64"/>
      <c r="H25" s="64"/>
      <c r="I25" s="64"/>
      <c r="J25" s="64"/>
      <c r="K25" s="64"/>
      <c r="L25" s="64"/>
    </row>
    <row r="26" spans="1:12" ht="14.4" x14ac:dyDescent="0.25">
      <c r="A26" s="64"/>
      <c r="B26" s="69" t="s">
        <v>154</v>
      </c>
      <c r="C26" s="64"/>
      <c r="D26" s="70" t="s">
        <v>4</v>
      </c>
      <c r="E26" s="69" t="s">
        <v>155</v>
      </c>
      <c r="F26" s="74"/>
      <c r="G26" s="69" t="str">
        <f>CONCATENATE(": ",'Isian '!B10," ",'Isian '!C10)</f>
        <v>: 10 ml</v>
      </c>
      <c r="H26" s="64"/>
      <c r="I26" s="64"/>
      <c r="J26" s="64"/>
      <c r="K26" s="64"/>
      <c r="L26" s="64"/>
    </row>
    <row r="27" spans="1:12" ht="14.4" x14ac:dyDescent="0.25">
      <c r="A27" s="64"/>
      <c r="B27" s="73" t="s">
        <v>156</v>
      </c>
      <c r="C27" s="64"/>
      <c r="D27" s="64"/>
      <c r="E27" s="69" t="s">
        <v>157</v>
      </c>
      <c r="F27" s="74"/>
      <c r="G27" s="69" t="str">
        <f>CONCATENATE(": ",'Isian '!B11)</f>
        <v>: -</v>
      </c>
      <c r="H27" s="64"/>
      <c r="I27" s="64"/>
      <c r="J27" s="64"/>
      <c r="K27" s="64"/>
      <c r="L27" s="64"/>
    </row>
    <row r="28" spans="1:12" ht="14.4" x14ac:dyDescent="0.2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spans="1:12" ht="14.4" x14ac:dyDescent="0.25">
      <c r="A29" s="64"/>
      <c r="B29" s="75" t="s">
        <v>158</v>
      </c>
      <c r="C29" s="75"/>
      <c r="D29" s="75"/>
      <c r="E29" s="64"/>
      <c r="F29" s="64"/>
      <c r="G29" s="64"/>
      <c r="H29" s="64"/>
      <c r="I29" s="64"/>
      <c r="J29" s="64"/>
      <c r="K29" s="64"/>
      <c r="L29" s="64"/>
    </row>
    <row r="30" spans="1:12" ht="14.4" x14ac:dyDescent="0.25">
      <c r="A30" s="64"/>
      <c r="B30" s="76" t="s">
        <v>159</v>
      </c>
      <c r="C30" s="76"/>
      <c r="D30" s="76"/>
      <c r="E30" s="64"/>
      <c r="F30" s="64"/>
      <c r="G30" s="64"/>
      <c r="H30" s="64"/>
      <c r="I30" s="64"/>
      <c r="J30" s="64"/>
      <c r="K30" s="64"/>
      <c r="L30" s="64"/>
    </row>
    <row r="31" spans="1:12" ht="14.4" x14ac:dyDescent="0.25">
      <c r="A31" s="64"/>
      <c r="B31" s="76"/>
      <c r="C31" s="76"/>
      <c r="D31" s="76"/>
      <c r="E31" s="64"/>
      <c r="F31" s="64"/>
      <c r="G31" s="64"/>
      <c r="H31" s="64"/>
      <c r="I31" s="64"/>
      <c r="J31" s="64"/>
      <c r="K31" s="64"/>
      <c r="L31" s="64"/>
    </row>
    <row r="32" spans="1:12" ht="14.4" x14ac:dyDescent="0.25">
      <c r="A32" s="64"/>
      <c r="B32" s="69" t="s">
        <v>160</v>
      </c>
      <c r="C32" s="76"/>
      <c r="D32" s="70" t="s">
        <v>4</v>
      </c>
      <c r="E32" s="182" t="str">
        <f>'Isian '!B3</f>
        <v>UPTD. Laboratorium Lingkungan Hidup, DLH Jawa Barat</v>
      </c>
      <c r="F32" s="182"/>
      <c r="G32" s="182"/>
      <c r="H32" s="182"/>
      <c r="I32" s="182"/>
      <c r="J32" s="182"/>
      <c r="K32" s="182"/>
      <c r="L32" s="64"/>
    </row>
    <row r="33" spans="1:13" ht="14.4" x14ac:dyDescent="0.25">
      <c r="A33" s="64"/>
      <c r="B33" s="71" t="s">
        <v>161</v>
      </c>
      <c r="C33" s="77"/>
      <c r="D33" s="77"/>
      <c r="E33" s="182"/>
      <c r="F33" s="182"/>
      <c r="G33" s="182"/>
      <c r="H33" s="182"/>
      <c r="I33" s="182"/>
      <c r="J33" s="182"/>
      <c r="K33" s="182"/>
      <c r="L33" s="64"/>
    </row>
    <row r="34" spans="1:13" ht="14.4" x14ac:dyDescent="0.25">
      <c r="A34" s="64"/>
      <c r="B34" s="69" t="s">
        <v>162</v>
      </c>
      <c r="C34" s="64"/>
      <c r="D34" s="70" t="s">
        <v>4</v>
      </c>
      <c r="E34" s="183" t="str">
        <f>'Isian '!B4</f>
        <v>Jl. A. H. Nasution No. 117, Pasir Endah, Kec. ujung Berung, Bandung 40619</v>
      </c>
      <c r="F34" s="183"/>
      <c r="G34" s="183"/>
      <c r="H34" s="183"/>
      <c r="I34" s="183"/>
      <c r="J34" s="183"/>
      <c r="K34" s="183"/>
      <c r="L34" s="78"/>
    </row>
    <row r="35" spans="1:13" ht="15.6" x14ac:dyDescent="0.25">
      <c r="A35" s="64"/>
      <c r="B35" s="71" t="s">
        <v>163</v>
      </c>
      <c r="C35" s="69"/>
      <c r="D35" s="79"/>
      <c r="E35" s="183"/>
      <c r="F35" s="183"/>
      <c r="G35" s="183"/>
      <c r="H35" s="183"/>
      <c r="I35" s="183"/>
      <c r="J35" s="183"/>
      <c r="K35" s="183"/>
      <c r="L35" s="78"/>
    </row>
    <row r="36" spans="1:13" ht="14.4" x14ac:dyDescent="0.25">
      <c r="A36" s="64"/>
      <c r="B36" s="64"/>
      <c r="C36" s="64"/>
      <c r="D36" s="64"/>
      <c r="E36" s="183"/>
      <c r="F36" s="183"/>
      <c r="G36" s="183"/>
      <c r="H36" s="183"/>
      <c r="I36" s="183"/>
      <c r="J36" s="183"/>
      <c r="K36" s="183"/>
      <c r="L36" s="78"/>
    </row>
    <row r="37" spans="1:13" ht="14.4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</row>
    <row r="38" spans="1:13" ht="14.4" x14ac:dyDescent="0.25">
      <c r="A38" s="64"/>
      <c r="B38" s="64"/>
      <c r="C38" s="64"/>
      <c r="D38" s="64"/>
      <c r="E38" s="64"/>
      <c r="F38" s="64"/>
      <c r="G38" s="64"/>
      <c r="H38" s="65" t="s">
        <v>164</v>
      </c>
      <c r="I38" s="64"/>
      <c r="J38" s="64"/>
      <c r="K38" s="64"/>
      <c r="L38" s="64"/>
    </row>
    <row r="39" spans="1:13" ht="14.4" x14ac:dyDescent="0.25">
      <c r="A39" s="64"/>
      <c r="B39" s="64"/>
      <c r="C39" s="64"/>
      <c r="D39" s="64"/>
      <c r="E39" s="64"/>
      <c r="F39" s="64"/>
      <c r="G39" s="64"/>
      <c r="H39" s="80" t="s">
        <v>165</v>
      </c>
      <c r="I39" s="64"/>
      <c r="J39" s="64"/>
      <c r="K39" s="64"/>
      <c r="L39" s="64"/>
    </row>
    <row r="40" spans="1:13" ht="14.4" x14ac:dyDescent="0.25">
      <c r="A40" s="64"/>
      <c r="B40" s="64"/>
      <c r="C40" s="64"/>
      <c r="D40" s="64"/>
      <c r="E40" s="64"/>
      <c r="F40" s="64"/>
      <c r="G40" s="64"/>
      <c r="H40" s="81"/>
      <c r="I40" s="64"/>
      <c r="J40" s="64"/>
      <c r="K40" s="64"/>
      <c r="L40" s="64"/>
    </row>
    <row r="41" spans="1:13" ht="14.4" x14ac:dyDescent="0.25">
      <c r="A41" s="64"/>
      <c r="B41" s="64"/>
      <c r="C41" s="64"/>
      <c r="D41" s="64"/>
      <c r="E41" s="64"/>
      <c r="F41" s="64"/>
      <c r="G41" s="64"/>
      <c r="H41" s="65" t="s">
        <v>253</v>
      </c>
      <c r="I41" s="64"/>
      <c r="J41" s="64"/>
      <c r="K41" s="64"/>
      <c r="L41" s="64"/>
    </row>
    <row r="42" spans="1:13" ht="14.4" x14ac:dyDescent="0.25">
      <c r="A42" s="64"/>
      <c r="B42" s="64"/>
      <c r="C42" s="64"/>
      <c r="D42" s="64"/>
      <c r="E42" s="64"/>
      <c r="F42" s="64"/>
      <c r="G42" s="64"/>
      <c r="H42" s="80" t="s">
        <v>166</v>
      </c>
      <c r="I42" s="64"/>
      <c r="J42" s="64"/>
      <c r="K42" s="64"/>
      <c r="L42" s="64"/>
    </row>
    <row r="43" spans="1:13" ht="14.4" x14ac:dyDescent="0.3">
      <c r="A43" s="64"/>
      <c r="B43" s="82"/>
      <c r="C43" s="64"/>
      <c r="D43" s="64"/>
      <c r="E43" s="64"/>
      <c r="F43" s="64"/>
      <c r="G43" s="64"/>
      <c r="H43" s="64"/>
      <c r="I43" s="64"/>
      <c r="J43" s="64"/>
      <c r="K43" s="64"/>
      <c r="L43" s="64"/>
    </row>
    <row r="44" spans="1:13" ht="15" customHeight="1" x14ac:dyDescent="0.25">
      <c r="A44" s="64"/>
      <c r="C44" s="64"/>
      <c r="D44" s="64"/>
      <c r="F44" s="189" t="s">
        <v>251</v>
      </c>
      <c r="G44" s="189"/>
      <c r="H44" s="189"/>
      <c r="I44" s="189"/>
      <c r="J44" s="189"/>
      <c r="K44" s="119"/>
      <c r="L44" s="119"/>
      <c r="M44" s="119"/>
    </row>
    <row r="45" spans="1:13" ht="15" customHeight="1" x14ac:dyDescent="0.3">
      <c r="A45" s="64"/>
      <c r="B45" s="64"/>
      <c r="C45" s="82"/>
      <c r="D45" s="64"/>
      <c r="F45" s="190" t="s">
        <v>329</v>
      </c>
      <c r="G45" s="190"/>
      <c r="H45" s="190"/>
      <c r="I45" s="190"/>
      <c r="J45" s="117"/>
      <c r="K45" s="117"/>
      <c r="L45" s="117"/>
      <c r="M45" s="117"/>
    </row>
    <row r="46" spans="1:13" ht="15" customHeight="1" x14ac:dyDescent="0.25">
      <c r="A46" s="64"/>
      <c r="B46" s="64"/>
      <c r="C46" s="64"/>
      <c r="D46" s="64"/>
      <c r="F46" s="191" t="s">
        <v>252</v>
      </c>
      <c r="G46" s="191"/>
      <c r="H46" s="191"/>
      <c r="I46" s="191"/>
      <c r="J46" s="118"/>
      <c r="K46" s="118"/>
      <c r="L46" s="118"/>
      <c r="M46" s="118"/>
    </row>
    <row r="47" spans="1:13" ht="14.4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1:13" ht="14.4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1:12" ht="14.4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</row>
    <row r="50" spans="1:12" ht="14.4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</row>
    <row r="51" spans="1:12" ht="14.4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</row>
    <row r="52" spans="1:12" ht="14.4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</row>
    <row r="53" spans="1:12" ht="14.4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</row>
    <row r="54" spans="1:12" ht="14.4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</row>
    <row r="55" spans="1:12" ht="14.4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</row>
    <row r="56" spans="1:12" ht="14.4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</row>
    <row r="57" spans="1:12" ht="14.4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</row>
    <row r="58" spans="1:12" ht="14.4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</row>
    <row r="59" spans="1:12" ht="14.4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</row>
    <row r="60" spans="1:12" ht="14.4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</row>
    <row r="61" spans="1:12" ht="14.4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</row>
    <row r="62" spans="1:12" ht="14.4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</row>
    <row r="63" spans="1:12" ht="14.4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1:12" ht="14.4" x14ac:dyDescent="0.25">
      <c r="A64" s="64"/>
      <c r="B64" s="64"/>
      <c r="C64" s="64"/>
      <c r="D64" s="64"/>
      <c r="E64" s="64"/>
      <c r="F64" s="83" t="s">
        <v>167</v>
      </c>
      <c r="G64" s="83" t="str">
        <f>CONCATENATE(MID(A9,16,100))</f>
        <v>: 0187-2.3/KALIBRASI BBLM/XII/2025</v>
      </c>
      <c r="H64" s="64"/>
      <c r="I64" s="64"/>
      <c r="J64" s="64"/>
      <c r="K64" s="64"/>
      <c r="L64" s="64"/>
    </row>
    <row r="65" spans="1:12" ht="14.4" x14ac:dyDescent="0.25">
      <c r="A65" s="64"/>
      <c r="B65" s="64"/>
      <c r="C65" s="64"/>
      <c r="D65" s="64"/>
      <c r="E65" s="64"/>
      <c r="F65" s="83" t="s">
        <v>168</v>
      </c>
      <c r="G65" s="83" t="str">
        <f>CONCATENATE(": ",'Isian '!B2)</f>
        <v>: K683-1</v>
      </c>
      <c r="H65" s="64"/>
      <c r="I65" s="64"/>
      <c r="J65" s="64"/>
      <c r="K65" s="64"/>
      <c r="L65" s="64"/>
    </row>
    <row r="66" spans="1:12" ht="14.4" x14ac:dyDescent="0.25">
      <c r="A66" s="64"/>
      <c r="B66" s="64"/>
      <c r="C66" s="64"/>
      <c r="D66" s="64"/>
      <c r="E66" s="64"/>
      <c r="F66" s="83" t="s">
        <v>169</v>
      </c>
      <c r="G66" s="83" t="s">
        <v>170</v>
      </c>
      <c r="H66" s="64"/>
      <c r="I66" s="64"/>
      <c r="J66" s="64"/>
      <c r="K66" s="64"/>
      <c r="L66" s="64"/>
    </row>
    <row r="67" spans="1:12" ht="14.4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</row>
    <row r="68" spans="1:12" ht="14.4" x14ac:dyDescent="0.25">
      <c r="A68" s="64"/>
      <c r="B68" s="84" t="s">
        <v>171</v>
      </c>
      <c r="C68" s="84"/>
      <c r="D68" s="84"/>
      <c r="E68" s="84"/>
      <c r="F68" s="84"/>
      <c r="G68" s="64"/>
      <c r="H68" s="64"/>
      <c r="I68" s="64"/>
      <c r="J68" s="64"/>
      <c r="K68" s="64"/>
      <c r="L68" s="64"/>
    </row>
    <row r="69" spans="1:12" ht="14.4" x14ac:dyDescent="0.25">
      <c r="A69" s="64"/>
      <c r="B69" s="69" t="s">
        <v>172</v>
      </c>
      <c r="C69" s="64"/>
      <c r="D69" s="64"/>
      <c r="E69" s="69" t="str">
        <f>CONCATENATE(": ",E16)</f>
        <v xml:space="preserve">: Gelas Ukur </v>
      </c>
      <c r="F69" s="64"/>
      <c r="G69" s="69"/>
      <c r="H69" s="64"/>
      <c r="I69" s="64"/>
      <c r="J69" s="64"/>
      <c r="K69" s="64"/>
      <c r="L69" s="64"/>
    </row>
    <row r="70" spans="1:12" ht="14.4" x14ac:dyDescent="0.25">
      <c r="A70" s="64"/>
      <c r="B70" s="69" t="s">
        <v>173</v>
      </c>
      <c r="C70" s="64"/>
      <c r="D70" s="64"/>
      <c r="E70" s="69" t="str">
        <f>CONCATENATE(":"," ",E18," ","/"," ",E20)</f>
        <v>: Iwaki / -</v>
      </c>
      <c r="F70" s="64"/>
      <c r="G70" s="69"/>
      <c r="H70" s="64"/>
      <c r="I70" s="64"/>
      <c r="J70" s="64"/>
      <c r="K70" s="64"/>
      <c r="L70" s="64"/>
    </row>
    <row r="71" spans="1:12" ht="14.4" x14ac:dyDescent="0.25">
      <c r="A71" s="64"/>
      <c r="B71" s="69" t="s">
        <v>174</v>
      </c>
      <c r="C71" s="64"/>
      <c r="D71" s="64"/>
      <c r="E71" s="69" t="str">
        <f>CONCATENATE(": ",E22," / ",E24)</f>
        <v>: 1 / -</v>
      </c>
      <c r="F71" s="64"/>
      <c r="G71" s="69"/>
      <c r="H71" s="64"/>
      <c r="I71" s="64"/>
      <c r="J71" s="64"/>
      <c r="K71" s="64"/>
      <c r="L71" s="64"/>
    </row>
    <row r="72" spans="1:12" ht="14.4" x14ac:dyDescent="0.25">
      <c r="A72" s="64"/>
      <c r="B72" s="69" t="s">
        <v>155</v>
      </c>
      <c r="C72" s="64"/>
      <c r="D72" s="64"/>
      <c r="E72" s="69" t="str">
        <f>G26</f>
        <v>: 10 ml</v>
      </c>
      <c r="F72" s="64"/>
      <c r="G72" s="64"/>
      <c r="H72" s="64"/>
      <c r="I72" s="64"/>
      <c r="J72" s="64"/>
      <c r="K72" s="64"/>
      <c r="L72" s="64"/>
    </row>
    <row r="73" spans="1:12" ht="14.4" x14ac:dyDescent="0.25">
      <c r="A73" s="64"/>
      <c r="B73" s="69" t="s">
        <v>175</v>
      </c>
      <c r="C73" s="64"/>
      <c r="D73" s="64"/>
      <c r="E73" s="69" t="str">
        <f>G27</f>
        <v>: -</v>
      </c>
      <c r="F73" s="64"/>
      <c r="G73" s="64"/>
      <c r="H73" s="69" t="s">
        <v>176</v>
      </c>
      <c r="I73" s="64"/>
      <c r="J73" s="64"/>
      <c r="K73" s="64"/>
      <c r="L73" s="64"/>
    </row>
    <row r="74" spans="1:12" ht="14.4" x14ac:dyDescent="0.25">
      <c r="A74" s="64"/>
      <c r="B74" s="69" t="s">
        <v>177</v>
      </c>
      <c r="C74" s="64"/>
      <c r="D74" s="64"/>
      <c r="E74" s="69" t="s">
        <v>254</v>
      </c>
      <c r="F74" s="64"/>
      <c r="G74" s="64"/>
      <c r="H74" s="69" t="s">
        <v>178</v>
      </c>
      <c r="I74" s="64"/>
      <c r="J74" s="69" t="str">
        <f>CONCATENATE(": ","(",'Thermohygro '!B10,") °C")</f>
        <v>: (20,4 ± 0,3) °C</v>
      </c>
      <c r="K74" s="64"/>
      <c r="L74" s="64"/>
    </row>
    <row r="75" spans="1:12" ht="14.4" x14ac:dyDescent="0.25">
      <c r="A75" s="64"/>
      <c r="B75" s="69" t="s">
        <v>6</v>
      </c>
      <c r="C75" s="64"/>
      <c r="D75" s="64"/>
      <c r="E75" s="69" t="str">
        <f>CONCATENATE(": ",'Isian '!B13)</f>
        <v>: 24 November 2025</v>
      </c>
      <c r="F75" s="64"/>
      <c r="G75" s="64"/>
      <c r="H75" s="69" t="s">
        <v>179</v>
      </c>
      <c r="I75" s="64"/>
      <c r="J75" s="69" t="str">
        <f>CONCATENATE(":"," ","(",'Thermohygro '!C10,")"," %RH")</f>
        <v>: (60,0 ± 0,3) %RH</v>
      </c>
      <c r="K75" s="64"/>
      <c r="L75" s="64"/>
    </row>
    <row r="76" spans="1:12" ht="14.4" x14ac:dyDescent="0.25">
      <c r="A76" s="64"/>
      <c r="B76" s="69" t="s">
        <v>180</v>
      </c>
      <c r="C76" s="64"/>
      <c r="D76" s="64"/>
      <c r="E76" s="69" t="str">
        <f>CONCATENATE(": ",'Isian '!B14)</f>
        <v>: 1 Desember 2025</v>
      </c>
      <c r="F76" s="64"/>
      <c r="G76" s="64"/>
      <c r="H76" s="69" t="s">
        <v>103</v>
      </c>
      <c r="I76" s="64"/>
      <c r="J76" s="69" t="str">
        <f>CONCATENATE(":"," ","(",'Thermohygro '!D10,")"," mmHg")</f>
        <v>: (699 ± 1) mmHg</v>
      </c>
      <c r="L76" s="64"/>
    </row>
    <row r="77" spans="1:12" ht="14.4" x14ac:dyDescent="0.25">
      <c r="A77" s="64"/>
      <c r="B77" s="69" t="s">
        <v>181</v>
      </c>
      <c r="C77" s="64"/>
      <c r="D77" s="64"/>
      <c r="E77" s="69" t="s">
        <v>182</v>
      </c>
      <c r="F77" s="64"/>
      <c r="G77" s="64"/>
      <c r="H77" s="64"/>
      <c r="I77" s="64"/>
      <c r="J77" s="64"/>
      <c r="K77" s="64"/>
      <c r="L77" s="64"/>
    </row>
    <row r="78" spans="1:12" ht="14.4" x14ac:dyDescent="0.25">
      <c r="A78" s="64"/>
      <c r="B78" s="69"/>
      <c r="C78" s="64"/>
      <c r="D78" s="69"/>
      <c r="E78" s="69"/>
      <c r="F78" s="69"/>
      <c r="G78" s="69"/>
      <c r="H78" s="64"/>
      <c r="I78" s="64"/>
      <c r="J78" s="64"/>
      <c r="K78" s="64"/>
      <c r="L78" s="64"/>
    </row>
    <row r="79" spans="1:12" ht="14.4" x14ac:dyDescent="0.25">
      <c r="A79" s="64"/>
      <c r="B79" s="124" t="s">
        <v>280</v>
      </c>
      <c r="C79" s="64"/>
      <c r="D79" s="69"/>
      <c r="E79" s="69"/>
      <c r="F79" s="69"/>
      <c r="G79" s="69"/>
      <c r="H79" s="64"/>
      <c r="I79" s="64"/>
      <c r="J79" s="64"/>
      <c r="K79" s="64"/>
      <c r="L79" s="64"/>
    </row>
    <row r="80" spans="1:12" s="121" customFormat="1" ht="13.8" x14ac:dyDescent="0.25">
      <c r="B80" s="122" t="s">
        <v>259</v>
      </c>
      <c r="C80" s="122"/>
      <c r="E80" s="122" t="s">
        <v>256</v>
      </c>
    </row>
    <row r="81" spans="1:12" s="121" customFormat="1" ht="13.8" x14ac:dyDescent="0.25">
      <c r="E81" s="122" t="str">
        <f>CONCATENATE("  ",'Pengambilan Data '!H2," ",'Pengambilan Data '!J2," ","sebesar"," ",FIXED('Pengambilan Data '!K7,4)," ",'Pengambilan Data '!J2,".")</f>
        <v xml:space="preserve">  200 g sebesar 0,0025 g.</v>
      </c>
    </row>
    <row r="82" spans="1:12" s="121" customFormat="1" ht="6.75" customHeight="1" x14ac:dyDescent="0.25"/>
    <row r="83" spans="1:12" s="121" customFormat="1" ht="13.8" x14ac:dyDescent="0.25">
      <c r="B83" s="122" t="s">
        <v>260</v>
      </c>
      <c r="C83" s="122"/>
      <c r="E83" s="122" t="s">
        <v>257</v>
      </c>
    </row>
    <row r="84" spans="1:12" s="121" customFormat="1" ht="13.8" x14ac:dyDescent="0.25">
      <c r="E84" s="123" t="s">
        <v>258</v>
      </c>
    </row>
    <row r="85" spans="1:12" ht="14.4" x14ac:dyDescent="0.25">
      <c r="A85" s="64"/>
      <c r="B85" s="69"/>
      <c r="C85" s="64"/>
      <c r="D85" s="69"/>
      <c r="E85" s="69"/>
      <c r="F85" s="69"/>
      <c r="G85" s="69"/>
      <c r="H85" s="64"/>
      <c r="I85" s="64"/>
      <c r="J85" s="64"/>
      <c r="K85" s="64"/>
      <c r="L85" s="64"/>
    </row>
    <row r="86" spans="1:12" ht="14.4" x14ac:dyDescent="0.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</row>
    <row r="87" spans="1:12" ht="14.4" x14ac:dyDescent="0.25">
      <c r="A87" s="64"/>
      <c r="B87" s="64"/>
      <c r="C87" s="64"/>
      <c r="D87" s="64"/>
      <c r="E87" s="85" t="s">
        <v>183</v>
      </c>
      <c r="F87" s="64"/>
      <c r="G87" s="64"/>
      <c r="H87" s="64"/>
      <c r="I87" s="64"/>
      <c r="J87" s="64"/>
      <c r="K87" s="64"/>
      <c r="L87" s="64"/>
    </row>
    <row r="88" spans="1:12" ht="14.4" x14ac:dyDescent="0.25">
      <c r="A88" s="64"/>
      <c r="B88" s="64"/>
      <c r="C88" s="69"/>
      <c r="D88" s="64"/>
      <c r="E88" s="69"/>
      <c r="F88" s="64"/>
      <c r="G88" s="64"/>
      <c r="H88" s="64"/>
      <c r="I88" s="64"/>
      <c r="J88" s="64"/>
      <c r="K88" s="64"/>
      <c r="L88" s="64"/>
    </row>
    <row r="89" spans="1:12" ht="32.4" customHeight="1" x14ac:dyDescent="0.25">
      <c r="A89" s="64"/>
      <c r="B89" s="86"/>
      <c r="C89" s="184" t="s">
        <v>225</v>
      </c>
      <c r="D89" s="184"/>
      <c r="E89" s="184" t="s">
        <v>121</v>
      </c>
      <c r="F89" s="184"/>
      <c r="G89" s="185" t="s">
        <v>184</v>
      </c>
      <c r="H89" s="185"/>
      <c r="I89" s="185"/>
      <c r="J89" s="64"/>
      <c r="K89" s="64"/>
      <c r="L89" s="64"/>
    </row>
    <row r="90" spans="1:12" ht="14.4" x14ac:dyDescent="0.25">
      <c r="A90" s="64"/>
      <c r="B90" s="86"/>
      <c r="C90" s="186" t="s">
        <v>185</v>
      </c>
      <c r="D90" s="187"/>
      <c r="E90" s="188" t="s">
        <v>185</v>
      </c>
      <c r="F90" s="188"/>
      <c r="G90" s="188" t="s">
        <v>185</v>
      </c>
      <c r="H90" s="188"/>
      <c r="I90" s="188"/>
      <c r="J90" s="64"/>
      <c r="K90" s="64"/>
      <c r="L90" s="64"/>
    </row>
    <row r="91" spans="1:12" ht="20.399999999999999" customHeight="1" x14ac:dyDescent="0.25">
      <c r="A91" s="64"/>
      <c r="B91" s="86"/>
      <c r="C91" s="170">
        <f>'Budget Ketidakpastian '!D10</f>
        <v>2</v>
      </c>
      <c r="D91" s="171"/>
      <c r="E91" s="173">
        <f>C91-'Pengambilan Data '!G89</f>
        <v>1.0063518430705798</v>
      </c>
      <c r="F91" s="174"/>
      <c r="G91" s="175">
        <f>MAX('Budget Ketidakpastian '!K28,'Budget Ketidakpastian '!K30)</f>
        <v>2.1000000000000001E-2</v>
      </c>
      <c r="H91" s="176"/>
      <c r="I91" s="177"/>
      <c r="J91" s="64"/>
      <c r="K91" s="64"/>
      <c r="L91" s="64"/>
    </row>
    <row r="92" spans="1:12" ht="20.399999999999999" customHeight="1" x14ac:dyDescent="0.25">
      <c r="A92" s="64"/>
      <c r="B92" s="86"/>
      <c r="C92" s="170">
        <f>'Budget Ketidakpastian '!D36</f>
        <v>4</v>
      </c>
      <c r="D92" s="171"/>
      <c r="E92" s="173">
        <f>C92-'Pengambilan Data '!N89</f>
        <v>3.00635184307058</v>
      </c>
      <c r="F92" s="174"/>
      <c r="G92" s="175">
        <f>MAX('Budget Ketidakpastian '!K54,'Budget Ketidakpastian '!K56)</f>
        <v>2.1000000000000001E-2</v>
      </c>
      <c r="H92" s="176"/>
      <c r="I92" s="177"/>
      <c r="J92" s="64"/>
      <c r="K92" s="64"/>
      <c r="L92" s="64"/>
    </row>
    <row r="93" spans="1:12" ht="20.399999999999999" customHeight="1" x14ac:dyDescent="0.25">
      <c r="A93" s="64"/>
      <c r="B93" s="86"/>
      <c r="C93" s="170">
        <f>'Budget Ketidakpastian '!D61</f>
        <v>6</v>
      </c>
      <c r="D93" s="171"/>
      <c r="E93" s="173">
        <f>C93-'Pengambilan Data '!U89</f>
        <v>5.00635184307058</v>
      </c>
      <c r="F93" s="174"/>
      <c r="G93" s="175">
        <f>MAX('Budget Ketidakpastian '!K79,'Budget Ketidakpastian '!K81)</f>
        <v>2.1000000000000001E-2</v>
      </c>
      <c r="H93" s="176"/>
      <c r="I93" s="177"/>
      <c r="J93" s="64"/>
      <c r="K93" s="64"/>
      <c r="L93" s="64"/>
    </row>
    <row r="94" spans="1:12" ht="20.399999999999999" customHeight="1" x14ac:dyDescent="0.25">
      <c r="A94" s="64"/>
      <c r="B94" s="86"/>
      <c r="C94" s="170">
        <f>'Budget Ketidakpastian '!D86</f>
        <v>8</v>
      </c>
      <c r="D94" s="171"/>
      <c r="E94" s="173">
        <f>C94-'Pengambilan Data '!AB89</f>
        <v>7.00635184307058</v>
      </c>
      <c r="F94" s="174"/>
      <c r="G94" s="175">
        <f>MAX('Budget Ketidakpastian '!K104,'Budget Ketidakpastian '!K106)</f>
        <v>2.1000000000000001E-2</v>
      </c>
      <c r="H94" s="176"/>
      <c r="I94" s="177"/>
      <c r="J94" s="64"/>
      <c r="K94" s="64"/>
      <c r="L94" s="64"/>
    </row>
    <row r="95" spans="1:12" ht="20.399999999999999" customHeight="1" x14ac:dyDescent="0.25">
      <c r="A95" s="64"/>
      <c r="B95" s="87"/>
      <c r="C95" s="192">
        <f>'Budget Ketidakpastian '!D111</f>
        <v>10</v>
      </c>
      <c r="D95" s="192"/>
      <c r="E95" s="172">
        <f>C95-'Pengambilan Data '!AI89</f>
        <v>9.0063518430705791</v>
      </c>
      <c r="F95" s="172"/>
      <c r="G95" s="169">
        <f>MAX('Budget Ketidakpastian '!K129,'Budget Ketidakpastian '!K131)</f>
        <v>2.1000000000000001E-2</v>
      </c>
      <c r="H95" s="169"/>
      <c r="I95" s="169"/>
      <c r="J95" s="64"/>
      <c r="K95" s="64"/>
      <c r="L95" s="64"/>
    </row>
    <row r="96" spans="1:12" ht="14.4" x14ac:dyDescent="0.25">
      <c r="A96" s="64"/>
      <c r="B96" s="87"/>
      <c r="C96" s="88"/>
      <c r="D96" s="88"/>
      <c r="E96" s="88"/>
      <c r="F96" s="88"/>
      <c r="G96" s="89"/>
      <c r="H96" s="89"/>
      <c r="I96" s="89"/>
      <c r="J96" s="64"/>
      <c r="K96" s="64"/>
      <c r="L96" s="64"/>
    </row>
    <row r="97" spans="1:12" ht="14.4" x14ac:dyDescent="0.25">
      <c r="A97" s="64"/>
      <c r="B97" s="87"/>
      <c r="C97" s="88"/>
      <c r="D97" s="88"/>
      <c r="E97" s="88"/>
      <c r="F97" s="88"/>
      <c r="G97" s="89"/>
      <c r="H97" s="89"/>
      <c r="I97" s="89"/>
      <c r="J97" s="64"/>
      <c r="K97" s="64"/>
      <c r="L97" s="64"/>
    </row>
    <row r="98" spans="1:12" ht="14.4" x14ac:dyDescent="0.25">
      <c r="A98" s="64"/>
      <c r="B98" s="83" t="s">
        <v>186</v>
      </c>
      <c r="C98" s="64"/>
      <c r="D98" s="64"/>
      <c r="E98" s="64"/>
      <c r="F98" s="64"/>
      <c r="G98" s="64"/>
      <c r="H98" s="64"/>
      <c r="I98" s="64"/>
      <c r="J98" s="64"/>
      <c r="K98" s="64"/>
      <c r="L98" s="64"/>
    </row>
    <row r="99" spans="1:12" ht="14.25" customHeight="1" x14ac:dyDescent="0.25">
      <c r="A99" s="64"/>
      <c r="B99" s="178" t="s">
        <v>255</v>
      </c>
      <c r="C99" s="178"/>
      <c r="D99" s="178"/>
      <c r="E99" s="178"/>
      <c r="F99" s="178"/>
      <c r="G99" s="178"/>
      <c r="H99" s="178"/>
      <c r="I99" s="178"/>
      <c r="J99" s="178"/>
      <c r="K99" s="178"/>
      <c r="L99" s="64"/>
    </row>
    <row r="100" spans="1:12" ht="14.4" x14ac:dyDescent="0.25">
      <c r="A100" s="64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64"/>
    </row>
    <row r="101" spans="1:12" ht="14.4" x14ac:dyDescent="0.25">
      <c r="A101" s="64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64"/>
    </row>
    <row r="102" spans="1:12" ht="13.8" x14ac:dyDescent="0.25">
      <c r="B102" s="111"/>
    </row>
  </sheetData>
  <mergeCells count="30">
    <mergeCell ref="B99:K101"/>
    <mergeCell ref="A7:L7"/>
    <mergeCell ref="A8:L8"/>
    <mergeCell ref="A9:L9"/>
    <mergeCell ref="E32:K33"/>
    <mergeCell ref="E34:K36"/>
    <mergeCell ref="C89:D89"/>
    <mergeCell ref="E89:F89"/>
    <mergeCell ref="G89:I89"/>
    <mergeCell ref="C90:D90"/>
    <mergeCell ref="E90:F90"/>
    <mergeCell ref="G90:I90"/>
    <mergeCell ref="F44:J44"/>
    <mergeCell ref="F45:I45"/>
    <mergeCell ref="F46:I46"/>
    <mergeCell ref="C95:D95"/>
    <mergeCell ref="G95:I95"/>
    <mergeCell ref="C91:D91"/>
    <mergeCell ref="C92:D92"/>
    <mergeCell ref="C93:D93"/>
    <mergeCell ref="C94:D94"/>
    <mergeCell ref="E95:F95"/>
    <mergeCell ref="E91:F91"/>
    <mergeCell ref="G91:I91"/>
    <mergeCell ref="G92:I92"/>
    <mergeCell ref="G93:I93"/>
    <mergeCell ref="G94:I94"/>
    <mergeCell ref="E92:F92"/>
    <mergeCell ref="E93:F93"/>
    <mergeCell ref="E94:F94"/>
  </mergeCells>
  <pageMargins left="0.7" right="0.7" top="0.75" bottom="0.75" header="0.3" footer="0.3"/>
  <pageSetup scale="8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F175-910E-46BC-B846-9A6CB7843F30}">
  <dimension ref="A2:N15"/>
  <sheetViews>
    <sheetView workbookViewId="0">
      <selection activeCell="D11" sqref="D11"/>
    </sheetView>
  </sheetViews>
  <sheetFormatPr defaultRowHeight="13.2" x14ac:dyDescent="0.25"/>
  <cols>
    <col min="1" max="1" width="12.77734375" bestFit="1" customWidth="1"/>
    <col min="2" max="3" width="9.21875" bestFit="1" customWidth="1"/>
  </cols>
  <sheetData>
    <row r="2" spans="1:14" x14ac:dyDescent="0.25">
      <c r="B2" t="s">
        <v>242</v>
      </c>
      <c r="C2" t="s">
        <v>228</v>
      </c>
      <c r="D2" t="s">
        <v>203</v>
      </c>
      <c r="F2" t="s">
        <v>229</v>
      </c>
    </row>
    <row r="3" spans="1:14" x14ac:dyDescent="0.25">
      <c r="A3" t="s">
        <v>230</v>
      </c>
      <c r="B3">
        <f>'Pengambilan Data '!B2</f>
        <v>20.100000000000001</v>
      </c>
      <c r="C3">
        <f>Table5[[#This Row],[Awal ]]</f>
        <v>60.5</v>
      </c>
      <c r="D3">
        <f>'Pengambilan Data '!B4/1.333</f>
        <v>693.92348087021753</v>
      </c>
      <c r="F3" t="s">
        <v>231</v>
      </c>
      <c r="I3" t="s">
        <v>232</v>
      </c>
      <c r="L3" t="s">
        <v>243</v>
      </c>
    </row>
    <row r="4" spans="1:14" x14ac:dyDescent="0.25">
      <c r="A4" t="s">
        <v>233</v>
      </c>
      <c r="B4">
        <f>'Pengambilan Data '!C2</f>
        <v>20.7</v>
      </c>
      <c r="C4">
        <f>'Pengambilan Data '!C3</f>
        <v>60</v>
      </c>
      <c r="D4">
        <f>Table5[[#This Row],[Akhir ]]/1.3333</f>
        <v>695.2673816845421</v>
      </c>
      <c r="F4" t="s">
        <v>234</v>
      </c>
      <c r="G4" t="s">
        <v>235</v>
      </c>
      <c r="H4" t="s">
        <v>130</v>
      </c>
      <c r="I4" t="s">
        <v>236</v>
      </c>
      <c r="J4" t="s">
        <v>235</v>
      </c>
      <c r="K4" t="s">
        <v>130</v>
      </c>
      <c r="L4" t="s">
        <v>203</v>
      </c>
      <c r="M4" t="s">
        <v>139</v>
      </c>
      <c r="N4" t="s">
        <v>130</v>
      </c>
    </row>
    <row r="5" spans="1:14" x14ac:dyDescent="0.25">
      <c r="A5" t="s">
        <v>237</v>
      </c>
      <c r="B5">
        <f>AVERAGE(B3:B4)</f>
        <v>20.399999999999999</v>
      </c>
      <c r="C5">
        <f>AVERAGE(C3:C4)</f>
        <v>60.25</v>
      </c>
      <c r="D5">
        <f>AVERAGE(D3:D4)</f>
        <v>694.59543127737982</v>
      </c>
      <c r="F5">
        <v>20</v>
      </c>
      <c r="G5">
        <v>0.1</v>
      </c>
      <c r="H5">
        <v>2</v>
      </c>
      <c r="I5">
        <v>40</v>
      </c>
      <c r="J5">
        <v>0.2</v>
      </c>
      <c r="K5">
        <v>2.5</v>
      </c>
      <c r="L5">
        <v>940</v>
      </c>
      <c r="M5">
        <v>4</v>
      </c>
      <c r="N5">
        <v>1</v>
      </c>
    </row>
    <row r="6" spans="1:14" x14ac:dyDescent="0.25">
      <c r="A6" t="s">
        <v>238</v>
      </c>
      <c r="B6">
        <f>B5+FORECAST(B5,G5:G9,F5:F9)</f>
        <v>20.443999999999999</v>
      </c>
      <c r="C6">
        <f>C5+FORECAST(C5,J5:J9,I5:I9)</f>
        <v>60.026499999999999</v>
      </c>
      <c r="D6">
        <f>D5+FORECAST(D5,M5:M15,L5:L15)/1.3333</f>
        <v>699.46131784468537</v>
      </c>
      <c r="F6">
        <v>25</v>
      </c>
      <c r="G6">
        <v>-0.2</v>
      </c>
      <c r="H6">
        <v>2</v>
      </c>
      <c r="I6">
        <v>50</v>
      </c>
      <c r="J6">
        <v>-0.3</v>
      </c>
      <c r="K6">
        <v>2.8</v>
      </c>
      <c r="L6">
        <v>960</v>
      </c>
      <c r="M6">
        <v>3</v>
      </c>
      <c r="N6">
        <v>1</v>
      </c>
    </row>
    <row r="7" spans="1:14" x14ac:dyDescent="0.25">
      <c r="A7" t="s">
        <v>130</v>
      </c>
      <c r="B7">
        <v>2</v>
      </c>
      <c r="C7">
        <f>FORECAST(C6,K5:K9,I5:I9)</f>
        <v>2.6198410000000001</v>
      </c>
      <c r="D7">
        <f>FORECAST(D6,N5:N15,L5:L15)/1.3333</f>
        <v>0.75001875046876176</v>
      </c>
      <c r="F7">
        <v>30</v>
      </c>
      <c r="G7">
        <v>-0.3</v>
      </c>
      <c r="H7">
        <v>2</v>
      </c>
      <c r="I7">
        <v>60</v>
      </c>
      <c r="J7">
        <v>-0.3</v>
      </c>
      <c r="K7">
        <v>3.2</v>
      </c>
      <c r="L7">
        <v>980</v>
      </c>
      <c r="M7">
        <v>3</v>
      </c>
      <c r="N7">
        <v>1</v>
      </c>
    </row>
    <row r="8" spans="1:14" x14ac:dyDescent="0.25">
      <c r="A8" t="s">
        <v>239</v>
      </c>
      <c r="B8">
        <f>(MAX(B3:B4)-B5+B5-MIN(B3:B4))/2</f>
        <v>0.29999999999999893</v>
      </c>
      <c r="C8">
        <f>(MAX(C3:C4)-C5+C5-MIN(C3:C4))/2</f>
        <v>0.25</v>
      </c>
      <c r="D8">
        <f>(MAX(D3:D4)-D5+D5-MIN(D3:D4))/2</f>
        <v>0.67195040716228505</v>
      </c>
      <c r="F8">
        <v>35</v>
      </c>
      <c r="G8">
        <v>-0.6</v>
      </c>
      <c r="H8">
        <v>2</v>
      </c>
      <c r="I8">
        <v>70</v>
      </c>
      <c r="J8">
        <v>-0.1</v>
      </c>
      <c r="K8">
        <v>2</v>
      </c>
      <c r="L8">
        <v>990</v>
      </c>
      <c r="M8">
        <v>3</v>
      </c>
      <c r="N8">
        <v>1</v>
      </c>
    </row>
    <row r="9" spans="1:14" x14ac:dyDescent="0.25">
      <c r="A9" t="s">
        <v>240</v>
      </c>
      <c r="B9">
        <f>B7+B8</f>
        <v>2.2999999999999989</v>
      </c>
      <c r="C9">
        <f>C7+C8</f>
        <v>2.8698410000000001</v>
      </c>
      <c r="D9">
        <f>D7+D8</f>
        <v>1.4219691576310467</v>
      </c>
      <c r="F9">
        <v>40</v>
      </c>
      <c r="G9">
        <v>-0.7</v>
      </c>
      <c r="H9">
        <v>2</v>
      </c>
      <c r="I9">
        <v>80</v>
      </c>
      <c r="J9">
        <v>-0.6</v>
      </c>
      <c r="K9">
        <v>2.6</v>
      </c>
      <c r="L9">
        <v>1000</v>
      </c>
      <c r="M9">
        <v>3</v>
      </c>
      <c r="N9">
        <v>1</v>
      </c>
    </row>
    <row r="10" spans="1:14" x14ac:dyDescent="0.25">
      <c r="A10" t="s">
        <v>241</v>
      </c>
      <c r="B10" t="str">
        <f>FIXED(B6,1)&amp;" ± "&amp;FIXED(B8,1)</f>
        <v>20,4 ± 0,3</v>
      </c>
      <c r="C10" t="str">
        <f>FIXED(C6,1)&amp;" ± "&amp;FIXED(C8,1)</f>
        <v>60,0 ± 0,3</v>
      </c>
      <c r="D10" t="str">
        <f>FIXED(D6,0)&amp;" ± "&amp;FIXED(D8,0)</f>
        <v>699 ± 1</v>
      </c>
      <c r="L10">
        <v>1010</v>
      </c>
      <c r="M10">
        <v>3</v>
      </c>
      <c r="N10">
        <v>1</v>
      </c>
    </row>
    <row r="11" spans="1:14" x14ac:dyDescent="0.25">
      <c r="L11">
        <v>1020</v>
      </c>
      <c r="M11">
        <v>3</v>
      </c>
      <c r="N11">
        <v>1</v>
      </c>
    </row>
    <row r="12" spans="1:14" x14ac:dyDescent="0.25">
      <c r="L12">
        <v>1030</v>
      </c>
      <c r="M12">
        <v>3</v>
      </c>
      <c r="N12">
        <v>1</v>
      </c>
    </row>
    <row r="13" spans="1:14" x14ac:dyDescent="0.25">
      <c r="L13">
        <v>1040</v>
      </c>
      <c r="M13">
        <v>3</v>
      </c>
      <c r="N13">
        <v>1</v>
      </c>
    </row>
    <row r="14" spans="1:14" x14ac:dyDescent="0.25">
      <c r="L14">
        <v>1050</v>
      </c>
      <c r="M14">
        <v>2</v>
      </c>
      <c r="N14">
        <v>1</v>
      </c>
    </row>
    <row r="15" spans="1:14" x14ac:dyDescent="0.25">
      <c r="L15">
        <v>1060</v>
      </c>
      <c r="M15">
        <v>2</v>
      </c>
      <c r="N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D834-4333-4BAA-98CC-46DB94DB11A3}">
  <dimension ref="A1:AJ67"/>
  <sheetViews>
    <sheetView topLeftCell="A44" zoomScale="110" zoomScaleNormal="110" workbookViewId="0">
      <selection activeCell="I69" sqref="I69"/>
    </sheetView>
  </sheetViews>
  <sheetFormatPr defaultRowHeight="13.2" x14ac:dyDescent="0.25"/>
  <cols>
    <col min="1" max="1" width="18.77734375" customWidth="1"/>
    <col min="2" max="2" width="14.77734375" bestFit="1" customWidth="1"/>
    <col min="7" max="7" width="11.21875" bestFit="1" customWidth="1"/>
    <col min="8" max="8" width="7.109375" bestFit="1" customWidth="1"/>
    <col min="9" max="9" width="13" bestFit="1" customWidth="1"/>
    <col min="18" max="18" width="13" bestFit="1" customWidth="1"/>
    <col min="20" max="20" width="16.44140625" bestFit="1" customWidth="1"/>
    <col min="32" max="32" width="9" bestFit="1" customWidth="1"/>
    <col min="33" max="33" width="18.21875" bestFit="1" customWidth="1"/>
    <col min="36" max="36" width="13.5546875" bestFit="1" customWidth="1"/>
  </cols>
  <sheetData>
    <row r="1" spans="1:36" x14ac:dyDescent="0.25">
      <c r="A1" s="40" t="s">
        <v>118</v>
      </c>
      <c r="B1" s="40"/>
      <c r="F1" s="40" t="s">
        <v>123</v>
      </c>
      <c r="K1" t="s">
        <v>133</v>
      </c>
      <c r="P1" s="40" t="s">
        <v>124</v>
      </c>
      <c r="T1" t="s">
        <v>132</v>
      </c>
      <c r="X1" t="s">
        <v>134</v>
      </c>
      <c r="AB1" t="s">
        <v>135</v>
      </c>
      <c r="AG1" s="103" t="s">
        <v>210</v>
      </c>
      <c r="AH1" s="103" t="s">
        <v>211</v>
      </c>
      <c r="AI1" s="103" t="s">
        <v>212</v>
      </c>
      <c r="AJ1" s="103" t="s">
        <v>33</v>
      </c>
    </row>
    <row r="2" spans="1:36" x14ac:dyDescent="0.25">
      <c r="A2" t="s">
        <v>119</v>
      </c>
      <c r="B2" t="s">
        <v>137</v>
      </c>
      <c r="C2" t="s">
        <v>121</v>
      </c>
      <c r="D2" t="s">
        <v>138</v>
      </c>
      <c r="F2" t="s">
        <v>119</v>
      </c>
      <c r="G2" t="s">
        <v>120</v>
      </c>
      <c r="H2" t="s">
        <v>121</v>
      </c>
      <c r="I2" t="s">
        <v>122</v>
      </c>
      <c r="K2" t="s">
        <v>128</v>
      </c>
      <c r="L2" t="s">
        <v>129</v>
      </c>
      <c r="M2" t="s">
        <v>139</v>
      </c>
      <c r="N2" t="s">
        <v>130</v>
      </c>
      <c r="P2" t="s">
        <v>136</v>
      </c>
      <c r="Q2" t="s">
        <v>121</v>
      </c>
      <c r="R2" t="s">
        <v>122</v>
      </c>
      <c r="T2" t="s">
        <v>131</v>
      </c>
      <c r="U2" s="103" t="s">
        <v>216</v>
      </c>
      <c r="V2" s="103" t="s">
        <v>215</v>
      </c>
      <c r="X2" t="s">
        <v>131</v>
      </c>
      <c r="Y2" s="103" t="s">
        <v>216</v>
      </c>
      <c r="Z2" s="103" t="s">
        <v>215</v>
      </c>
      <c r="AB2" t="s">
        <v>131</v>
      </c>
      <c r="AC2" s="103" t="s">
        <v>216</v>
      </c>
      <c r="AD2" s="103" t="s">
        <v>215</v>
      </c>
      <c r="AG2" s="103" t="s">
        <v>214</v>
      </c>
      <c r="AH2">
        <v>13504868</v>
      </c>
      <c r="AI2">
        <v>1E-4</v>
      </c>
      <c r="AJ2">
        <v>8.1999999999999998E-4</v>
      </c>
    </row>
    <row r="3" spans="1:36" x14ac:dyDescent="0.25">
      <c r="A3">
        <v>20</v>
      </c>
      <c r="B3">
        <v>19.899999999999999</v>
      </c>
      <c r="C3">
        <v>0.1</v>
      </c>
      <c r="D3">
        <v>2</v>
      </c>
      <c r="F3">
        <v>40</v>
      </c>
      <c r="G3">
        <v>39.799999999999997</v>
      </c>
      <c r="H3">
        <v>0.2</v>
      </c>
      <c r="I3">
        <v>2.5</v>
      </c>
      <c r="K3">
        <v>940</v>
      </c>
      <c r="L3">
        <v>936</v>
      </c>
      <c r="M3">
        <f>K3-L3</f>
        <v>4</v>
      </c>
      <c r="N3">
        <v>1</v>
      </c>
      <c r="P3">
        <v>16.3</v>
      </c>
      <c r="Q3">
        <v>0.1</v>
      </c>
      <c r="R3">
        <v>0.4</v>
      </c>
      <c r="T3">
        <v>30</v>
      </c>
      <c r="U3">
        <v>5.0000000000000002E-5</v>
      </c>
      <c r="V3">
        <v>0.12</v>
      </c>
      <c r="X3">
        <v>50</v>
      </c>
      <c r="Y3">
        <v>0</v>
      </c>
      <c r="Z3">
        <v>2.7</v>
      </c>
      <c r="AB3">
        <v>250</v>
      </c>
      <c r="AC3">
        <v>-2E-3</v>
      </c>
      <c r="AD3">
        <v>2.1</v>
      </c>
      <c r="AG3" s="103" t="s">
        <v>213</v>
      </c>
      <c r="AH3">
        <v>90602105</v>
      </c>
      <c r="AI3">
        <v>1E-3</v>
      </c>
      <c r="AJ3">
        <v>8.5000000000000006E-3</v>
      </c>
    </row>
    <row r="4" spans="1:36" x14ac:dyDescent="0.25">
      <c r="A4">
        <v>25</v>
      </c>
      <c r="B4">
        <v>25.2</v>
      </c>
      <c r="C4">
        <v>-0.2</v>
      </c>
      <c r="D4">
        <v>2</v>
      </c>
      <c r="F4">
        <v>50</v>
      </c>
      <c r="G4">
        <v>50.3</v>
      </c>
      <c r="H4">
        <v>-0.3</v>
      </c>
      <c r="I4">
        <v>2.8</v>
      </c>
      <c r="K4">
        <v>960</v>
      </c>
      <c r="L4">
        <v>957</v>
      </c>
      <c r="M4">
        <f t="shared" ref="M4:M13" si="0">K4-L4</f>
        <v>3</v>
      </c>
      <c r="N4">
        <v>1</v>
      </c>
      <c r="P4">
        <v>18</v>
      </c>
      <c r="Q4">
        <v>-0.2</v>
      </c>
      <c r="R4">
        <v>0.4</v>
      </c>
      <c r="T4">
        <v>60</v>
      </c>
      <c r="U4" s="39">
        <v>2.9999999999999997E-4</v>
      </c>
      <c r="V4">
        <v>0.12</v>
      </c>
      <c r="X4">
        <v>100</v>
      </c>
      <c r="Y4">
        <v>-1E-3</v>
      </c>
      <c r="Z4">
        <v>2.7</v>
      </c>
      <c r="AB4">
        <v>500</v>
      </c>
      <c r="AC4">
        <v>-0.01</v>
      </c>
      <c r="AD4">
        <v>2.2999999999999998</v>
      </c>
      <c r="AG4" s="103" t="s">
        <v>219</v>
      </c>
      <c r="AH4">
        <v>9249</v>
      </c>
      <c r="AI4">
        <v>1E-3</v>
      </c>
      <c r="AJ4">
        <v>2.7000000000000001E-3</v>
      </c>
    </row>
    <row r="5" spans="1:36" x14ac:dyDescent="0.25">
      <c r="A5">
        <v>30</v>
      </c>
      <c r="B5">
        <v>30.3</v>
      </c>
      <c r="C5">
        <v>-0.3</v>
      </c>
      <c r="D5">
        <v>2</v>
      </c>
      <c r="F5">
        <v>60</v>
      </c>
      <c r="G5">
        <v>60.3</v>
      </c>
      <c r="H5">
        <v>-0.3</v>
      </c>
      <c r="I5">
        <v>3.2</v>
      </c>
      <c r="K5">
        <v>980</v>
      </c>
      <c r="L5">
        <v>977</v>
      </c>
      <c r="M5">
        <f t="shared" si="0"/>
        <v>3</v>
      </c>
      <c r="N5">
        <v>1</v>
      </c>
      <c r="P5">
        <v>19.3</v>
      </c>
      <c r="Q5">
        <v>-0.2</v>
      </c>
      <c r="R5">
        <v>0.4</v>
      </c>
      <c r="T5">
        <v>90</v>
      </c>
      <c r="U5">
        <v>4.8000000000000001E-4</v>
      </c>
      <c r="V5">
        <v>0.12</v>
      </c>
      <c r="X5">
        <v>150</v>
      </c>
      <c r="Y5">
        <v>-2E-3</v>
      </c>
      <c r="Z5">
        <v>2.7</v>
      </c>
      <c r="AB5">
        <v>1000</v>
      </c>
      <c r="AC5">
        <v>-1.7999999999999999E-2</v>
      </c>
      <c r="AD5">
        <v>2.7</v>
      </c>
    </row>
    <row r="6" spans="1:36" x14ac:dyDescent="0.25">
      <c r="A6">
        <v>35</v>
      </c>
      <c r="B6">
        <v>35.6</v>
      </c>
      <c r="C6">
        <v>-0.6</v>
      </c>
      <c r="D6">
        <v>2</v>
      </c>
      <c r="F6">
        <v>70</v>
      </c>
      <c r="G6">
        <v>70.099999999999994</v>
      </c>
      <c r="H6">
        <v>-0.1</v>
      </c>
      <c r="I6">
        <v>2</v>
      </c>
      <c r="K6">
        <v>990</v>
      </c>
      <c r="L6">
        <v>987</v>
      </c>
      <c r="M6">
        <f t="shared" si="0"/>
        <v>3</v>
      </c>
      <c r="N6">
        <v>1</v>
      </c>
      <c r="P6">
        <v>20.100000000000001</v>
      </c>
      <c r="Q6">
        <v>-0.2</v>
      </c>
      <c r="R6">
        <v>0.4</v>
      </c>
      <c r="T6">
        <v>120</v>
      </c>
      <c r="U6">
        <v>5.5999999999999995E-4</v>
      </c>
      <c r="V6">
        <v>0.12</v>
      </c>
      <c r="X6">
        <v>200</v>
      </c>
      <c r="Y6">
        <v>-1E-3</v>
      </c>
      <c r="Z6">
        <v>2.7</v>
      </c>
      <c r="AB6">
        <v>1500</v>
      </c>
      <c r="AC6">
        <v>-2.3E-2</v>
      </c>
      <c r="AD6">
        <v>3.5</v>
      </c>
      <c r="AG6" s="103" t="s">
        <v>218</v>
      </c>
    </row>
    <row r="7" spans="1:36" x14ac:dyDescent="0.25">
      <c r="A7">
        <v>40</v>
      </c>
      <c r="B7">
        <v>40.700000000000003</v>
      </c>
      <c r="C7">
        <v>-0.7</v>
      </c>
      <c r="D7">
        <v>2</v>
      </c>
      <c r="F7">
        <v>80</v>
      </c>
      <c r="G7">
        <v>80.599999999999994</v>
      </c>
      <c r="H7">
        <v>-0.6</v>
      </c>
      <c r="I7">
        <v>2.6</v>
      </c>
      <c r="K7">
        <v>1000</v>
      </c>
      <c r="L7">
        <v>997</v>
      </c>
      <c r="M7">
        <f t="shared" si="0"/>
        <v>3</v>
      </c>
      <c r="N7">
        <v>1</v>
      </c>
      <c r="P7">
        <v>21.1</v>
      </c>
      <c r="Q7">
        <v>-0.1</v>
      </c>
      <c r="R7">
        <v>0.4</v>
      </c>
      <c r="T7">
        <v>150</v>
      </c>
      <c r="U7">
        <v>5.5000000000000003E-4</v>
      </c>
      <c r="V7">
        <v>0.12</v>
      </c>
      <c r="X7">
        <v>250</v>
      </c>
      <c r="Y7">
        <v>-2E-3</v>
      </c>
      <c r="Z7">
        <v>2.7</v>
      </c>
      <c r="AB7">
        <v>2000</v>
      </c>
      <c r="AC7">
        <v>-2.9000000000000001E-2</v>
      </c>
      <c r="AD7">
        <v>3.9</v>
      </c>
    </row>
    <row r="8" spans="1:36" x14ac:dyDescent="0.25">
      <c r="K8">
        <v>1010</v>
      </c>
      <c r="L8">
        <v>1007</v>
      </c>
      <c r="M8">
        <f t="shared" si="0"/>
        <v>3</v>
      </c>
      <c r="N8">
        <v>1</v>
      </c>
      <c r="P8">
        <v>24.2</v>
      </c>
      <c r="Q8">
        <v>-0.2</v>
      </c>
      <c r="R8">
        <v>0.4</v>
      </c>
      <c r="T8">
        <v>180</v>
      </c>
      <c r="U8">
        <v>3.5E-4</v>
      </c>
      <c r="V8">
        <v>0.15</v>
      </c>
      <c r="X8">
        <v>300</v>
      </c>
      <c r="Y8">
        <v>-4.0000000000000001E-3</v>
      </c>
      <c r="Z8">
        <v>1.9</v>
      </c>
      <c r="AB8">
        <v>2500</v>
      </c>
      <c r="AC8">
        <v>-2.9000000000000001E-2</v>
      </c>
      <c r="AD8">
        <v>4.8</v>
      </c>
      <c r="AG8" s="103" t="s">
        <v>217</v>
      </c>
    </row>
    <row r="9" spans="1:36" x14ac:dyDescent="0.25">
      <c r="K9">
        <v>1020</v>
      </c>
      <c r="L9">
        <v>1017</v>
      </c>
      <c r="M9">
        <f t="shared" si="0"/>
        <v>3</v>
      </c>
      <c r="N9">
        <v>1</v>
      </c>
      <c r="P9">
        <v>25.1</v>
      </c>
      <c r="Q9">
        <v>-0.1</v>
      </c>
      <c r="R9">
        <v>0.4</v>
      </c>
      <c r="T9">
        <v>210</v>
      </c>
      <c r="U9">
        <v>3.3E-4</v>
      </c>
      <c r="V9">
        <v>0.14000000000000001</v>
      </c>
      <c r="X9">
        <v>350</v>
      </c>
      <c r="Y9">
        <v>-8.0000000000000002E-3</v>
      </c>
      <c r="Z9">
        <v>1.9</v>
      </c>
      <c r="AB9">
        <v>3000</v>
      </c>
      <c r="AC9">
        <v>-0.03</v>
      </c>
      <c r="AD9">
        <v>4.5</v>
      </c>
    </row>
    <row r="10" spans="1:36" x14ac:dyDescent="0.25">
      <c r="K10">
        <v>1030</v>
      </c>
      <c r="L10">
        <v>1027</v>
      </c>
      <c r="M10">
        <f t="shared" si="0"/>
        <v>3</v>
      </c>
      <c r="N10">
        <v>1</v>
      </c>
      <c r="P10">
        <v>26.1</v>
      </c>
      <c r="Q10">
        <v>-0.1</v>
      </c>
      <c r="R10">
        <v>0.4</v>
      </c>
      <c r="T10">
        <v>240</v>
      </c>
      <c r="U10">
        <v>5.0000000000000002E-5</v>
      </c>
      <c r="V10">
        <v>0.15</v>
      </c>
      <c r="X10">
        <v>400</v>
      </c>
      <c r="Y10">
        <v>-4.0000000000000001E-3</v>
      </c>
      <c r="Z10">
        <v>1.9</v>
      </c>
      <c r="AB10">
        <v>3500</v>
      </c>
      <c r="AC10">
        <v>-2.4E-2</v>
      </c>
      <c r="AD10">
        <v>6.3</v>
      </c>
    </row>
    <row r="11" spans="1:36" x14ac:dyDescent="0.25">
      <c r="K11">
        <v>1040</v>
      </c>
      <c r="L11">
        <v>1037</v>
      </c>
      <c r="M11">
        <f t="shared" si="0"/>
        <v>3</v>
      </c>
      <c r="N11">
        <v>1</v>
      </c>
      <c r="P11">
        <v>30.1</v>
      </c>
      <c r="Q11">
        <v>-0.1</v>
      </c>
      <c r="R11">
        <v>0.3</v>
      </c>
      <c r="T11">
        <v>270</v>
      </c>
      <c r="U11">
        <v>1.4999999999999999E-4</v>
      </c>
      <c r="V11">
        <v>0.82</v>
      </c>
      <c r="X11">
        <v>450</v>
      </c>
      <c r="Y11">
        <v>-6.0000000000000001E-3</v>
      </c>
      <c r="Z11">
        <v>1.9</v>
      </c>
      <c r="AB11">
        <v>4000</v>
      </c>
      <c r="AC11">
        <v>-2.7E-2</v>
      </c>
      <c r="AD11">
        <v>6.7</v>
      </c>
    </row>
    <row r="12" spans="1:36" x14ac:dyDescent="0.25">
      <c r="K12">
        <v>1050</v>
      </c>
      <c r="L12">
        <v>1048</v>
      </c>
      <c r="M12">
        <f t="shared" si="0"/>
        <v>2</v>
      </c>
      <c r="N12">
        <v>1</v>
      </c>
      <c r="T12">
        <v>300</v>
      </c>
      <c r="U12">
        <v>5.8E-4</v>
      </c>
      <c r="V12">
        <v>0.82</v>
      </c>
      <c r="X12">
        <v>500</v>
      </c>
      <c r="Y12">
        <v>-8.0000000000000002E-3</v>
      </c>
      <c r="Z12">
        <v>2.1</v>
      </c>
      <c r="AB12">
        <v>5000</v>
      </c>
      <c r="AC12">
        <v>-3.5000000000000003E-2</v>
      </c>
      <c r="AD12">
        <v>8.5</v>
      </c>
    </row>
    <row r="13" spans="1:36" x14ac:dyDescent="0.25">
      <c r="K13">
        <v>1060</v>
      </c>
      <c r="L13">
        <v>1058</v>
      </c>
      <c r="M13">
        <f t="shared" si="0"/>
        <v>2</v>
      </c>
      <c r="N13">
        <v>1</v>
      </c>
    </row>
    <row r="27" ht="12.6" customHeight="1" x14ac:dyDescent="0.25"/>
    <row r="35" spans="1:20" x14ac:dyDescent="0.25">
      <c r="A35" s="103" t="s">
        <v>316</v>
      </c>
      <c r="B35" s="103" t="s">
        <v>310</v>
      </c>
      <c r="F35" s="103" t="s">
        <v>312</v>
      </c>
      <c r="I35" s="103" t="s">
        <v>313</v>
      </c>
      <c r="M35" s="103" t="s">
        <v>314</v>
      </c>
      <c r="Q35" s="103" t="s">
        <v>247</v>
      </c>
      <c r="T35" s="103" t="s">
        <v>322</v>
      </c>
    </row>
    <row r="36" spans="1:20" x14ac:dyDescent="0.25">
      <c r="A36" s="103" t="s">
        <v>317</v>
      </c>
      <c r="B36" s="193" t="s">
        <v>311</v>
      </c>
      <c r="C36" s="193"/>
      <c r="D36" s="103" t="s">
        <v>309</v>
      </c>
      <c r="F36" s="103" t="s">
        <v>325</v>
      </c>
      <c r="G36" s="103" t="s">
        <v>309</v>
      </c>
      <c r="I36" s="193" t="s">
        <v>311</v>
      </c>
      <c r="J36" s="193"/>
      <c r="K36" s="103" t="s">
        <v>309</v>
      </c>
      <c r="M36" s="193" t="s">
        <v>311</v>
      </c>
      <c r="N36" s="193"/>
      <c r="O36" s="103" t="s">
        <v>315</v>
      </c>
      <c r="Q36" s="103" t="s">
        <v>325</v>
      </c>
      <c r="R36" s="103" t="s">
        <v>309</v>
      </c>
      <c r="S36" s="103"/>
    </row>
    <row r="37" spans="1:20" x14ac:dyDescent="0.25">
      <c r="A37" s="103" t="s">
        <v>318</v>
      </c>
      <c r="B37">
        <v>2</v>
      </c>
      <c r="C37">
        <v>10</v>
      </c>
      <c r="D37">
        <v>2.1000000000000001E-2</v>
      </c>
      <c r="F37">
        <v>25</v>
      </c>
      <c r="G37" s="103">
        <v>0.01</v>
      </c>
      <c r="I37">
        <v>2</v>
      </c>
      <c r="J37">
        <v>10</v>
      </c>
      <c r="K37">
        <v>8.0000000000000002E-3</v>
      </c>
      <c r="M37">
        <v>1</v>
      </c>
      <c r="N37">
        <v>5</v>
      </c>
      <c r="O37">
        <v>3.5000000000000001E-3</v>
      </c>
      <c r="Q37">
        <v>5</v>
      </c>
      <c r="R37">
        <v>2.3999999999999998E-3</v>
      </c>
      <c r="S37" s="103"/>
    </row>
    <row r="38" spans="1:20" x14ac:dyDescent="0.25">
      <c r="A38" s="103" t="s">
        <v>319</v>
      </c>
      <c r="B38">
        <v>11</v>
      </c>
      <c r="C38">
        <v>50</v>
      </c>
      <c r="D38">
        <v>4.9000000000000002E-2</v>
      </c>
      <c r="F38">
        <v>50</v>
      </c>
      <c r="G38" s="103">
        <v>1.7000000000000001E-2</v>
      </c>
      <c r="I38">
        <v>11</v>
      </c>
      <c r="J38">
        <v>25</v>
      </c>
      <c r="K38">
        <v>1.0999999999999999E-2</v>
      </c>
      <c r="M38">
        <v>6</v>
      </c>
      <c r="N38">
        <v>10</v>
      </c>
      <c r="O38">
        <v>5.5999999999999999E-3</v>
      </c>
      <c r="Q38">
        <v>10</v>
      </c>
      <c r="R38">
        <v>2.5000000000000001E-3</v>
      </c>
      <c r="S38" s="103"/>
    </row>
    <row r="39" spans="1:20" x14ac:dyDescent="0.25">
      <c r="A39" s="103" t="s">
        <v>321</v>
      </c>
      <c r="B39">
        <v>51</v>
      </c>
      <c r="C39">
        <v>100</v>
      </c>
      <c r="D39">
        <v>7.9000000000000001E-2</v>
      </c>
      <c r="F39">
        <v>100</v>
      </c>
      <c r="G39" s="103">
        <v>2.3E-2</v>
      </c>
      <c r="I39">
        <v>26</v>
      </c>
      <c r="J39">
        <v>50</v>
      </c>
      <c r="K39">
        <v>1.4E-2</v>
      </c>
      <c r="M39">
        <v>11</v>
      </c>
      <c r="N39">
        <v>25</v>
      </c>
      <c r="O39">
        <v>9.7000000000000003E-3</v>
      </c>
      <c r="Q39">
        <v>20</v>
      </c>
      <c r="R39">
        <v>3.5000000000000001E-3</v>
      </c>
      <c r="S39" s="103"/>
    </row>
    <row r="40" spans="1:20" x14ac:dyDescent="0.25">
      <c r="A40" s="103" t="s">
        <v>320</v>
      </c>
      <c r="B40">
        <v>101</v>
      </c>
      <c r="C40">
        <v>500</v>
      </c>
      <c r="D40">
        <v>0.25</v>
      </c>
      <c r="F40">
        <v>250</v>
      </c>
      <c r="G40" s="157">
        <v>4.1000000000000002E-2</v>
      </c>
      <c r="I40">
        <v>51</v>
      </c>
      <c r="J40">
        <v>100</v>
      </c>
      <c r="K40">
        <v>2.7E-2</v>
      </c>
      <c r="M40">
        <v>26</v>
      </c>
      <c r="N40">
        <v>50</v>
      </c>
      <c r="O40">
        <v>1.7999999999999999E-2</v>
      </c>
    </row>
    <row r="41" spans="1:20" ht="15" customHeight="1" x14ac:dyDescent="0.25">
      <c r="F41">
        <v>500</v>
      </c>
      <c r="G41" s="142">
        <v>7.3999999999999996E-2</v>
      </c>
      <c r="M41">
        <v>51</v>
      </c>
      <c r="N41">
        <v>100</v>
      </c>
      <c r="O41">
        <v>5.2999999999999999E-2</v>
      </c>
    </row>
    <row r="46" spans="1:20" x14ac:dyDescent="0.25">
      <c r="B46" t="s">
        <v>148</v>
      </c>
      <c r="C46" t="s">
        <v>323</v>
      </c>
      <c r="D46" t="s">
        <v>324</v>
      </c>
      <c r="E46" t="s">
        <v>309</v>
      </c>
      <c r="I46">
        <v>25</v>
      </c>
      <c r="J46" t="s">
        <v>318</v>
      </c>
    </row>
    <row r="47" spans="1:20" x14ac:dyDescent="0.25">
      <c r="B47" t="s">
        <v>317</v>
      </c>
      <c r="C47">
        <v>2</v>
      </c>
      <c r="D47">
        <v>10</v>
      </c>
      <c r="E47">
        <v>2.1000000000000001E-2</v>
      </c>
    </row>
    <row r="48" spans="1:20" x14ac:dyDescent="0.25">
      <c r="B48" t="s">
        <v>317</v>
      </c>
      <c r="C48">
        <v>11</v>
      </c>
      <c r="D48">
        <v>50</v>
      </c>
      <c r="E48">
        <v>4.9000000000000002E-2</v>
      </c>
      <c r="I48" t="s">
        <v>326</v>
      </c>
    </row>
    <row r="49" spans="2:9" x14ac:dyDescent="0.25">
      <c r="B49" t="s">
        <v>317</v>
      </c>
      <c r="C49">
        <v>51</v>
      </c>
      <c r="D49">
        <v>100</v>
      </c>
      <c r="E49">
        <v>7.9000000000000001E-2</v>
      </c>
      <c r="I49" cm="1">
        <f t="array" ref="I49">IFERROR(INDEX($E$47:$E$67, MATCH(1, (I46&gt;=$C$47:$C$67)*(I46&lt;=$D$47:$D$67)*(J46=B47:B67), 0)),0)</f>
        <v>0.01</v>
      </c>
    </row>
    <row r="50" spans="2:9" x14ac:dyDescent="0.25">
      <c r="B50" t="s">
        <v>317</v>
      </c>
      <c r="C50">
        <v>101</v>
      </c>
      <c r="D50">
        <v>500</v>
      </c>
      <c r="E50">
        <v>0.25</v>
      </c>
    </row>
    <row r="51" spans="2:9" x14ac:dyDescent="0.25">
      <c r="B51" t="s">
        <v>319</v>
      </c>
      <c r="C51">
        <v>2</v>
      </c>
      <c r="D51">
        <v>10</v>
      </c>
      <c r="E51">
        <v>8.0000000000000002E-3</v>
      </c>
    </row>
    <row r="52" spans="2:9" x14ac:dyDescent="0.25">
      <c r="B52" t="s">
        <v>319</v>
      </c>
      <c r="C52">
        <v>11</v>
      </c>
      <c r="D52">
        <v>25</v>
      </c>
      <c r="E52">
        <v>1.0999999999999999E-2</v>
      </c>
    </row>
    <row r="53" spans="2:9" x14ac:dyDescent="0.25">
      <c r="B53" t="s">
        <v>319</v>
      </c>
      <c r="C53">
        <v>26</v>
      </c>
      <c r="D53">
        <v>50</v>
      </c>
      <c r="E53">
        <v>1.4E-2</v>
      </c>
    </row>
    <row r="54" spans="2:9" x14ac:dyDescent="0.25">
      <c r="B54" t="s">
        <v>319</v>
      </c>
      <c r="C54">
        <v>51</v>
      </c>
      <c r="D54">
        <v>100</v>
      </c>
      <c r="E54">
        <v>2.7E-2</v>
      </c>
    </row>
    <row r="55" spans="2:9" x14ac:dyDescent="0.25">
      <c r="B55" t="s">
        <v>314</v>
      </c>
      <c r="C55">
        <v>1</v>
      </c>
      <c r="D55">
        <v>5</v>
      </c>
      <c r="E55">
        <v>3.5000000000000001E-3</v>
      </c>
    </row>
    <row r="56" spans="2:9" x14ac:dyDescent="0.25">
      <c r="B56" t="s">
        <v>314</v>
      </c>
      <c r="C56">
        <v>6</v>
      </c>
      <c r="D56">
        <v>10</v>
      </c>
      <c r="E56">
        <v>5.5999999999999999E-3</v>
      </c>
    </row>
    <row r="57" spans="2:9" x14ac:dyDescent="0.25">
      <c r="B57" t="s">
        <v>314</v>
      </c>
      <c r="C57">
        <v>11</v>
      </c>
      <c r="D57">
        <v>25</v>
      </c>
      <c r="E57">
        <v>9.7000000000000003E-3</v>
      </c>
    </row>
    <row r="58" spans="2:9" x14ac:dyDescent="0.25">
      <c r="B58" t="s">
        <v>314</v>
      </c>
      <c r="C58">
        <v>26</v>
      </c>
      <c r="D58">
        <v>50</v>
      </c>
      <c r="E58">
        <v>1.7999999999999999E-2</v>
      </c>
    </row>
    <row r="59" spans="2:9" x14ac:dyDescent="0.25">
      <c r="B59" t="s">
        <v>314</v>
      </c>
      <c r="C59">
        <v>51</v>
      </c>
      <c r="D59">
        <v>100</v>
      </c>
      <c r="E59">
        <v>5.2999999999999999E-2</v>
      </c>
    </row>
    <row r="60" spans="2:9" x14ac:dyDescent="0.25">
      <c r="B60" t="s">
        <v>318</v>
      </c>
      <c r="C60">
        <v>25</v>
      </c>
      <c r="D60">
        <v>25</v>
      </c>
      <c r="E60" s="103">
        <v>0.01</v>
      </c>
    </row>
    <row r="61" spans="2:9" x14ac:dyDescent="0.25">
      <c r="B61" t="s">
        <v>318</v>
      </c>
      <c r="C61">
        <v>50</v>
      </c>
      <c r="D61">
        <v>50</v>
      </c>
      <c r="E61" s="103">
        <v>1.7000000000000001E-2</v>
      </c>
    </row>
    <row r="62" spans="2:9" x14ac:dyDescent="0.25">
      <c r="B62" t="s">
        <v>318</v>
      </c>
      <c r="C62">
        <v>100</v>
      </c>
      <c r="D62">
        <v>100</v>
      </c>
      <c r="E62" s="103">
        <v>2.3E-2</v>
      </c>
    </row>
    <row r="63" spans="2:9" x14ac:dyDescent="0.25">
      <c r="B63" t="s">
        <v>318</v>
      </c>
      <c r="C63">
        <v>250</v>
      </c>
      <c r="D63">
        <v>250</v>
      </c>
      <c r="E63" s="157">
        <v>4.1000000000000002E-2</v>
      </c>
    </row>
    <row r="64" spans="2:9" x14ac:dyDescent="0.25">
      <c r="B64" t="s">
        <v>318</v>
      </c>
      <c r="C64">
        <v>500</v>
      </c>
      <c r="D64">
        <v>500</v>
      </c>
      <c r="E64" s="142">
        <v>7.3999999999999996E-2</v>
      </c>
    </row>
    <row r="65" spans="2:5" x14ac:dyDescent="0.25">
      <c r="B65" t="s">
        <v>247</v>
      </c>
      <c r="C65">
        <v>5</v>
      </c>
      <c r="D65">
        <v>5</v>
      </c>
      <c r="E65">
        <v>2.3999999999999998E-3</v>
      </c>
    </row>
    <row r="66" spans="2:5" x14ac:dyDescent="0.25">
      <c r="B66" t="s">
        <v>247</v>
      </c>
      <c r="C66">
        <v>10</v>
      </c>
      <c r="D66">
        <v>10</v>
      </c>
      <c r="E66">
        <v>2.5000000000000001E-3</v>
      </c>
    </row>
    <row r="67" spans="2:5" x14ac:dyDescent="0.25">
      <c r="B67" t="s">
        <v>247</v>
      </c>
      <c r="C67">
        <v>20</v>
      </c>
      <c r="D67">
        <v>20</v>
      </c>
      <c r="E67">
        <v>3.5000000000000001E-3</v>
      </c>
    </row>
  </sheetData>
  <mergeCells count="3">
    <mergeCell ref="B36:C36"/>
    <mergeCell ref="I36:J36"/>
    <mergeCell ref="M36:N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Isian </vt:lpstr>
      <vt:lpstr>Pengambilan Data </vt:lpstr>
      <vt:lpstr>Peralatan &amp; Koefisien  </vt:lpstr>
      <vt:lpstr>Budget Ketidakpastian </vt:lpstr>
      <vt:lpstr>Sertifikat </vt:lpstr>
      <vt:lpstr>Thermohygro </vt:lpstr>
      <vt:lpstr>Database </vt:lpstr>
      <vt:lpstr>'Pengambilan Data '!Print_Area</vt:lpstr>
      <vt:lpstr>'Sertifikat '!Print_Area</vt:lpstr>
    </vt:vector>
  </TitlesOfParts>
  <Company>LABORATORIUM KALIBRASI BPSMB SURABAYA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amd</dc:creator>
  <dc:description/>
  <cp:lastModifiedBy>Athalla Abhiyoga</cp:lastModifiedBy>
  <cp:revision>5</cp:revision>
  <cp:lastPrinted>2025-12-17T04:29:46Z</cp:lastPrinted>
  <dcterms:created xsi:type="dcterms:W3CDTF">1999-11-04T07:11:19Z</dcterms:created>
  <dcterms:modified xsi:type="dcterms:W3CDTF">2026-01-08T02:19:21Z</dcterms:modified>
  <dc:language>en-ID</dc:language>
</cp:coreProperties>
</file>