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e65d6d73070849b/Desktop/Master Excel Budget Ketidakpastian/Timbangan/"/>
    </mc:Choice>
  </mc:AlternateContent>
  <xr:revisionPtr revIDLastSave="270" documentId="13_ncr:1_{DD49F05D-81A0-4E21-B35C-F3246D5D5C52}" xr6:coauthVersionLast="47" xr6:coauthVersionMax="47" xr10:uidLastSave="{CE4C2F37-A622-4188-A396-6A23162D0D3F}"/>
  <bookViews>
    <workbookView xWindow="-108" yWindow="-108" windowWidth="23256" windowHeight="12456" tabRatio="832" activeTab="4" xr2:uid="{00000000-000D-0000-FFFF-FFFF00000000}"/>
  </bookViews>
  <sheets>
    <sheet name="FORM Baru" sheetId="39" r:id="rId1"/>
    <sheet name="1,2,3,5" sheetId="22" state="hidden" r:id="rId2"/>
    <sheet name="U95" sheetId="18" r:id="rId3"/>
    <sheet name="Koreksi themohygro rotronic 202" sheetId="37" r:id="rId4"/>
    <sheet name="Sertifikat" sheetId="36" r:id="rId5"/>
    <sheet name="Database" sheetId="3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3" i="18" l="1"/>
  <c r="K542" i="18" s="1" a="1"/>
  <c r="K542" i="18" s="1"/>
  <c r="B500" i="18"/>
  <c r="K519" i="18" s="1" a="1"/>
  <c r="K519" i="18" s="1"/>
  <c r="B476" i="18"/>
  <c r="K495" i="18" s="1" a="1"/>
  <c r="K495" i="18" s="1"/>
  <c r="F501" i="18"/>
  <c r="E505" i="18" s="1"/>
  <c r="H505" i="18" s="1"/>
  <c r="J505" i="18" s="1"/>
  <c r="F524" i="18"/>
  <c r="E528" i="18" s="1"/>
  <c r="H528" i="18" s="1"/>
  <c r="J528" i="18" s="1"/>
  <c r="F477" i="18"/>
  <c r="E481" i="18" s="1"/>
  <c r="H481" i="18" s="1"/>
  <c r="J481" i="18" s="1"/>
  <c r="F535" i="18"/>
  <c r="H535" i="18" s="1"/>
  <c r="J535" i="18" s="1"/>
  <c r="G529" i="18"/>
  <c r="F512" i="18"/>
  <c r="H512" i="18" s="1"/>
  <c r="J512" i="18" s="1"/>
  <c r="G506" i="18"/>
  <c r="F488" i="18"/>
  <c r="H488" i="18" s="1"/>
  <c r="J488" i="18" s="1"/>
  <c r="G482" i="18"/>
  <c r="F465" i="18"/>
  <c r="H465" i="18" s="1"/>
  <c r="J465" i="18" s="1"/>
  <c r="G459" i="18"/>
  <c r="B477" i="18" l="1"/>
  <c r="L535" i="18"/>
  <c r="K535" i="18"/>
  <c r="K528" i="18"/>
  <c r="L528" i="18"/>
  <c r="B524" i="18"/>
  <c r="K505" i="18"/>
  <c r="L505" i="18"/>
  <c r="L512" i="18"/>
  <c r="K512" i="18"/>
  <c r="B501" i="18"/>
  <c r="K481" i="18"/>
  <c r="L481" i="18"/>
  <c r="K488" i="18"/>
  <c r="L488" i="18"/>
  <c r="L465" i="18"/>
  <c r="K465" i="18"/>
  <c r="B104" i="18"/>
  <c r="B100" i="18"/>
  <c r="X190" i="18" s="1"/>
  <c r="K127" i="18"/>
  <c r="K123" i="18"/>
  <c r="K119" i="18"/>
  <c r="K115" i="18"/>
  <c r="E120" i="18"/>
  <c r="E116" i="18"/>
  <c r="K31" i="18"/>
  <c r="G27" i="36" l="1"/>
  <c r="D70" i="36" s="1"/>
  <c r="AH184" i="18"/>
  <c r="AH185" i="18"/>
  <c r="AH186" i="18"/>
  <c r="AH187" i="18"/>
  <c r="AH183" i="18"/>
  <c r="E6" i="18" l="1"/>
  <c r="G7" i="18" s="1"/>
  <c r="AI184" i="18" l="1"/>
  <c r="G28" i="36"/>
  <c r="D71" i="36" s="1"/>
  <c r="D140" i="36"/>
  <c r="B140" i="36"/>
  <c r="H130" i="36"/>
  <c r="E130" i="36"/>
  <c r="C130" i="36"/>
  <c r="D96" i="36"/>
  <c r="F96" i="36" s="1"/>
  <c r="C96" i="36"/>
  <c r="E89" i="36"/>
  <c r="C89" i="36"/>
  <c r="B89" i="36"/>
  <c r="B125" i="36"/>
  <c r="AI183" i="18" l="1"/>
  <c r="C131" i="36" s="1"/>
  <c r="AI187" i="18"/>
  <c r="C135" i="36" s="1"/>
  <c r="AI186" i="18"/>
  <c r="C134" i="36" s="1"/>
  <c r="AI185" i="18"/>
  <c r="C133" i="36" s="1"/>
  <c r="C132" i="36"/>
  <c r="AG28" i="39"/>
  <c r="B128" i="18"/>
  <c r="B124" i="18"/>
  <c r="B120" i="18"/>
  <c r="B116" i="18"/>
  <c r="B112" i="18"/>
  <c r="B108" i="18"/>
  <c r="B96" i="18"/>
  <c r="B92" i="18"/>
  <c r="B88" i="18"/>
  <c r="AH26" i="38" s="1" a="1"/>
  <c r="AH26" i="38" s="1"/>
  <c r="B84" i="18"/>
  <c r="AB25" i="38" s="1" a="1"/>
  <c r="AB25" i="38" s="1"/>
  <c r="B80" i="18"/>
  <c r="AD24" i="38" s="1" a="1"/>
  <c r="AD24" i="38" s="1"/>
  <c r="B76" i="18"/>
  <c r="B72" i="18"/>
  <c r="B68" i="18"/>
  <c r="AG24" i="39"/>
  <c r="AG27" i="39"/>
  <c r="AG26" i="39"/>
  <c r="AG25" i="39"/>
  <c r="H42" i="36" s="1"/>
  <c r="AH32" i="38" l="1" a="1"/>
  <c r="AH32" i="38" s="1"/>
  <c r="AD32" i="38" a="1"/>
  <c r="AD32" i="38" s="1"/>
  <c r="Z32" i="38" a="1"/>
  <c r="Z32" i="38" s="1"/>
  <c r="AB32" i="38" a="1"/>
  <c r="AB32" i="38" s="1"/>
  <c r="AG32" i="38" a="1"/>
  <c r="AG32" i="38" s="1"/>
  <c r="AC32" i="38" a="1"/>
  <c r="AC32" i="38" s="1"/>
  <c r="AF32" i="38" a="1"/>
  <c r="AF32" i="38" s="1"/>
  <c r="AI32" i="38" a="1"/>
  <c r="AI32" i="38" s="1"/>
  <c r="AE32" i="38" a="1"/>
  <c r="AE32" i="38" s="1"/>
  <c r="AA32" i="38" a="1"/>
  <c r="AA32" i="38" s="1"/>
  <c r="AH33" i="38" a="1"/>
  <c r="AH33" i="38" s="1"/>
  <c r="AD33" i="38" a="1"/>
  <c r="AD33" i="38" s="1"/>
  <c r="AF33" i="38" a="1"/>
  <c r="AF33" i="38" s="1"/>
  <c r="Z33" i="38" a="1"/>
  <c r="Z33" i="38" s="1"/>
  <c r="AG33" i="38" a="1"/>
  <c r="AG33" i="38" s="1"/>
  <c r="AC33" i="38" a="1"/>
  <c r="AC33" i="38" s="1"/>
  <c r="AA33" i="38" a="1"/>
  <c r="AA33" i="38" s="1"/>
  <c r="AB33" i="38" a="1"/>
  <c r="AB33" i="38" s="1"/>
  <c r="AI33" i="38" a="1"/>
  <c r="AI33" i="38" s="1"/>
  <c r="AE33" i="38" a="1"/>
  <c r="AE33" i="38" s="1"/>
  <c r="X195" i="18"/>
  <c r="Y195" i="18" s="1"/>
  <c r="AH34" i="38" a="1"/>
  <c r="AH34" i="38" s="1"/>
  <c r="AD34" i="38" a="1"/>
  <c r="AD34" i="38" s="1"/>
  <c r="Z34" i="38" a="1"/>
  <c r="Z34" i="38" s="1"/>
  <c r="AF34" i="38" a="1"/>
  <c r="AF34" i="38" s="1"/>
  <c r="AG34" i="38" a="1"/>
  <c r="AG34" i="38" s="1"/>
  <c r="AC34" i="38" a="1"/>
  <c r="AC34" i="38" s="1"/>
  <c r="AB34" i="38" a="1"/>
  <c r="AB34" i="38" s="1"/>
  <c r="AI34" i="38" a="1"/>
  <c r="AI34" i="38" s="1"/>
  <c r="AE34" i="38" a="1"/>
  <c r="AE34" i="38" s="1"/>
  <c r="AA34" i="38" a="1"/>
  <c r="AA34" i="38" s="1"/>
  <c r="X197" i="18"/>
  <c r="Y197" i="18" s="1"/>
  <c r="AH36" i="38" a="1"/>
  <c r="AH36" i="38" s="1"/>
  <c r="AE36" i="38" a="1"/>
  <c r="AE36" i="38" s="1"/>
  <c r="AA36" i="38" a="1"/>
  <c r="AA36" i="38" s="1"/>
  <c r="AC36" i="38" a="1"/>
  <c r="AC36" i="38" s="1"/>
  <c r="AF36" i="38" a="1"/>
  <c r="AF36" i="38" s="1"/>
  <c r="AD36" i="38" a="1"/>
  <c r="AD36" i="38" s="1"/>
  <c r="Z36" i="38" a="1"/>
  <c r="Z36" i="38" s="1"/>
  <c r="AG36" i="38" a="1"/>
  <c r="AG36" i="38" s="1"/>
  <c r="AI36" i="38" a="1"/>
  <c r="AI36" i="38" s="1"/>
  <c r="AB36" i="38" a="1"/>
  <c r="AB36" i="38" s="1"/>
  <c r="X196" i="18"/>
  <c r="Y196" i="18" s="1"/>
  <c r="AA35" i="38" a="1"/>
  <c r="AA35" i="38" s="1"/>
  <c r="AE35" i="38" a="1"/>
  <c r="AE35" i="38" s="1"/>
  <c r="AF35" i="38" a="1"/>
  <c r="AF35" i="38" s="1"/>
  <c r="AI35" i="38" a="1"/>
  <c r="AI35" i="38" s="1"/>
  <c r="AG35" i="38" a="1"/>
  <c r="AG35" i="38" s="1"/>
  <c r="AB35" i="38" a="1"/>
  <c r="AB35" i="38" s="1"/>
  <c r="AH35" i="38" a="1"/>
  <c r="AH35" i="38" s="1"/>
  <c r="AC35" i="38" a="1"/>
  <c r="AC35" i="38" s="1"/>
  <c r="Z35" i="38" a="1"/>
  <c r="Z35" i="38" s="1"/>
  <c r="AD35" i="38" a="1"/>
  <c r="AD35" i="38" s="1"/>
  <c r="K107" i="18"/>
  <c r="X192" i="18"/>
  <c r="Y192" i="18" s="1"/>
  <c r="C107" i="36" s="1"/>
  <c r="B432" i="18"/>
  <c r="K451" i="18" s="1" a="1"/>
  <c r="K451" i="18" s="1"/>
  <c r="X193" i="18"/>
  <c r="Y193" i="18" s="1"/>
  <c r="C108" i="36" s="1"/>
  <c r="B453" i="18"/>
  <c r="K472" i="18" s="1"/>
  <c r="X194" i="18"/>
  <c r="Y194" i="18" s="1"/>
  <c r="K111" i="18"/>
  <c r="X191" i="18"/>
  <c r="Y191" i="18" s="1"/>
  <c r="C106" i="36" s="1"/>
  <c r="K103" i="18"/>
  <c r="AG23" i="38" a="1"/>
  <c r="AG23" i="38" s="1"/>
  <c r="X184" i="18"/>
  <c r="Y184" i="18" s="1"/>
  <c r="C99" i="36" s="1"/>
  <c r="K75" i="18"/>
  <c r="AC27" i="38" a="1"/>
  <c r="AC27" i="38" s="1"/>
  <c r="X188" i="18"/>
  <c r="Y188" i="18" s="1"/>
  <c r="C103" i="36" s="1"/>
  <c r="K91" i="18"/>
  <c r="K67" i="18"/>
  <c r="X182" i="18"/>
  <c r="Y182" i="18" s="1"/>
  <c r="C97" i="36" s="1"/>
  <c r="AG25" i="38" a="1"/>
  <c r="AG25" i="38" s="1"/>
  <c r="K83" i="18"/>
  <c r="X186" i="18"/>
  <c r="Y186" i="18" s="1"/>
  <c r="C101" i="36" s="1"/>
  <c r="K99" i="18"/>
  <c r="Y190" i="18"/>
  <c r="C105" i="36" s="1"/>
  <c r="X183" i="18"/>
  <c r="Y183" i="18" s="1"/>
  <c r="C98" i="36" s="1"/>
  <c r="K71" i="18"/>
  <c r="X187" i="18"/>
  <c r="Y187" i="18" s="1"/>
  <c r="C102" i="36" s="1"/>
  <c r="K87" i="18"/>
  <c r="AB24" i="38" a="1"/>
  <c r="AB24" i="38" s="1"/>
  <c r="K79" i="18"/>
  <c r="X185" i="18"/>
  <c r="Y185" i="18" s="1"/>
  <c r="C100" i="36" s="1"/>
  <c r="K95" i="18"/>
  <c r="X189" i="18"/>
  <c r="Y189" i="18" s="1"/>
  <c r="C104" i="36" s="1"/>
  <c r="AG27" i="38" a="1"/>
  <c r="AG27" i="38" s="1"/>
  <c r="AF27" i="38" a="1"/>
  <c r="AF27" i="38" s="1"/>
  <c r="AC24" i="38" a="1"/>
  <c r="AC24" i="38" s="1"/>
  <c r="AA24" i="38" a="1"/>
  <c r="AA24" i="38" s="1"/>
  <c r="AH25" i="38" a="1"/>
  <c r="AH25" i="38" s="1"/>
  <c r="AE27" i="38" a="1"/>
  <c r="AE27" i="38" s="1"/>
  <c r="AI23" i="38" a="1"/>
  <c r="AI23" i="38" s="1"/>
  <c r="AF31" i="38" a="1"/>
  <c r="AF31" i="38" s="1"/>
  <c r="B410" i="18"/>
  <c r="K429" i="18" s="1" a="1"/>
  <c r="K429" i="18" s="1"/>
  <c r="B177" i="18"/>
  <c r="K197" i="18" s="1" a="1"/>
  <c r="K197" i="18" s="1"/>
  <c r="AH23" i="38" a="1"/>
  <c r="AH23" i="38" s="1"/>
  <c r="Z24" i="38" a="1"/>
  <c r="Z24" i="38" s="1"/>
  <c r="B245" i="18"/>
  <c r="K264" i="18" s="1" a="1"/>
  <c r="K264" i="18" s="1"/>
  <c r="AI25" i="38" a="1"/>
  <c r="AI25" i="38" s="1"/>
  <c r="B268" i="18"/>
  <c r="K287" i="18" s="1" a="1"/>
  <c r="K287" i="18" s="1"/>
  <c r="AE26" i="38" a="1"/>
  <c r="AE26" i="38" s="1"/>
  <c r="B291" i="18"/>
  <c r="K310" i="18" s="1" a="1"/>
  <c r="K310" i="18" s="1"/>
  <c r="AI27" i="38" a="1"/>
  <c r="AI27" i="38" s="1"/>
  <c r="B314" i="18"/>
  <c r="K334" i="18" s="1" a="1"/>
  <c r="K334" i="18" s="1"/>
  <c r="AI29" i="38" a="1"/>
  <c r="AI29" i="38" s="1"/>
  <c r="B361" i="18"/>
  <c r="K382" i="18" s="1" a="1"/>
  <c r="K382" i="18" s="1"/>
  <c r="AB27" i="38" a="1"/>
  <c r="AB27" i="38" s="1"/>
  <c r="AB22" i="38" a="1"/>
  <c r="AB22" i="38" s="1"/>
  <c r="B201" i="18"/>
  <c r="K220" i="18" s="1" a="1"/>
  <c r="K220" i="18" s="1"/>
  <c r="Z23" i="38" a="1"/>
  <c r="Z23" i="38" s="1"/>
  <c r="B223" i="18"/>
  <c r="K242" i="18" s="1" a="1"/>
  <c r="K242" i="18" s="1"/>
  <c r="AF23" i="38" a="1"/>
  <c r="AF23" i="38" s="1"/>
  <c r="AC23" i="38" a="1"/>
  <c r="AC23" i="38" s="1"/>
  <c r="AB23" i="38" a="1"/>
  <c r="AB23" i="38" s="1"/>
  <c r="AE28" i="38" a="1"/>
  <c r="AE28" i="38" s="1"/>
  <c r="B337" i="18"/>
  <c r="K357" i="18" s="1" a="1"/>
  <c r="K357" i="18" s="1"/>
  <c r="AD30" i="38" a="1"/>
  <c r="AD30" i="38" s="1"/>
  <c r="B385" i="18"/>
  <c r="K407" i="18" s="1" a="1"/>
  <c r="K407" i="18" s="1"/>
  <c r="AA27" i="38" a="1"/>
  <c r="AA27" i="38" s="1"/>
  <c r="AE23" i="38" a="1"/>
  <c r="AE23" i="38" s="1"/>
  <c r="AA25" i="38" a="1"/>
  <c r="AA25" i="38" s="1"/>
  <c r="AI26" i="38" a="1"/>
  <c r="AI26" i="38" s="1"/>
  <c r="AD23" i="38" a="1"/>
  <c r="AD23" i="38" s="1"/>
  <c r="Z25" i="38" a="1"/>
  <c r="Z25" i="38" s="1"/>
  <c r="AD31" i="38" a="1"/>
  <c r="AD31" i="38" s="1"/>
  <c r="AH31" i="38" a="1"/>
  <c r="AH31" i="38" s="1"/>
  <c r="AF25" i="38" a="1"/>
  <c r="AF25" i="38" s="1"/>
  <c r="Z26" i="38" a="1"/>
  <c r="Z26" i="38" s="1"/>
  <c r="C88" i="18" s="1" a="1"/>
  <c r="C88" i="18" s="1"/>
  <c r="AD28" i="38" a="1"/>
  <c r="AD28" i="38" s="1"/>
  <c r="AI28" i="38" a="1"/>
  <c r="AI28" i="38" s="1"/>
  <c r="Z27" i="38" a="1"/>
  <c r="Z27" i="38" s="1"/>
  <c r="AC28" i="38" a="1"/>
  <c r="AC28" i="38" s="1"/>
  <c r="AH28" i="38" a="1"/>
  <c r="AH28" i="38" s="1"/>
  <c r="AE25" i="38" a="1"/>
  <c r="AE25" i="38" s="1"/>
  <c r="Z28" i="38" a="1"/>
  <c r="Z28" i="38" s="1"/>
  <c r="AB28" i="38" a="1"/>
  <c r="AB28" i="38" s="1"/>
  <c r="AG28" i="38" a="1"/>
  <c r="AG28" i="38" s="1"/>
  <c r="AI24" i="38" a="1"/>
  <c r="AI24" i="38" s="1"/>
  <c r="AI22" i="38" a="1"/>
  <c r="AI22" i="38" s="1"/>
  <c r="AA28" i="38" a="1"/>
  <c r="AA28" i="38" s="1"/>
  <c r="AH24" i="38" a="1"/>
  <c r="AH24" i="38" s="1"/>
  <c r="AA22" i="38" a="1"/>
  <c r="AA22" i="38" s="1"/>
  <c r="AD27" i="38" a="1"/>
  <c r="AD27" i="38" s="1"/>
  <c r="AH27" i="38" a="1"/>
  <c r="AH27" i="38" s="1"/>
  <c r="AB31" i="38" a="1"/>
  <c r="AB31" i="38" s="1"/>
  <c r="AE31" i="38" a="1"/>
  <c r="AE31" i="38" s="1"/>
  <c r="AA29" i="38" a="1"/>
  <c r="AA29" i="38" s="1"/>
  <c r="AG22" i="38" a="1"/>
  <c r="AG22" i="38" s="1"/>
  <c r="AA23" i="38" a="1"/>
  <c r="AA23" i="38" s="1"/>
  <c r="AC30" i="38" a="1"/>
  <c r="AC30" i="38" s="1"/>
  <c r="AD26" i="38" a="1"/>
  <c r="AD26" i="38" s="1"/>
  <c r="AG26" i="38" a="1"/>
  <c r="AG26" i="38" s="1"/>
  <c r="AC31" i="38" a="1"/>
  <c r="AC31" i="38" s="1"/>
  <c r="AF22" i="38" a="1"/>
  <c r="AF22" i="38" s="1"/>
  <c r="AB30" i="38" a="1"/>
  <c r="AB30" i="38" s="1"/>
  <c r="AC26" i="38" a="1"/>
  <c r="AC26" i="38" s="1"/>
  <c r="AF30" i="38" a="1"/>
  <c r="AF30" i="38" s="1"/>
  <c r="AF28" i="38" a="1"/>
  <c r="AF28" i="38" s="1"/>
  <c r="AG24" i="38" a="1"/>
  <c r="AG24" i="38" s="1"/>
  <c r="AG29" i="38" a="1"/>
  <c r="AG29" i="38" s="1"/>
  <c r="Z21" i="38" a="1"/>
  <c r="Z21" i="38" s="1"/>
  <c r="AE22" i="38" a="1"/>
  <c r="AE22" i="38" s="1"/>
  <c r="AA30" i="38" a="1"/>
  <c r="AA30" i="38" s="1"/>
  <c r="AB26" i="38" a="1"/>
  <c r="AB26" i="38" s="1"/>
  <c r="AF26" i="38" a="1"/>
  <c r="AF26" i="38" s="1"/>
  <c r="AF24" i="38" a="1"/>
  <c r="AF24" i="38" s="1"/>
  <c r="AH29" i="38" a="1"/>
  <c r="AH29" i="38" s="1"/>
  <c r="AH30" i="38" a="1"/>
  <c r="AH30" i="38" s="1"/>
  <c r="Z22" i="38" a="1"/>
  <c r="Z22" i="38" s="1"/>
  <c r="AD22" i="38" a="1"/>
  <c r="AD22" i="38" s="1"/>
  <c r="AD29" i="38" a="1"/>
  <c r="AD29" i="38" s="1"/>
  <c r="AA26" i="38" a="1"/>
  <c r="AA26" i="38" s="1"/>
  <c r="AE30" i="38" a="1"/>
  <c r="AE30" i="38" s="1"/>
  <c r="AE24" i="38" a="1"/>
  <c r="AE24" i="38" s="1"/>
  <c r="AG31" i="38" a="1"/>
  <c r="AG31" i="38" s="1"/>
  <c r="AF29" i="38" a="1"/>
  <c r="AF29" i="38" s="1"/>
  <c r="Z31" i="38" a="1"/>
  <c r="Z31" i="38" s="1"/>
  <c r="AA31" i="38" a="1"/>
  <c r="AA31" i="38" s="1"/>
  <c r="AH22" i="38" a="1"/>
  <c r="AH22" i="38" s="1"/>
  <c r="AG30" i="38" a="1"/>
  <c r="AG30" i="38" s="1"/>
  <c r="AC22" i="38" a="1"/>
  <c r="AC22" i="38" s="1"/>
  <c r="AC29" i="38" a="1"/>
  <c r="AC29" i="38" s="1"/>
  <c r="AD25" i="38" a="1"/>
  <c r="AD25" i="38" s="1"/>
  <c r="AI31" i="38" a="1"/>
  <c r="AI31" i="38" s="1"/>
  <c r="Z29" i="38" a="1"/>
  <c r="Z29" i="38" s="1"/>
  <c r="AE29" i="38" a="1"/>
  <c r="AE29" i="38" s="1"/>
  <c r="Z30" i="38" a="1"/>
  <c r="Z30" i="38" s="1"/>
  <c r="AI30" i="38" a="1"/>
  <c r="AI30" i="38" s="1"/>
  <c r="AB29" i="38" a="1"/>
  <c r="AB29" i="38" s="1"/>
  <c r="AC25" i="38" a="1"/>
  <c r="AC25" i="38" s="1"/>
  <c r="AD21" i="38" a="1"/>
  <c r="AD21" i="38" s="1"/>
  <c r="AF21" i="38" a="1"/>
  <c r="AF21" i="38" s="1"/>
  <c r="AC21" i="38" a="1"/>
  <c r="AC21" i="38" s="1"/>
  <c r="AH21" i="38" a="1"/>
  <c r="AH21" i="38" s="1"/>
  <c r="AE21" i="38" a="1"/>
  <c r="AE21" i="38" s="1"/>
  <c r="AB21" i="38" a="1"/>
  <c r="AB21" i="38" s="1"/>
  <c r="AI21" i="38" a="1"/>
  <c r="AI21" i="38" s="1"/>
  <c r="AG21" i="38" a="1"/>
  <c r="AG21" i="38" s="1"/>
  <c r="AA21" i="38" a="1"/>
  <c r="AA21" i="38" s="1"/>
  <c r="C80" i="18" l="1" a="1"/>
  <c r="C80" i="18" s="1"/>
  <c r="C128" i="18" a="1"/>
  <c r="C128" i="18" s="1"/>
  <c r="C124" i="18" a="1"/>
  <c r="C124" i="18" s="1"/>
  <c r="C120" i="18" a="1"/>
  <c r="C120" i="18" s="1"/>
  <c r="C116" i="18" a="1"/>
  <c r="C116" i="18" s="1"/>
  <c r="C108" i="18" a="1"/>
  <c r="C108" i="18" s="1"/>
  <c r="C96" i="18" a="1"/>
  <c r="C96" i="18" s="1"/>
  <c r="C68" i="18" a="1"/>
  <c r="C68" i="18" s="1"/>
  <c r="C104" i="18" a="1"/>
  <c r="C104" i="18" s="1"/>
  <c r="C100" i="18" a="1"/>
  <c r="C100" i="18" s="1"/>
  <c r="C112" i="18" a="1"/>
  <c r="C112" i="18" s="1"/>
  <c r="C76" i="18" a="1"/>
  <c r="C76" i="18" s="1"/>
  <c r="C84" i="18" a="1"/>
  <c r="C84" i="18" s="1"/>
  <c r="C72" i="18" a="1"/>
  <c r="C72" i="18" s="1"/>
  <c r="C92" i="18" a="1"/>
  <c r="C92" i="18" s="1"/>
  <c r="F433" i="18" a="1"/>
  <c r="F433" i="18" s="1"/>
  <c r="F411" i="18" a="1"/>
  <c r="F411" i="18" s="1"/>
  <c r="F454" i="18" a="1"/>
  <c r="F454" i="18" s="1"/>
  <c r="E458" i="18" s="1"/>
  <c r="H458" i="18" s="1"/>
  <c r="J458" i="18" s="1"/>
  <c r="B454" i="18"/>
  <c r="B178" i="18"/>
  <c r="AX29" i="38" a="1"/>
  <c r="AX29" i="38" s="1"/>
  <c r="AX25" i="38" a="1"/>
  <c r="AX25" i="38" s="1"/>
  <c r="O463" i="18" s="1"/>
  <c r="P463" i="18" s="1"/>
  <c r="E464" i="18" s="1"/>
  <c r="H464" i="18" s="1"/>
  <c r="J464" i="18" s="1"/>
  <c r="AX30" i="38" a="1"/>
  <c r="AX30" i="38" s="1"/>
  <c r="AX22" i="38" a="1"/>
  <c r="AX22" i="38" s="1"/>
  <c r="O460" i="18" s="1"/>
  <c r="P460" i="18" s="1"/>
  <c r="E461" i="18" s="1"/>
  <c r="H461" i="18" s="1"/>
  <c r="J461" i="18" s="1"/>
  <c r="AX28" i="38" a="1"/>
  <c r="AX28" i="38" s="1"/>
  <c r="AX24" i="38" a="1"/>
  <c r="AX24" i="38" s="1"/>
  <c r="O462" i="18" s="1"/>
  <c r="P462" i="18" s="1"/>
  <c r="E463" i="18" s="1"/>
  <c r="H463" i="18" s="1"/>
  <c r="J463" i="18" s="1"/>
  <c r="AX21" i="38" a="1"/>
  <c r="AX21" i="38" s="1"/>
  <c r="O459" i="18" s="1"/>
  <c r="P459" i="18" s="1"/>
  <c r="E460" i="18" s="1"/>
  <c r="AX27" i="38" a="1"/>
  <c r="AX27" i="38" s="1"/>
  <c r="AX23" i="38" a="1"/>
  <c r="AX23" i="38" s="1"/>
  <c r="O461" i="18" s="1"/>
  <c r="P461" i="18" s="1"/>
  <c r="E462" i="18" s="1"/>
  <c r="H462" i="18" s="1"/>
  <c r="J462" i="18" s="1"/>
  <c r="AX26" i="38" a="1"/>
  <c r="AX26" i="38" s="1"/>
  <c r="AZ26" i="38" a="1"/>
  <c r="AZ26" i="38" s="1"/>
  <c r="AZ29" i="38" a="1"/>
  <c r="AZ29" i="38" s="1"/>
  <c r="AZ28" i="38" a="1"/>
  <c r="AZ28" i="38" s="1"/>
  <c r="AZ24" i="38" a="1"/>
  <c r="AZ24" i="38" s="1"/>
  <c r="O509" i="18" s="1"/>
  <c r="P509" i="18" s="1"/>
  <c r="E510" i="18" s="1"/>
  <c r="H510" i="18" s="1"/>
  <c r="J510" i="18" s="1"/>
  <c r="AZ27" i="38" a="1"/>
  <c r="AZ27" i="38" s="1"/>
  <c r="AZ22" i="38" a="1"/>
  <c r="AZ22" i="38" s="1"/>
  <c r="O507" i="18" s="1"/>
  <c r="P507" i="18" s="1"/>
  <c r="E508" i="18" s="1"/>
  <c r="H508" i="18" s="1"/>
  <c r="J508" i="18" s="1"/>
  <c r="AZ25" i="38" a="1"/>
  <c r="AZ25" i="38" s="1"/>
  <c r="O510" i="18" s="1"/>
  <c r="P510" i="18" s="1"/>
  <c r="E511" i="18" s="1"/>
  <c r="H511" i="18" s="1"/>
  <c r="J511" i="18" s="1"/>
  <c r="AZ30" i="38" a="1"/>
  <c r="AZ30" i="38" s="1"/>
  <c r="AZ23" i="38" a="1"/>
  <c r="AZ23" i="38" s="1"/>
  <c r="O508" i="18" s="1"/>
  <c r="P508" i="18" s="1"/>
  <c r="E509" i="18" s="1"/>
  <c r="H509" i="18" s="1"/>
  <c r="J509" i="18" s="1"/>
  <c r="AZ21" i="38" a="1"/>
  <c r="AZ21" i="38" s="1"/>
  <c r="O506" i="18" s="1"/>
  <c r="P506" i="18" s="1"/>
  <c r="E507" i="18" s="1"/>
  <c r="BA22" i="38" a="1"/>
  <c r="BA22" i="38" s="1"/>
  <c r="O530" i="18" s="1"/>
  <c r="P530" i="18" s="1"/>
  <c r="E531" i="18" s="1"/>
  <c r="H531" i="18" s="1"/>
  <c r="J531" i="18" s="1"/>
  <c r="BA25" i="38" a="1"/>
  <c r="BA25" i="38" s="1"/>
  <c r="O533" i="18" s="1"/>
  <c r="P533" i="18" s="1"/>
  <c r="E534" i="18" s="1"/>
  <c r="H534" i="18" s="1"/>
  <c r="J534" i="18" s="1"/>
  <c r="BA30" i="38" a="1"/>
  <c r="BA30" i="38" s="1"/>
  <c r="BA24" i="38" a="1"/>
  <c r="BA24" i="38" s="1"/>
  <c r="O532" i="18" s="1"/>
  <c r="P532" i="18" s="1"/>
  <c r="E533" i="18" s="1"/>
  <c r="H533" i="18" s="1"/>
  <c r="J533" i="18" s="1"/>
  <c r="BA23" i="38" a="1"/>
  <c r="BA23" i="38" s="1"/>
  <c r="O531" i="18" s="1"/>
  <c r="P531" i="18" s="1"/>
  <c r="E532" i="18" s="1"/>
  <c r="H532" i="18" s="1"/>
  <c r="J532" i="18" s="1"/>
  <c r="BA28" i="38" a="1"/>
  <c r="BA28" i="38" s="1"/>
  <c r="BA21" i="38" a="1"/>
  <c r="BA21" i="38" s="1"/>
  <c r="O529" i="18" s="1"/>
  <c r="P529" i="18" s="1"/>
  <c r="E530" i="18" s="1"/>
  <c r="H530" i="18" s="1"/>
  <c r="J530" i="18" s="1"/>
  <c r="BA26" i="38" a="1"/>
  <c r="BA26" i="38" s="1"/>
  <c r="BA29" i="38" a="1"/>
  <c r="BA29" i="38" s="1"/>
  <c r="BA27" i="38" a="1"/>
  <c r="BA27" i="38" s="1"/>
  <c r="AY22" i="38" a="1"/>
  <c r="AY22" i="38" s="1"/>
  <c r="O483" i="18" s="1"/>
  <c r="P483" i="18" s="1"/>
  <c r="E484" i="18" s="1"/>
  <c r="AY25" i="38" a="1"/>
  <c r="AY25" i="38" s="1"/>
  <c r="O486" i="18" s="1"/>
  <c r="P486" i="18" s="1"/>
  <c r="E487" i="18" s="1"/>
  <c r="H487" i="18" s="1"/>
  <c r="J487" i="18" s="1"/>
  <c r="AY30" i="38" a="1"/>
  <c r="AY30" i="38" s="1"/>
  <c r="AY24" i="38" a="1"/>
  <c r="AY24" i="38" s="1"/>
  <c r="O485" i="18" s="1"/>
  <c r="P485" i="18" s="1"/>
  <c r="E486" i="18" s="1"/>
  <c r="H486" i="18" s="1"/>
  <c r="J486" i="18" s="1"/>
  <c r="AY23" i="38" a="1"/>
  <c r="AY23" i="38" s="1"/>
  <c r="O484" i="18" s="1"/>
  <c r="P484" i="18" s="1"/>
  <c r="E485" i="18" s="1"/>
  <c r="H485" i="18" s="1"/>
  <c r="J485" i="18" s="1"/>
  <c r="AY28" i="38" a="1"/>
  <c r="AY28" i="38" s="1"/>
  <c r="AY21" i="38" a="1"/>
  <c r="AY21" i="38" s="1"/>
  <c r="O482" i="18" s="1"/>
  <c r="P482" i="18" s="1"/>
  <c r="E483" i="18" s="1"/>
  <c r="H483" i="18" s="1"/>
  <c r="J483" i="18" s="1"/>
  <c r="AY26" i="38" a="1"/>
  <c r="AY26" i="38" s="1"/>
  <c r="AY29" i="38" a="1"/>
  <c r="AY29" i="38" s="1"/>
  <c r="AY27" i="38" a="1"/>
  <c r="AY27" i="38" s="1"/>
  <c r="AW21" i="38" a="1"/>
  <c r="B433" i="18"/>
  <c r="F315" i="18" a="1"/>
  <c r="F315" i="18" s="1"/>
  <c r="F362" i="18" a="1"/>
  <c r="F362" i="18" s="1"/>
  <c r="F292" i="18" a="1"/>
  <c r="F292" i="18" s="1"/>
  <c r="F246" i="18" a="1"/>
  <c r="F246" i="18" s="1"/>
  <c r="F202" i="18" a="1"/>
  <c r="F202" i="18" s="1"/>
  <c r="F224" i="18" a="1"/>
  <c r="F224" i="18" s="1"/>
  <c r="F269" i="18" a="1"/>
  <c r="F269" i="18" s="1"/>
  <c r="F338" i="18" a="1"/>
  <c r="F338" i="18" s="1"/>
  <c r="F386" i="18" a="1"/>
  <c r="F386" i="18" s="1"/>
  <c r="F178" i="18" a="1"/>
  <c r="F178" i="18" s="1"/>
  <c r="AV21" i="38" a="1"/>
  <c r="L458" i="18" l="1"/>
  <c r="K458" i="18"/>
  <c r="K483" i="18"/>
  <c r="L483" i="18"/>
  <c r="K487" i="18"/>
  <c r="L487" i="18"/>
  <c r="H507" i="18"/>
  <c r="J507" i="18" s="1"/>
  <c r="E529" i="18"/>
  <c r="H529" i="18" s="1"/>
  <c r="J529" i="18" s="1"/>
  <c r="K461" i="18"/>
  <c r="L461" i="18"/>
  <c r="K485" i="18"/>
  <c r="L485" i="18"/>
  <c r="H484" i="18"/>
  <c r="J484" i="18" s="1"/>
  <c r="E506" i="18"/>
  <c r="H506" i="18" s="1"/>
  <c r="J506" i="18" s="1"/>
  <c r="L530" i="18"/>
  <c r="K530" i="18"/>
  <c r="L509" i="18"/>
  <c r="K509" i="18"/>
  <c r="E482" i="18"/>
  <c r="H482" i="18" s="1"/>
  <c r="J482" i="18" s="1"/>
  <c r="H460" i="18"/>
  <c r="J460" i="18" s="1"/>
  <c r="K533" i="18"/>
  <c r="L533" i="18"/>
  <c r="K508" i="18"/>
  <c r="L508" i="18"/>
  <c r="L486" i="18"/>
  <c r="K486" i="18"/>
  <c r="K534" i="18"/>
  <c r="L534" i="18"/>
  <c r="L510" i="18"/>
  <c r="K510" i="18"/>
  <c r="L463" i="18"/>
  <c r="K463" i="18"/>
  <c r="L464" i="18"/>
  <c r="K464" i="18"/>
  <c r="K532" i="18"/>
  <c r="L532" i="18"/>
  <c r="L531" i="18"/>
  <c r="K531" i="18"/>
  <c r="L511" i="18"/>
  <c r="K511" i="18"/>
  <c r="L462" i="18"/>
  <c r="K462" i="18"/>
  <c r="AW21" i="38"/>
  <c r="O438" i="18" s="1"/>
  <c r="P438" i="18" s="1"/>
  <c r="AW24" i="38"/>
  <c r="AW22" i="38"/>
  <c r="AW25" i="38"/>
  <c r="AW23" i="38"/>
  <c r="AW28" i="38"/>
  <c r="AW30" i="38"/>
  <c r="AW27" i="38"/>
  <c r="AW26" i="38"/>
  <c r="AW29" i="38"/>
  <c r="AV21" i="38"/>
  <c r="O417" i="18" s="1"/>
  <c r="P417" i="18" s="1"/>
  <c r="AG23" i="39"/>
  <c r="B145" i="36" s="1"/>
  <c r="AG22" i="39"/>
  <c r="A9" i="36" s="1"/>
  <c r="AG21" i="39"/>
  <c r="D74" i="36" s="1"/>
  <c r="AG20" i="39"/>
  <c r="D73" i="36" s="1"/>
  <c r="AG19" i="39"/>
  <c r="C6" i="18" s="1"/>
  <c r="E23" i="36" s="1"/>
  <c r="D68" i="36" s="1"/>
  <c r="AG18" i="39"/>
  <c r="AG17" i="39"/>
  <c r="AG16" i="39"/>
  <c r="E25" i="36" s="1"/>
  <c r="AG15" i="39"/>
  <c r="E21" i="36" s="1"/>
  <c r="AG14" i="39"/>
  <c r="E19" i="36" s="1"/>
  <c r="AG13" i="39"/>
  <c r="AG12" i="39"/>
  <c r="D75" i="36" s="1"/>
  <c r="AG11" i="39"/>
  <c r="E36" i="36" s="1"/>
  <c r="AG10" i="39"/>
  <c r="E33" i="36" s="1"/>
  <c r="AG9" i="39"/>
  <c r="G62" i="36" s="1"/>
  <c r="L506" i="18" l="1"/>
  <c r="K506" i="18"/>
  <c r="K484" i="18"/>
  <c r="L484" i="18"/>
  <c r="K460" i="18"/>
  <c r="L460" i="18"/>
  <c r="K529" i="18"/>
  <c r="K536" i="18" s="1"/>
  <c r="K537" i="18" s="1"/>
  <c r="L529" i="18"/>
  <c r="L536" i="18" s="1"/>
  <c r="L482" i="18"/>
  <c r="K482" i="18"/>
  <c r="K507" i="18"/>
  <c r="L507" i="18"/>
  <c r="E439" i="18"/>
  <c r="E417" i="18"/>
  <c r="D67" i="36"/>
  <c r="E141" i="18"/>
  <c r="AH190" i="18" s="1"/>
  <c r="E140" i="18"/>
  <c r="AH189" i="18" s="1"/>
  <c r="E139" i="18"/>
  <c r="AH188" i="18" s="1"/>
  <c r="E397" i="18"/>
  <c r="E398" i="18"/>
  <c r="E399" i="18"/>
  <c r="E373" i="18"/>
  <c r="E374" i="18"/>
  <c r="F350" i="18"/>
  <c r="E349" i="18"/>
  <c r="E326" i="18"/>
  <c r="D152" i="18"/>
  <c r="B141" i="36" s="1"/>
  <c r="K489" i="18" l="1"/>
  <c r="K490" i="18" s="1"/>
  <c r="L489" i="18"/>
  <c r="L513" i="18"/>
  <c r="K538" i="18"/>
  <c r="K539" i="18" s="1"/>
  <c r="K513" i="18"/>
  <c r="K514" i="18" s="1"/>
  <c r="AI188" i="18"/>
  <c r="E131" i="36" s="1"/>
  <c r="AI189" i="18"/>
  <c r="E132" i="36" s="1"/>
  <c r="AI190" i="18"/>
  <c r="E133" i="36" s="1"/>
  <c r="H417" i="18"/>
  <c r="J417" i="18" s="1"/>
  <c r="D24" i="18"/>
  <c r="Z11" i="38" s="1"/>
  <c r="K491" i="18" l="1"/>
  <c r="K492" i="18" s="1"/>
  <c r="K493" i="18" s="1"/>
  <c r="AA195" i="18" s="1"/>
  <c r="AB195" i="18" s="1"/>
  <c r="AC195" i="18" s="1"/>
  <c r="K515" i="18"/>
  <c r="K516" i="18" s="1"/>
  <c r="K518" i="18" s="1"/>
  <c r="K541" i="18"/>
  <c r="K540" i="18"/>
  <c r="AA197" i="18" s="1"/>
  <c r="AB197" i="18" s="1"/>
  <c r="AC197" i="18" s="1"/>
  <c r="AA11" i="38"/>
  <c r="AH11" i="38"/>
  <c r="AG11" i="38"/>
  <c r="AB11" i="38"/>
  <c r="AE11" i="38"/>
  <c r="AI11" i="38"/>
  <c r="AD11" i="38"/>
  <c r="AF11" i="38"/>
  <c r="AC11" i="38"/>
  <c r="L417" i="18"/>
  <c r="K417" i="18"/>
  <c r="E137" i="18"/>
  <c r="B123" i="36" s="1"/>
  <c r="E30" i="18"/>
  <c r="E31" i="18"/>
  <c r="E8" i="18"/>
  <c r="K494" i="18" l="1"/>
  <c r="K517" i="18"/>
  <c r="AA196" i="18" s="1"/>
  <c r="AB196" i="18" s="1"/>
  <c r="AC196" i="18" s="1"/>
  <c r="D25" i="18" a="1"/>
  <c r="D25" i="18" s="1"/>
  <c r="C29" i="18" l="1"/>
  <c r="L29" i="18"/>
  <c r="L30" i="18"/>
  <c r="D36" i="18"/>
  <c r="Z202" i="18" s="1"/>
  <c r="B90" i="36" s="1"/>
  <c r="K36" i="18"/>
  <c r="Z203" i="18" s="1"/>
  <c r="B91" i="36" s="1"/>
  <c r="K24" i="18"/>
  <c r="Y22" i="38"/>
  <c r="Y23" i="38" s="1"/>
  <c r="Y24" i="38" s="1"/>
  <c r="Y25" i="38" s="1"/>
  <c r="Y26" i="38" s="1"/>
  <c r="Y27" i="38" s="1"/>
  <c r="Y28" i="38" s="1"/>
  <c r="Y29" i="38" s="1"/>
  <c r="Y30" i="38" s="1"/>
  <c r="Y31" i="38" s="1"/>
  <c r="Y32" i="38" s="1"/>
  <c r="Y33" i="38" s="1"/>
  <c r="Y34" i="38" s="1"/>
  <c r="Y35" i="38" s="1"/>
  <c r="Y36" i="38" s="1"/>
  <c r="AO21" i="38" l="1" a="1"/>
  <c r="AO21" i="38" s="1"/>
  <c r="O252" i="18" s="1"/>
  <c r="AN21" i="38" a="1"/>
  <c r="AR21" i="38" a="1"/>
  <c r="AU21" i="38" a="1"/>
  <c r="AT21" i="38" a="1"/>
  <c r="AS21" i="38" a="1"/>
  <c r="AQ21" i="38" a="1"/>
  <c r="AM21" i="38" a="1"/>
  <c r="AL21" i="38" a="1"/>
  <c r="AP21" i="38" a="1"/>
  <c r="G61" i="36"/>
  <c r="P252" i="18" l="1"/>
  <c r="E252" i="18" s="1"/>
  <c r="H252" i="18" s="1"/>
  <c r="J252" i="18" s="1"/>
  <c r="AP21" i="38"/>
  <c r="O275" i="18" s="1"/>
  <c r="AS21" i="38"/>
  <c r="O344" i="18" s="1"/>
  <c r="AT21" i="38"/>
  <c r="O368" i="18" s="1"/>
  <c r="AU21" i="38"/>
  <c r="O392" i="18" s="1"/>
  <c r="AR21" i="38"/>
  <c r="O321" i="18" s="1"/>
  <c r="AQ21" i="38"/>
  <c r="O298" i="18" s="1"/>
  <c r="AL21" i="38"/>
  <c r="AN21" i="38"/>
  <c r="AM21" i="38"/>
  <c r="O208" i="18" s="1"/>
  <c r="M58" i="18"/>
  <c r="C30" i="18"/>
  <c r="K25" i="18"/>
  <c r="J29" i="18" s="1"/>
  <c r="J30" i="18" s="1"/>
  <c r="H399" i="18"/>
  <c r="J399" i="18" s="1"/>
  <c r="H398" i="18"/>
  <c r="J398" i="18" s="1"/>
  <c r="H397" i="18"/>
  <c r="J397" i="18" s="1"/>
  <c r="H373" i="18"/>
  <c r="J373" i="18" s="1"/>
  <c r="H374" i="18"/>
  <c r="J374" i="18" s="1"/>
  <c r="H349" i="18"/>
  <c r="J349" i="18" s="1"/>
  <c r="H326" i="18"/>
  <c r="J326" i="18" s="1"/>
  <c r="E280" i="18"/>
  <c r="E235" i="18"/>
  <c r="L252" i="18" l="1"/>
  <c r="K252" i="18"/>
  <c r="P344" i="18"/>
  <c r="E344" i="18" s="1"/>
  <c r="P298" i="18"/>
  <c r="E298" i="18" s="1"/>
  <c r="P275" i="18"/>
  <c r="E275" i="18" s="1"/>
  <c r="P321" i="18"/>
  <c r="E321" i="18" s="1"/>
  <c r="P392" i="18"/>
  <c r="E392" i="18" s="1"/>
  <c r="P208" i="18"/>
  <c r="E208" i="18" s="1"/>
  <c r="H208" i="18" s="1"/>
  <c r="J208" i="18" s="1"/>
  <c r="P368" i="18"/>
  <c r="E368" i="18" s="1"/>
  <c r="O185" i="18"/>
  <c r="O230" i="18"/>
  <c r="L399" i="18"/>
  <c r="K399" i="18"/>
  <c r="L398" i="18"/>
  <c r="K398" i="18"/>
  <c r="L397" i="18"/>
  <c r="K397" i="18"/>
  <c r="L374" i="18"/>
  <c r="K374" i="18"/>
  <c r="L373" i="18"/>
  <c r="K373" i="18"/>
  <c r="L349" i="18"/>
  <c r="K349" i="18"/>
  <c r="L326" i="18"/>
  <c r="K326" i="18"/>
  <c r="D29" i="37"/>
  <c r="D28" i="37"/>
  <c r="C29" i="37"/>
  <c r="C28" i="37"/>
  <c r="E32" i="37"/>
  <c r="E30" i="37"/>
  <c r="E33" i="37" s="1"/>
  <c r="D66" i="36"/>
  <c r="E400" i="18"/>
  <c r="E375" i="18"/>
  <c r="E350" i="18"/>
  <c r="E31" i="37" l="1"/>
  <c r="L208" i="18"/>
  <c r="K208" i="18"/>
  <c r="P185" i="18"/>
  <c r="E185" i="18" s="1"/>
  <c r="H185" i="18" s="1"/>
  <c r="J185" i="18" s="1"/>
  <c r="P230" i="18"/>
  <c r="E230" i="18" s="1"/>
  <c r="H230" i="18" s="1"/>
  <c r="J230" i="18" s="1"/>
  <c r="D30" i="37"/>
  <c r="D31" i="37" s="1"/>
  <c r="C30" i="37"/>
  <c r="C31" i="37" s="1"/>
  <c r="E35" i="37"/>
  <c r="E34" i="37"/>
  <c r="K230" i="18" l="1"/>
  <c r="L230" i="18"/>
  <c r="K185" i="18"/>
  <c r="L185" i="18"/>
  <c r="D32" i="37"/>
  <c r="D33" i="37"/>
  <c r="D35" i="37" s="1"/>
  <c r="I73" i="36" s="1"/>
  <c r="C33" i="37"/>
  <c r="C34" i="37" s="1"/>
  <c r="C35" i="37" l="1"/>
  <c r="I72" i="36" s="1"/>
  <c r="D34" i="37"/>
  <c r="E327" i="18"/>
  <c r="E303" i="18"/>
  <c r="E257" i="18"/>
  <c r="E213" i="18"/>
  <c r="C201" i="18"/>
  <c r="C223" i="18" s="1"/>
  <c r="C245" i="18" s="1"/>
  <c r="C268" i="18" s="1"/>
  <c r="C291" i="18" s="1"/>
  <c r="C314" i="18" s="1"/>
  <c r="C337" i="18" s="1"/>
  <c r="C361" i="18" s="1"/>
  <c r="C385" i="18" s="1"/>
  <c r="E190" i="18"/>
  <c r="G117" i="36"/>
  <c r="D69" i="36"/>
  <c r="M44" i="18" l="1"/>
  <c r="M40" i="18"/>
  <c r="M42" i="18"/>
  <c r="M46" i="18"/>
  <c r="M48" i="18"/>
  <c r="M50" i="18"/>
  <c r="M52" i="18"/>
  <c r="M54" i="18"/>
  <c r="M56" i="18"/>
  <c r="E390" i="18"/>
  <c r="AC203" i="18" l="1" a="1"/>
  <c r="AC203" i="18" s="1"/>
  <c r="AD203" i="18" s="1"/>
  <c r="E91" i="36" s="1"/>
  <c r="M59" i="18"/>
  <c r="E183" i="18"/>
  <c r="L197" i="18" l="1"/>
  <c r="L141" i="18"/>
  <c r="F70" i="18"/>
  <c r="E422" i="18"/>
  <c r="C10" i="18"/>
  <c r="E7" i="37" l="1"/>
  <c r="E5" i="37"/>
  <c r="E6" i="37" s="1"/>
  <c r="D4" i="37"/>
  <c r="D3" i="37"/>
  <c r="C4" i="37"/>
  <c r="C3" i="37"/>
  <c r="E8" i="37" l="1"/>
  <c r="E10" i="37" s="1"/>
  <c r="I74" i="36" s="1"/>
  <c r="D5" i="37"/>
  <c r="D8" i="37" s="1"/>
  <c r="C5" i="37"/>
  <c r="C8" i="37" s="1"/>
  <c r="C9" i="37" s="1"/>
  <c r="E9" i="37" l="1"/>
  <c r="D6" i="37"/>
  <c r="C6" i="37"/>
  <c r="D10" i="37" l="1"/>
  <c r="C10" i="37"/>
  <c r="D7" i="37"/>
  <c r="D9" i="37" s="1"/>
  <c r="E437" i="18"/>
  <c r="H439" i="18"/>
  <c r="J439" i="18" s="1"/>
  <c r="F444" i="18"/>
  <c r="H444" i="18" s="1"/>
  <c r="J444" i="18" s="1"/>
  <c r="D130" i="18"/>
  <c r="D126" i="18"/>
  <c r="D122" i="18"/>
  <c r="D118" i="18"/>
  <c r="D114" i="18"/>
  <c r="F131" i="18"/>
  <c r="F130" i="18"/>
  <c r="F127" i="18"/>
  <c r="F126" i="18"/>
  <c r="F123" i="18"/>
  <c r="F122" i="18"/>
  <c r="F119" i="18"/>
  <c r="F118" i="18"/>
  <c r="F115" i="18"/>
  <c r="F114" i="18"/>
  <c r="D35" i="18"/>
  <c r="T185" i="18" s="1"/>
  <c r="G118" i="36"/>
  <c r="F74" i="18"/>
  <c r="H437" i="18" l="1"/>
  <c r="J437" i="18" s="1"/>
  <c r="L437" i="18" s="1"/>
  <c r="E459" i="18"/>
  <c r="H459" i="18" s="1"/>
  <c r="J459" i="18" s="1"/>
  <c r="G118" i="18"/>
  <c r="H118" i="18" s="1"/>
  <c r="Z194" i="18" s="1"/>
  <c r="G126" i="18"/>
  <c r="H126" i="18" s="1"/>
  <c r="Z196" i="18" s="1"/>
  <c r="AD196" i="18" s="1"/>
  <c r="D121" i="18"/>
  <c r="D129" i="18"/>
  <c r="G130" i="18"/>
  <c r="H130" i="18" s="1"/>
  <c r="Z197" i="18" s="1"/>
  <c r="AD197" i="18" s="1"/>
  <c r="G122" i="18"/>
  <c r="H122" i="18" s="1"/>
  <c r="Z195" i="18" s="1"/>
  <c r="AD195" i="18" s="1"/>
  <c r="D113" i="18"/>
  <c r="D125" i="18"/>
  <c r="G114" i="18"/>
  <c r="H114" i="18" s="1"/>
  <c r="Z193" i="18" s="1"/>
  <c r="L439" i="18"/>
  <c r="K439" i="18"/>
  <c r="L444" i="18"/>
  <c r="K444" i="18"/>
  <c r="D117" i="18"/>
  <c r="K437" i="18" l="1"/>
  <c r="L459" i="18"/>
  <c r="L466" i="18" s="1"/>
  <c r="K459" i="18"/>
  <c r="K466" i="18" s="1"/>
  <c r="K467" i="18" s="1"/>
  <c r="I114" i="18"/>
  <c r="I130" i="18"/>
  <c r="I118" i="18"/>
  <c r="I122" i="18"/>
  <c r="I126" i="18"/>
  <c r="C13" i="22"/>
  <c r="F111" i="18"/>
  <c r="F110" i="18"/>
  <c r="D109" i="18"/>
  <c r="D41" i="22"/>
  <c r="D40" i="22"/>
  <c r="C5" i="22"/>
  <c r="C2" i="22"/>
  <c r="K468" i="18" l="1"/>
  <c r="K469" i="18" s="1"/>
  <c r="K471" i="18" s="1"/>
  <c r="G110" i="18"/>
  <c r="H110" i="18" s="1"/>
  <c r="Z192" i="18" s="1"/>
  <c r="D110" i="18"/>
  <c r="K35" i="18"/>
  <c r="T298" i="18" s="1"/>
  <c r="K470" i="18" l="1"/>
  <c r="AA194" i="18" s="1"/>
  <c r="AB194" i="18" s="1"/>
  <c r="AC194" i="18" s="1"/>
  <c r="AD194" i="18" s="1"/>
  <c r="T321" i="18"/>
  <c r="I110" i="18"/>
  <c r="A411" i="18" l="1" a="1"/>
  <c r="A411" i="18" s="1"/>
  <c r="A362" i="18"/>
  <c r="A315" i="18"/>
  <c r="A292" i="18"/>
  <c r="A269" i="18"/>
  <c r="A246" i="18"/>
  <c r="H275" i="18" l="1"/>
  <c r="J275" i="18" s="1"/>
  <c r="E415" i="18"/>
  <c r="H415" i="18" s="1"/>
  <c r="F422" i="18"/>
  <c r="H422" i="18" s="1"/>
  <c r="J422" i="18" s="1"/>
  <c r="H390" i="18"/>
  <c r="E366" i="18"/>
  <c r="H366" i="18" s="1"/>
  <c r="E342" i="18"/>
  <c r="H342" i="18" s="1"/>
  <c r="E296" i="18"/>
  <c r="H296" i="18" s="1"/>
  <c r="F400" i="18"/>
  <c r="H400" i="18" s="1"/>
  <c r="J400" i="18" s="1"/>
  <c r="F375" i="18"/>
  <c r="H375" i="18" s="1"/>
  <c r="J375" i="18" s="1"/>
  <c r="H350" i="18"/>
  <c r="J350" i="18" s="1"/>
  <c r="F327" i="18"/>
  <c r="H327" i="18" s="1"/>
  <c r="J327" i="18" s="1"/>
  <c r="E319" i="18"/>
  <c r="H319" i="18" s="1"/>
  <c r="F303" i="18"/>
  <c r="H303" i="18" s="1"/>
  <c r="J303" i="18" s="1"/>
  <c r="B362" i="18" l="1"/>
  <c r="B386" i="18"/>
  <c r="B315" i="18"/>
  <c r="B338" i="18"/>
  <c r="B292" i="18"/>
  <c r="B411" i="18"/>
  <c r="K275" i="18"/>
  <c r="L275" i="18"/>
  <c r="H392" i="18"/>
  <c r="J392" i="18" s="1"/>
  <c r="L392" i="18" s="1"/>
  <c r="H298" i="18"/>
  <c r="J298" i="18" s="1"/>
  <c r="K298" i="18" s="1"/>
  <c r="L422" i="18"/>
  <c r="K422" i="18"/>
  <c r="J415" i="18"/>
  <c r="L400" i="18"/>
  <c r="K400" i="18"/>
  <c r="J390" i="18"/>
  <c r="J366" i="18"/>
  <c r="L375" i="18"/>
  <c r="K375" i="18"/>
  <c r="L350" i="18"/>
  <c r="K350" i="18"/>
  <c r="J342" i="18"/>
  <c r="L327" i="18"/>
  <c r="K327" i="18"/>
  <c r="J319" i="18"/>
  <c r="K303" i="18"/>
  <c r="L303" i="18"/>
  <c r="J296" i="18"/>
  <c r="K392" i="18" l="1"/>
  <c r="L298" i="18"/>
  <c r="H321" i="18"/>
  <c r="J321" i="18" s="1"/>
  <c r="L415" i="18"/>
  <c r="K415" i="18"/>
  <c r="L390" i="18"/>
  <c r="K390" i="18"/>
  <c r="K366" i="18"/>
  <c r="L366" i="18"/>
  <c r="L342" i="18"/>
  <c r="K342" i="18"/>
  <c r="L319" i="18"/>
  <c r="K319" i="18"/>
  <c r="L296" i="18"/>
  <c r="K296" i="18"/>
  <c r="H344" i="18" l="1"/>
  <c r="J344" i="18" s="1"/>
  <c r="L321" i="18"/>
  <c r="K321" i="18"/>
  <c r="C20" i="22" l="1"/>
  <c r="K344" i="18"/>
  <c r="L344" i="18"/>
  <c r="H368" i="18"/>
  <c r="J368" i="18" s="1"/>
  <c r="L368" i="18" l="1"/>
  <c r="K368" i="18"/>
  <c r="D131" i="22" l="1"/>
  <c r="C131" i="22"/>
  <c r="D130" i="22"/>
  <c r="C130" i="22"/>
  <c r="D129" i="22"/>
  <c r="C129" i="22"/>
  <c r="D128" i="22"/>
  <c r="C128" i="22"/>
  <c r="D127" i="22"/>
  <c r="C127" i="22"/>
  <c r="D126" i="22"/>
  <c r="C126" i="22"/>
  <c r="D125" i="22"/>
  <c r="C125" i="22"/>
  <c r="D124" i="22"/>
  <c r="C124" i="22"/>
  <c r="D123" i="22"/>
  <c r="C123" i="22"/>
  <c r="D122" i="22"/>
  <c r="C122" i="22"/>
  <c r="E119" i="22"/>
  <c r="D111" i="22"/>
  <c r="C111" i="22"/>
  <c r="D110" i="22"/>
  <c r="C110" i="22"/>
  <c r="D109" i="22"/>
  <c r="C109" i="22"/>
  <c r="D108" i="22"/>
  <c r="C108" i="22"/>
  <c r="D107" i="22"/>
  <c r="C107" i="22"/>
  <c r="D106" i="22"/>
  <c r="C106" i="22"/>
  <c r="D105" i="22"/>
  <c r="C105" i="22"/>
  <c r="D104" i="22"/>
  <c r="C104" i="22"/>
  <c r="D103" i="22"/>
  <c r="C103" i="22"/>
  <c r="D102" i="22"/>
  <c r="C102" i="22"/>
  <c r="E99" i="22"/>
  <c r="E79" i="22"/>
  <c r="D78" i="22"/>
  <c r="E77" i="22"/>
  <c r="D76" i="22"/>
  <c r="E75" i="22"/>
  <c r="D74" i="22"/>
  <c r="E73" i="22"/>
  <c r="D72" i="22"/>
  <c r="F66" i="22"/>
  <c r="E66" i="22"/>
  <c r="D61" i="22"/>
  <c r="D60" i="22"/>
  <c r="D59" i="22"/>
  <c r="D58" i="22"/>
  <c r="D57" i="22"/>
  <c r="D42" i="22"/>
  <c r="D39" i="22"/>
  <c r="C39" i="22"/>
  <c r="D28" i="22"/>
  <c r="D27" i="22"/>
  <c r="D26" i="22"/>
  <c r="D25" i="22"/>
  <c r="C25" i="22"/>
  <c r="D33" i="22"/>
  <c r="C19" i="22"/>
  <c r="C33" i="22" s="1"/>
  <c r="E9" i="22"/>
  <c r="C9" i="22"/>
  <c r="E8" i="22"/>
  <c r="C8" i="22"/>
  <c r="C3" i="22"/>
  <c r="C38" i="22" l="1"/>
  <c r="D34" i="22"/>
  <c r="E39" i="22"/>
  <c r="E25" i="22"/>
  <c r="D38" i="22"/>
  <c r="E38" i="22"/>
  <c r="F38" i="22" s="1"/>
  <c r="C24" i="22"/>
  <c r="E24" i="22" l="1"/>
  <c r="F24" i="22" s="1"/>
  <c r="D24" i="22"/>
  <c r="C34" i="22" l="1"/>
  <c r="D69" i="18" l="1"/>
  <c r="D70" i="18"/>
  <c r="F280" i="18"/>
  <c r="H280" i="18" s="1"/>
  <c r="J280" i="18" s="1"/>
  <c r="L280" i="18" s="1"/>
  <c r="E273" i="18"/>
  <c r="H273" i="18" s="1"/>
  <c r="F257" i="18"/>
  <c r="H257" i="18" s="1"/>
  <c r="J257" i="18" s="1"/>
  <c r="F235" i="18"/>
  <c r="H235" i="18" s="1"/>
  <c r="J235" i="18" s="1"/>
  <c r="L235" i="18" s="1"/>
  <c r="F213" i="18"/>
  <c r="F190" i="18"/>
  <c r="H183" i="18"/>
  <c r="F155" i="18"/>
  <c r="AH194" i="18" s="1"/>
  <c r="N142" i="18"/>
  <c r="P141" i="18"/>
  <c r="N141" i="18"/>
  <c r="N140" i="18"/>
  <c r="E143" i="18"/>
  <c r="E142" i="18"/>
  <c r="AH191" i="18" s="1"/>
  <c r="F107" i="18"/>
  <c r="F106" i="18"/>
  <c r="D106" i="18"/>
  <c r="D105" i="18"/>
  <c r="F103" i="18"/>
  <c r="F102" i="18"/>
  <c r="F99" i="18"/>
  <c r="F98" i="18"/>
  <c r="F95" i="18"/>
  <c r="F94" i="18"/>
  <c r="F91" i="18"/>
  <c r="F90" i="18"/>
  <c r="D90" i="18"/>
  <c r="F87" i="18"/>
  <c r="F86" i="18"/>
  <c r="D86" i="18"/>
  <c r="F83" i="18"/>
  <c r="F82" i="18"/>
  <c r="F79" i="18"/>
  <c r="F78" i="18"/>
  <c r="F75" i="18"/>
  <c r="F71" i="18"/>
  <c r="G70" i="18" s="1"/>
  <c r="E131" i="22"/>
  <c r="F58" i="18"/>
  <c r="E111" i="22" s="1"/>
  <c r="E130" i="22"/>
  <c r="F56" i="18"/>
  <c r="E110" i="22" s="1"/>
  <c r="E129" i="22"/>
  <c r="F54" i="18"/>
  <c r="E109" i="22" s="1"/>
  <c r="E128" i="22"/>
  <c r="F52" i="18"/>
  <c r="E108" i="22" s="1"/>
  <c r="E127" i="22"/>
  <c r="F50" i="18"/>
  <c r="E107" i="22" s="1"/>
  <c r="E126" i="22"/>
  <c r="F48" i="18"/>
  <c r="E106" i="22" s="1"/>
  <c r="E125" i="22"/>
  <c r="F46" i="18"/>
  <c r="E105" i="22" s="1"/>
  <c r="F44" i="18"/>
  <c r="E104" i="22" s="1"/>
  <c r="E123" i="22"/>
  <c r="F42" i="18"/>
  <c r="E103" i="22" s="1"/>
  <c r="F40" i="18"/>
  <c r="L31" i="18"/>
  <c r="M30" i="18" s="1"/>
  <c r="E206" i="18"/>
  <c r="H206" i="18" s="1"/>
  <c r="C16" i="18"/>
  <c r="D15" i="18"/>
  <c r="E10" i="22" s="1"/>
  <c r="D14" i="18"/>
  <c r="C10" i="22" s="1"/>
  <c r="C13" i="18"/>
  <c r="F8" i="22"/>
  <c r="AH192" i="18" l="1"/>
  <c r="AI192" i="18" s="1"/>
  <c r="E135" i="36" s="1"/>
  <c r="AC202" i="18" a="1"/>
  <c r="AC202" i="18" s="1"/>
  <c r="AD202" i="18" s="1"/>
  <c r="E90" i="36" s="1"/>
  <c r="AI194" i="18"/>
  <c r="D141" i="36" s="1"/>
  <c r="G155" i="18"/>
  <c r="B224" i="18"/>
  <c r="B246" i="18"/>
  <c r="B269" i="18"/>
  <c r="B202" i="18"/>
  <c r="E122" i="22"/>
  <c r="E59" i="22"/>
  <c r="E61" i="22"/>
  <c r="E60" i="22"/>
  <c r="F9" i="22"/>
  <c r="E57" i="22"/>
  <c r="E58" i="22"/>
  <c r="F75" i="22"/>
  <c r="F59" i="18"/>
  <c r="F60" i="18" s="1"/>
  <c r="T187" i="18" s="1"/>
  <c r="E102" i="22"/>
  <c r="E124" i="22"/>
  <c r="T323" i="18"/>
  <c r="G86" i="18"/>
  <c r="H86" i="18" s="1"/>
  <c r="Z186" i="18" s="1"/>
  <c r="D16" i="18"/>
  <c r="G82" i="18"/>
  <c r="F30" i="18"/>
  <c r="G30" i="18" s="1"/>
  <c r="AH182" i="18" s="1"/>
  <c r="AI182" i="18" s="1"/>
  <c r="G94" i="18"/>
  <c r="H94" i="18" s="1"/>
  <c r="Z188" i="18" s="1"/>
  <c r="G78" i="18"/>
  <c r="G90" i="18"/>
  <c r="H90" i="18" s="1"/>
  <c r="Z187" i="18" s="1"/>
  <c r="G98" i="18"/>
  <c r="K280" i="18"/>
  <c r="N30" i="18"/>
  <c r="G102" i="18"/>
  <c r="G106" i="18"/>
  <c r="H106" i="18" s="1"/>
  <c r="Z191" i="18" s="1"/>
  <c r="H213" i="18"/>
  <c r="F144" i="18"/>
  <c r="F139" i="18"/>
  <c r="AH193" i="18" s="1"/>
  <c r="E228" i="18"/>
  <c r="H228" i="18" s="1"/>
  <c r="E250" i="18"/>
  <c r="H250" i="18" s="1"/>
  <c r="D94" i="18"/>
  <c r="D93" i="18"/>
  <c r="J183" i="18"/>
  <c r="J206" i="18"/>
  <c r="K257" i="18"/>
  <c r="L257" i="18"/>
  <c r="F145" i="18"/>
  <c r="D85" i="18"/>
  <c r="D89" i="18"/>
  <c r="K235" i="18"/>
  <c r="J273" i="18"/>
  <c r="H190" i="18"/>
  <c r="AI191" i="18" l="1"/>
  <c r="E134" i="36" s="1"/>
  <c r="G416" i="18"/>
  <c r="G438" i="18"/>
  <c r="T189" i="18"/>
  <c r="E184" i="18"/>
  <c r="E229" i="18"/>
  <c r="I106" i="18"/>
  <c r="F39" i="22"/>
  <c r="M60" i="18"/>
  <c r="T300" i="18" s="1"/>
  <c r="T302" i="18" s="1"/>
  <c r="F10" i="22"/>
  <c r="G74" i="18"/>
  <c r="H74" i="18" s="1"/>
  <c r="Z183" i="18" s="1"/>
  <c r="F61" i="18"/>
  <c r="AA202" i="18" s="1"/>
  <c r="M61" i="18"/>
  <c r="AA203" i="18" s="1"/>
  <c r="F59" i="22"/>
  <c r="F25" i="22"/>
  <c r="I90" i="18"/>
  <c r="I86" i="18"/>
  <c r="I94" i="18"/>
  <c r="H70" i="18"/>
  <c r="Z182" i="18" s="1"/>
  <c r="F146" i="18"/>
  <c r="J213" i="18"/>
  <c r="K273" i="18"/>
  <c r="L273" i="18"/>
  <c r="J228" i="18"/>
  <c r="J190" i="18"/>
  <c r="D82" i="18"/>
  <c r="H82" i="18"/>
  <c r="Z185" i="18" s="1"/>
  <c r="D81" i="18"/>
  <c r="D78" i="18"/>
  <c r="H78" i="18"/>
  <c r="Z184" i="18" s="1"/>
  <c r="D77" i="18"/>
  <c r="L206" i="18"/>
  <c r="K206" i="18"/>
  <c r="L183" i="18"/>
  <c r="K183" i="18"/>
  <c r="D98" i="18"/>
  <c r="H98" i="18"/>
  <c r="Z189" i="18" s="1"/>
  <c r="D97" i="18"/>
  <c r="D74" i="18"/>
  <c r="D73" i="18"/>
  <c r="J250" i="18"/>
  <c r="D102" i="18"/>
  <c r="H102" i="18"/>
  <c r="Z190" i="18" s="1"/>
  <c r="D101" i="18"/>
  <c r="AI193" i="18" l="1"/>
  <c r="H131" i="36" s="1"/>
  <c r="E78" i="36"/>
  <c r="AB202" i="18"/>
  <c r="C90" i="36" s="1"/>
  <c r="AB203" i="18"/>
  <c r="C91" i="36" s="1"/>
  <c r="E113" i="22"/>
  <c r="C166" i="18"/>
  <c r="E367" i="18"/>
  <c r="E391" i="18"/>
  <c r="E297" i="18"/>
  <c r="E343" i="18"/>
  <c r="E416" i="18"/>
  <c r="E320" i="18"/>
  <c r="E274" i="18"/>
  <c r="G207" i="18"/>
  <c r="E133" i="22"/>
  <c r="T325" i="18"/>
  <c r="G343" i="18"/>
  <c r="G391" i="18"/>
  <c r="G367" i="18"/>
  <c r="G229" i="18"/>
  <c r="G297" i="18"/>
  <c r="G320" i="18"/>
  <c r="G251" i="18"/>
  <c r="G274" i="18"/>
  <c r="E207" i="18"/>
  <c r="H207" i="18" s="1"/>
  <c r="E251" i="18"/>
  <c r="G184" i="18"/>
  <c r="I78" i="18"/>
  <c r="I74" i="18"/>
  <c r="I102" i="18"/>
  <c r="I98" i="18"/>
  <c r="I82" i="18"/>
  <c r="I70" i="18"/>
  <c r="L213" i="18"/>
  <c r="K213" i="18"/>
  <c r="K250" i="18"/>
  <c r="L250" i="18"/>
  <c r="L190" i="18"/>
  <c r="K190" i="18"/>
  <c r="L228" i="18"/>
  <c r="K228" i="18"/>
  <c r="D166" i="18" l="1"/>
  <c r="E438" i="18"/>
  <c r="H297" i="18"/>
  <c r="H416" i="18"/>
  <c r="H229" i="18"/>
  <c r="J229" i="18" s="1"/>
  <c r="H251" i="18"/>
  <c r="J251" i="18" s="1"/>
  <c r="H274" i="18"/>
  <c r="H184" i="18"/>
  <c r="J207" i="18"/>
  <c r="J416" i="18" l="1"/>
  <c r="J297" i="18"/>
  <c r="J274" i="18"/>
  <c r="J184" i="18"/>
  <c r="L207" i="18"/>
  <c r="K207" i="18"/>
  <c r="K251" i="18"/>
  <c r="L251" i="18"/>
  <c r="K229" i="18"/>
  <c r="L229" i="18"/>
  <c r="H343" i="18" l="1"/>
  <c r="J343" i="18" s="1"/>
  <c r="L343" i="18" s="1"/>
  <c r="H320" i="18"/>
  <c r="J320" i="18" s="1"/>
  <c r="K320" i="18" s="1"/>
  <c r="H367" i="18"/>
  <c r="K274" i="18"/>
  <c r="L297" i="18"/>
  <c r="K297" i="18"/>
  <c r="L416" i="18"/>
  <c r="K416" i="18"/>
  <c r="L274" i="18"/>
  <c r="K184" i="18"/>
  <c r="L184" i="18"/>
  <c r="K343" i="18" l="1"/>
  <c r="L320" i="18"/>
  <c r="J367" i="18"/>
  <c r="H391" i="18"/>
  <c r="J391" i="18" l="1"/>
  <c r="L367" i="18"/>
  <c r="K367" i="18"/>
  <c r="H438" i="18" l="1"/>
  <c r="J438" i="18" s="1"/>
  <c r="L438" i="18" s="1"/>
  <c r="L391" i="18"/>
  <c r="K391" i="18"/>
  <c r="K438" i="18" l="1"/>
  <c r="O442" i="18" l="1"/>
  <c r="P442" i="18" s="1"/>
  <c r="E443" i="18" s="1"/>
  <c r="H443" i="18" s="1"/>
  <c r="J443" i="18" s="1"/>
  <c r="O441" i="18" l="1"/>
  <c r="P441" i="18" s="1"/>
  <c r="E442" i="18" s="1"/>
  <c r="H442" i="18" s="1"/>
  <c r="J442" i="18" s="1"/>
  <c r="K443" i="18"/>
  <c r="L443" i="18"/>
  <c r="O440" i="18" l="1"/>
  <c r="P440" i="18" s="1"/>
  <c r="E441" i="18" s="1"/>
  <c r="H441" i="18" s="1"/>
  <c r="J441" i="18" s="1"/>
  <c r="L442" i="18"/>
  <c r="K442" i="18"/>
  <c r="O439" i="18" l="1"/>
  <c r="P439" i="18" s="1"/>
  <c r="E440" i="18" s="1"/>
  <c r="H440" i="18" s="1"/>
  <c r="J440" i="18" s="1"/>
  <c r="L441" i="18"/>
  <c r="K441" i="18"/>
  <c r="O421" i="18" l="1"/>
  <c r="P421" i="18" s="1"/>
  <c r="E421" i="18" s="1"/>
  <c r="H421" i="18" s="1"/>
  <c r="J421" i="18" s="1"/>
  <c r="K440" i="18"/>
  <c r="K445" i="18" s="1"/>
  <c r="K446" i="18" s="1"/>
  <c r="L440" i="18"/>
  <c r="L445" i="18" s="1"/>
  <c r="O420" i="18" l="1"/>
  <c r="P420" i="18" s="1"/>
  <c r="E420" i="18" s="1"/>
  <c r="H420" i="18" s="1"/>
  <c r="J420" i="18" s="1"/>
  <c r="L421" i="18"/>
  <c r="K421" i="18"/>
  <c r="K447" i="18"/>
  <c r="K448" i="18" s="1"/>
  <c r="O419" i="18" l="1"/>
  <c r="P419" i="18" s="1"/>
  <c r="E419" i="18" s="1"/>
  <c r="H419" i="18" s="1"/>
  <c r="J419" i="18" s="1"/>
  <c r="K420" i="18"/>
  <c r="L420" i="18"/>
  <c r="K449" i="18"/>
  <c r="K450" i="18"/>
  <c r="AA193" i="18" l="1"/>
  <c r="AB193" i="18" s="1"/>
  <c r="O418" i="18"/>
  <c r="P418" i="18" s="1"/>
  <c r="E418" i="18" s="1"/>
  <c r="H418" i="18" s="1"/>
  <c r="J418" i="18" s="1"/>
  <c r="K419" i="18"/>
  <c r="L419" i="18"/>
  <c r="F108" i="36" l="1"/>
  <c r="AC193" i="18"/>
  <c r="AD193" i="18" s="1"/>
  <c r="D108" i="36" s="1"/>
  <c r="O396" i="18"/>
  <c r="P396" i="18" s="1"/>
  <c r="E396" i="18" s="1"/>
  <c r="H396" i="18" s="1"/>
  <c r="J396" i="18" s="1"/>
  <c r="L418" i="18"/>
  <c r="L423" i="18" s="1"/>
  <c r="K418" i="18"/>
  <c r="K423" i="18" s="1"/>
  <c r="K424" i="18" s="1"/>
  <c r="K425" i="18" l="1"/>
  <c r="K426" i="18" s="1"/>
  <c r="K427" i="18" s="1"/>
  <c r="AA192" i="18" s="1"/>
  <c r="AB192" i="18" s="1"/>
  <c r="O395" i="18"/>
  <c r="P395" i="18" s="1"/>
  <c r="E395" i="18" s="1"/>
  <c r="H395" i="18" s="1"/>
  <c r="J395" i="18" s="1"/>
  <c r="K396" i="18"/>
  <c r="L396" i="18"/>
  <c r="K428" i="18" l="1"/>
  <c r="F107" i="36"/>
  <c r="AC192" i="18"/>
  <c r="AD192" i="18" s="1"/>
  <c r="D107" i="36" s="1"/>
  <c r="O394" i="18"/>
  <c r="P394" i="18" s="1"/>
  <c r="E394" i="18" s="1"/>
  <c r="H394" i="18" s="1"/>
  <c r="J394" i="18" s="1"/>
  <c r="K395" i="18"/>
  <c r="L395" i="18"/>
  <c r="O393" i="18" l="1"/>
  <c r="P393" i="18" s="1"/>
  <c r="E393" i="18" s="1"/>
  <c r="H393" i="18" s="1"/>
  <c r="J393" i="18" s="1"/>
  <c r="K394" i="18"/>
  <c r="L394" i="18"/>
  <c r="O372" i="18" l="1"/>
  <c r="P372" i="18" s="1"/>
  <c r="E372" i="18" s="1"/>
  <c r="H372" i="18" s="1"/>
  <c r="J372" i="18" s="1"/>
  <c r="K393" i="18"/>
  <c r="K401" i="18" s="1"/>
  <c r="K402" i="18" s="1"/>
  <c r="L393" i="18"/>
  <c r="L401" i="18" s="1"/>
  <c r="K403" i="18" l="1"/>
  <c r="K404" i="18" s="1"/>
  <c r="K405" i="18" s="1"/>
  <c r="AA191" i="18" s="1"/>
  <c r="AB191" i="18" s="1"/>
  <c r="O371" i="18"/>
  <c r="P371" i="18" s="1"/>
  <c r="E371" i="18" s="1"/>
  <c r="H371" i="18" s="1"/>
  <c r="J371" i="18" s="1"/>
  <c r="L372" i="18"/>
  <c r="K372" i="18"/>
  <c r="K406" i="18" l="1"/>
  <c r="F106" i="36"/>
  <c r="AC191" i="18"/>
  <c r="AD191" i="18" s="1"/>
  <c r="D106" i="36" s="1"/>
  <c r="O370" i="18"/>
  <c r="P370" i="18" s="1"/>
  <c r="E370" i="18" s="1"/>
  <c r="H370" i="18" s="1"/>
  <c r="J370" i="18" s="1"/>
  <c r="K371" i="18"/>
  <c r="L371" i="18"/>
  <c r="O369" i="18" l="1"/>
  <c r="P369" i="18" s="1"/>
  <c r="E369" i="18" s="1"/>
  <c r="H369" i="18" s="1"/>
  <c r="J369" i="18" s="1"/>
  <c r="K370" i="18"/>
  <c r="L370" i="18"/>
  <c r="O348" i="18" l="1"/>
  <c r="P348" i="18" s="1"/>
  <c r="E348" i="18" s="1"/>
  <c r="H348" i="18" s="1"/>
  <c r="J348" i="18" s="1"/>
  <c r="L369" i="18"/>
  <c r="L376" i="18" s="1"/>
  <c r="K369" i="18"/>
  <c r="K376" i="18" s="1"/>
  <c r="K377" i="18" s="1"/>
  <c r="K378" i="18" l="1"/>
  <c r="K379" i="18" s="1"/>
  <c r="K381" i="18" s="1"/>
  <c r="O347" i="18"/>
  <c r="P347" i="18" s="1"/>
  <c r="E347" i="18" s="1"/>
  <c r="H347" i="18" s="1"/>
  <c r="J347" i="18" s="1"/>
  <c r="L348" i="18"/>
  <c r="K348" i="18"/>
  <c r="K380" i="18" l="1"/>
  <c r="AA190" i="18" s="1"/>
  <c r="AB190" i="18" s="1"/>
  <c r="F105" i="36" s="1"/>
  <c r="O346" i="18"/>
  <c r="P346" i="18" s="1"/>
  <c r="E346" i="18" s="1"/>
  <c r="H346" i="18" s="1"/>
  <c r="J346" i="18" s="1"/>
  <c r="L347" i="18"/>
  <c r="K347" i="18"/>
  <c r="AC190" i="18" l="1"/>
  <c r="AD190" i="18" s="1"/>
  <c r="D105" i="36" s="1"/>
  <c r="O345" i="18"/>
  <c r="P345" i="18" s="1"/>
  <c r="E345" i="18" s="1"/>
  <c r="H345" i="18" s="1"/>
  <c r="J345" i="18" s="1"/>
  <c r="K346" i="18"/>
  <c r="L346" i="18"/>
  <c r="O325" i="18" l="1"/>
  <c r="P325" i="18" s="1"/>
  <c r="E325" i="18" s="1"/>
  <c r="H325" i="18" s="1"/>
  <c r="J325" i="18" s="1"/>
  <c r="K345" i="18"/>
  <c r="K351" i="18" s="1"/>
  <c r="K352" i="18" s="1"/>
  <c r="L345" i="18"/>
  <c r="L351" i="18" s="1"/>
  <c r="K353" i="18" l="1"/>
  <c r="K354" i="18" s="1"/>
  <c r="O324" i="18"/>
  <c r="P324" i="18" s="1"/>
  <c r="E324" i="18" s="1"/>
  <c r="H324" i="18" s="1"/>
  <c r="J324" i="18" s="1"/>
  <c r="K325" i="18"/>
  <c r="L325" i="18"/>
  <c r="O323" i="18" l="1"/>
  <c r="P323" i="18" s="1"/>
  <c r="E323" i="18" s="1"/>
  <c r="H323" i="18" s="1"/>
  <c r="J323" i="18" s="1"/>
  <c r="L324" i="18"/>
  <c r="K324" i="18"/>
  <c r="K355" i="18"/>
  <c r="K356" i="18"/>
  <c r="AA187" i="18" l="1"/>
  <c r="AB187" i="18" s="1"/>
  <c r="AA189" i="18"/>
  <c r="AB189" i="18" s="1"/>
  <c r="O322" i="18"/>
  <c r="P322" i="18" s="1"/>
  <c r="E322" i="18" s="1"/>
  <c r="H322" i="18" s="1"/>
  <c r="J322" i="18" s="1"/>
  <c r="L323" i="18"/>
  <c r="K323" i="18"/>
  <c r="O302" i="18" l="1"/>
  <c r="P302" i="18" s="1"/>
  <c r="E302" i="18" s="1"/>
  <c r="H302" i="18" s="1"/>
  <c r="J302" i="18" s="1"/>
  <c r="K322" i="18"/>
  <c r="K328" i="18" s="1"/>
  <c r="K329" i="18" s="1"/>
  <c r="L322" i="18"/>
  <c r="L328" i="18" s="1"/>
  <c r="F104" i="36"/>
  <c r="AC189" i="18"/>
  <c r="AD189" i="18" s="1"/>
  <c r="D104" i="36" s="1"/>
  <c r="AC187" i="18"/>
  <c r="AD187" i="18" s="1"/>
  <c r="D102" i="36" s="1"/>
  <c r="F102" i="36"/>
  <c r="K330" i="18" l="1"/>
  <c r="K331" i="18" s="1"/>
  <c r="K332" i="18" s="1"/>
  <c r="O301" i="18"/>
  <c r="P301" i="18" s="1"/>
  <c r="E301" i="18" s="1"/>
  <c r="H301" i="18" s="1"/>
  <c r="J301" i="18" s="1"/>
  <c r="L302" i="18"/>
  <c r="K302" i="18"/>
  <c r="K333" i="18" l="1"/>
  <c r="E166" i="18" s="1"/>
  <c r="F166" i="18" s="1"/>
  <c r="AH195" i="18" s="1"/>
  <c r="AI195" i="18" s="1"/>
  <c r="B147" i="36" s="1"/>
  <c r="AA188" i="18"/>
  <c r="AB188" i="18" s="1"/>
  <c r="O300" i="18"/>
  <c r="P300" i="18" s="1"/>
  <c r="E300" i="18" s="1"/>
  <c r="H300" i="18" s="1"/>
  <c r="J300" i="18" s="1"/>
  <c r="L301" i="18"/>
  <c r="K301" i="18"/>
  <c r="G166" i="18" l="1"/>
  <c r="AC188" i="18"/>
  <c r="AD188" i="18" s="1"/>
  <c r="D103" i="36" s="1"/>
  <c r="F103" i="36"/>
  <c r="O299" i="18"/>
  <c r="P299" i="18" s="1"/>
  <c r="E299" i="18" s="1"/>
  <c r="H299" i="18" s="1"/>
  <c r="J299" i="18" s="1"/>
  <c r="L300" i="18"/>
  <c r="K300" i="18"/>
  <c r="O279" i="18" l="1"/>
  <c r="P279" i="18" s="1"/>
  <c r="E279" i="18" s="1"/>
  <c r="H279" i="18" s="1"/>
  <c r="J279" i="18" s="1"/>
  <c r="L299" i="18"/>
  <c r="L304" i="18" s="1"/>
  <c r="K299" i="18"/>
  <c r="K304" i="18" s="1"/>
  <c r="K305" i="18" s="1"/>
  <c r="K306" i="18" l="1"/>
  <c r="K307" i="18" s="1"/>
  <c r="K308" i="18" s="1"/>
  <c r="O278" i="18"/>
  <c r="P278" i="18" s="1"/>
  <c r="E278" i="18" s="1"/>
  <c r="H278" i="18" s="1"/>
  <c r="J278" i="18" s="1"/>
  <c r="K279" i="18"/>
  <c r="L279" i="18"/>
  <c r="K309" i="18" l="1"/>
  <c r="O277" i="18"/>
  <c r="P277" i="18" s="1"/>
  <c r="E277" i="18" s="1"/>
  <c r="H277" i="18" s="1"/>
  <c r="J277" i="18" s="1"/>
  <c r="K278" i="18"/>
  <c r="L278" i="18"/>
  <c r="O276" i="18" l="1"/>
  <c r="P276" i="18" s="1"/>
  <c r="E276" i="18" s="1"/>
  <c r="H276" i="18" s="1"/>
  <c r="J276" i="18" s="1"/>
  <c r="L277" i="18"/>
  <c r="K277" i="18"/>
  <c r="O256" i="18" l="1"/>
  <c r="P256" i="18" s="1"/>
  <c r="E256" i="18" s="1"/>
  <c r="H256" i="18" s="1"/>
  <c r="J256" i="18" s="1"/>
  <c r="K276" i="18"/>
  <c r="K281" i="18" s="1"/>
  <c r="K282" i="18" s="1"/>
  <c r="L276" i="18"/>
  <c r="L281" i="18" s="1"/>
  <c r="O255" i="18" l="1"/>
  <c r="P255" i="18" s="1"/>
  <c r="E255" i="18" s="1"/>
  <c r="H255" i="18" s="1"/>
  <c r="J255" i="18" s="1"/>
  <c r="L256" i="18"/>
  <c r="K256" i="18"/>
  <c r="K283" i="18"/>
  <c r="K284" i="18" s="1"/>
  <c r="O254" i="18" l="1"/>
  <c r="P254" i="18" s="1"/>
  <c r="E254" i="18" s="1"/>
  <c r="H254" i="18" s="1"/>
  <c r="J254" i="18" s="1"/>
  <c r="L255" i="18"/>
  <c r="K255" i="18"/>
  <c r="K285" i="18"/>
  <c r="AA186" i="18" s="1"/>
  <c r="AB186" i="18" s="1"/>
  <c r="K286" i="18"/>
  <c r="F101" i="36" l="1"/>
  <c r="AC186" i="18"/>
  <c r="AD186" i="18" s="1"/>
  <c r="D101" i="36" s="1"/>
  <c r="O253" i="18"/>
  <c r="P253" i="18" s="1"/>
  <c r="E253" i="18" s="1"/>
  <c r="H253" i="18" s="1"/>
  <c r="J253" i="18" s="1"/>
  <c r="L254" i="18"/>
  <c r="K254" i="18"/>
  <c r="O234" i="18" l="1"/>
  <c r="P234" i="18" s="1"/>
  <c r="E234" i="18" s="1"/>
  <c r="H234" i="18" s="1"/>
  <c r="J234" i="18" s="1"/>
  <c r="L253" i="18"/>
  <c r="L258" i="18" s="1"/>
  <c r="K253" i="18"/>
  <c r="K258" i="18" s="1"/>
  <c r="K259" i="18" s="1"/>
  <c r="K260" i="18" l="1"/>
  <c r="K261" i="18" s="1"/>
  <c r="K263" i="18" s="1"/>
  <c r="O233" i="18"/>
  <c r="P233" i="18" s="1"/>
  <c r="E233" i="18" s="1"/>
  <c r="H233" i="18" s="1"/>
  <c r="J233" i="18" s="1"/>
  <c r="L234" i="18"/>
  <c r="K234" i="18"/>
  <c r="K262" i="18" l="1"/>
  <c r="AA185" i="18" s="1"/>
  <c r="AB185" i="18" s="1"/>
  <c r="AC185" i="18" s="1"/>
  <c r="AD185" i="18" s="1"/>
  <c r="D100" i="36" s="1"/>
  <c r="O232" i="18"/>
  <c r="P232" i="18" s="1"/>
  <c r="E232" i="18" s="1"/>
  <c r="H232" i="18" s="1"/>
  <c r="J232" i="18" s="1"/>
  <c r="L233" i="18"/>
  <c r="K233" i="18"/>
  <c r="F100" i="36" l="1"/>
  <c r="O231" i="18"/>
  <c r="P231" i="18" s="1"/>
  <c r="E231" i="18" s="1"/>
  <c r="H231" i="18" s="1"/>
  <c r="J231" i="18" s="1"/>
  <c r="L232" i="18"/>
  <c r="K232" i="18"/>
  <c r="O212" i="18" l="1"/>
  <c r="P212" i="18" s="1"/>
  <c r="E212" i="18" s="1"/>
  <c r="H212" i="18" s="1"/>
  <c r="J212" i="18" s="1"/>
  <c r="L231" i="18"/>
  <c r="L236" i="18" s="1"/>
  <c r="K231" i="18"/>
  <c r="K236" i="18" s="1"/>
  <c r="K237" i="18" s="1"/>
  <c r="K238" i="18" l="1"/>
  <c r="K239" i="18" s="1"/>
  <c r="K241" i="18" s="1"/>
  <c r="O211" i="18"/>
  <c r="P211" i="18" s="1"/>
  <c r="E211" i="18" s="1"/>
  <c r="H211" i="18" s="1"/>
  <c r="J211" i="18" s="1"/>
  <c r="L212" i="18"/>
  <c r="K212" i="18"/>
  <c r="K240" i="18" l="1"/>
  <c r="AA184" i="18" s="1"/>
  <c r="AB184" i="18" s="1"/>
  <c r="O210" i="18"/>
  <c r="P210" i="18" s="1"/>
  <c r="E210" i="18" s="1"/>
  <c r="H210" i="18" s="1"/>
  <c r="J210" i="18" s="1"/>
  <c r="K211" i="18"/>
  <c r="L211" i="18"/>
  <c r="F99" i="36" l="1"/>
  <c r="AC184" i="18"/>
  <c r="AD184" i="18" s="1"/>
  <c r="D99" i="36" s="1"/>
  <c r="O209" i="18"/>
  <c r="P209" i="18" s="1"/>
  <c r="E209" i="18" s="1"/>
  <c r="H209" i="18" s="1"/>
  <c r="J209" i="18" s="1"/>
  <c r="L210" i="18"/>
  <c r="K210" i="18"/>
  <c r="O189" i="18" l="1"/>
  <c r="P189" i="18" s="1"/>
  <c r="E189" i="18" s="1"/>
  <c r="H189" i="18" s="1"/>
  <c r="J189" i="18" s="1"/>
  <c r="L209" i="18"/>
  <c r="L214" i="18" s="1"/>
  <c r="K209" i="18"/>
  <c r="K214" i="18" s="1"/>
  <c r="K215" i="18" s="1"/>
  <c r="K216" i="18" l="1"/>
  <c r="K217" i="18" s="1"/>
  <c r="K218" i="18" s="1"/>
  <c r="AA183" i="18" s="1"/>
  <c r="AB183" i="18" s="1"/>
  <c r="AC183" i="18" s="1"/>
  <c r="O188" i="18"/>
  <c r="P188" i="18" s="1"/>
  <c r="E188" i="18" s="1"/>
  <c r="H188" i="18" s="1"/>
  <c r="J188" i="18" s="1"/>
  <c r="L189" i="18"/>
  <c r="K189" i="18"/>
  <c r="K219" i="18" l="1"/>
  <c r="O187" i="18"/>
  <c r="P187" i="18" s="1"/>
  <c r="E187" i="18" s="1"/>
  <c r="H187" i="18" s="1"/>
  <c r="J187" i="18" s="1"/>
  <c r="K188" i="18"/>
  <c r="L188" i="18"/>
  <c r="AD183" i="18"/>
  <c r="D98" i="36" s="1"/>
  <c r="F98" i="36"/>
  <c r="O186" i="18" l="1"/>
  <c r="P186" i="18" s="1"/>
  <c r="E186" i="18" s="1"/>
  <c r="H186" i="18" s="1"/>
  <c r="J186" i="18" s="1"/>
  <c r="L187" i="18"/>
  <c r="K187" i="18"/>
  <c r="L186" i="18" l="1"/>
  <c r="L191" i="18" s="1"/>
  <c r="K186" i="18"/>
  <c r="K191" i="18" s="1"/>
  <c r="K192" i="18" s="1"/>
  <c r="K193" i="18" l="1"/>
  <c r="L194" i="18" s="1"/>
  <c r="K194" i="18" l="1"/>
  <c r="K196" i="18" s="1"/>
  <c r="K195" i="18" l="1"/>
  <c r="AA182" i="18" s="1"/>
  <c r="AB182" i="18" l="1"/>
  <c r="F97" i="36" l="1"/>
  <c r="AC182" i="18"/>
  <c r="AD182" i="18" s="1"/>
  <c r="D97" i="3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Rayhan</author>
  </authors>
  <commentList>
    <comment ref="W193" authorId="0" shapeId="0" xr:uid="{D710434F-816E-4FE1-99ED-03EA44CEDA8F}">
      <text>
        <r>
          <rPr>
            <b/>
            <sz val="9"/>
            <color indexed="81"/>
            <rFont val="Tahoma"/>
            <family val="2"/>
          </rPr>
          <t>Rayhan: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<sst xmlns="http://schemas.openxmlformats.org/spreadsheetml/2006/main" count="1974" uniqueCount="491">
  <si>
    <t>Nama Alat</t>
  </si>
  <si>
    <t>Merk / Type</t>
  </si>
  <si>
    <t>No Order</t>
  </si>
  <si>
    <t>:</t>
  </si>
  <si>
    <t>Temperatur Awal</t>
  </si>
  <si>
    <t>Kelembaban awal</t>
  </si>
  <si>
    <t>Temperatur Akhir</t>
  </si>
  <si>
    <t>Kelembaban Akhir</t>
  </si>
  <si>
    <t>Prosedur</t>
  </si>
  <si>
    <t>CSIRO 2010</t>
  </si>
  <si>
    <t>Kalibrator</t>
  </si>
  <si>
    <t>Tanggal Kalibrasi</t>
  </si>
  <si>
    <t>Class F1</t>
  </si>
  <si>
    <t>Class F2</t>
  </si>
  <si>
    <t>Class M1</t>
  </si>
  <si>
    <t>Class M2</t>
  </si>
  <si>
    <t>Class M3</t>
  </si>
  <si>
    <t>-</t>
  </si>
  <si>
    <t>I.</t>
  </si>
  <si>
    <t>Titik Ukur</t>
  </si>
  <si>
    <t xml:space="preserve">Beban </t>
  </si>
  <si>
    <t>Massa konvensional dari sertifikat</t>
  </si>
  <si>
    <t>Beban</t>
  </si>
  <si>
    <t xml:space="preserve"> Reading</t>
  </si>
  <si>
    <t xml:space="preserve">Means </t>
  </si>
  <si>
    <t>Difference</t>
  </si>
  <si>
    <t>Correction</t>
  </si>
  <si>
    <t>ri-zi</t>
  </si>
  <si>
    <t>Mi-(ri-zi)</t>
  </si>
  <si>
    <t>(max )</t>
  </si>
  <si>
    <t>g</t>
  </si>
  <si>
    <t>mg</t>
  </si>
  <si>
    <t>Nominal</t>
  </si>
  <si>
    <t>U</t>
  </si>
  <si>
    <t>II.</t>
  </si>
  <si>
    <t>REPEATABILITY MEASUREMENT</t>
  </si>
  <si>
    <t>Sres</t>
  </si>
  <si>
    <t>Repeat at</t>
  </si>
  <si>
    <t>No</t>
  </si>
  <si>
    <t>Pan Load</t>
  </si>
  <si>
    <t>Mass Reading</t>
  </si>
  <si>
    <t xml:space="preserve">Measurement </t>
  </si>
  <si>
    <t>M</t>
  </si>
  <si>
    <t>STD. DEVIATION</t>
  </si>
  <si>
    <t>Si</t>
  </si>
  <si>
    <t>III.</t>
  </si>
  <si>
    <t>CORRECTION TO BALANCE READING</t>
  </si>
  <si>
    <t>Reading</t>
  </si>
  <si>
    <t>Means</t>
  </si>
  <si>
    <t>difference</t>
  </si>
  <si>
    <t>correction</t>
  </si>
  <si>
    <t>EFFECT OF CENTER LOADING</t>
  </si>
  <si>
    <t xml:space="preserve">Nominal Mass : </t>
  </si>
  <si>
    <t>Position</t>
  </si>
  <si>
    <t>0/C</t>
  </si>
  <si>
    <t>1/F</t>
  </si>
  <si>
    <t>2/B</t>
  </si>
  <si>
    <t>3/L</t>
  </si>
  <si>
    <t>4/R</t>
  </si>
  <si>
    <t>Back</t>
  </si>
  <si>
    <t>Left</t>
  </si>
  <si>
    <t>Center</t>
  </si>
  <si>
    <t>Right</t>
  </si>
  <si>
    <t xml:space="preserve">maximum </t>
  </si>
  <si>
    <t>Minimum</t>
  </si>
  <si>
    <t>Front</t>
  </si>
  <si>
    <t>Max difference</t>
  </si>
  <si>
    <t>V</t>
  </si>
  <si>
    <t>Load</t>
  </si>
  <si>
    <t>Pembacaan 1</t>
  </si>
  <si>
    <t>Pembacaan 2</t>
  </si>
  <si>
    <t>Hysterisis</t>
  </si>
  <si>
    <t>p1,p3</t>
  </si>
  <si>
    <t>q1,q3</t>
  </si>
  <si>
    <t>q2,q4</t>
  </si>
  <si>
    <t>p2,p4</t>
  </si>
  <si>
    <t>LIMIT OF PERFORMANCE</t>
  </si>
  <si>
    <t>LOP</t>
  </si>
  <si>
    <t>S</t>
  </si>
  <si>
    <t>Cmax</t>
  </si>
  <si>
    <t>kg</t>
  </si>
  <si>
    <t>ADJUSTMENT</t>
  </si>
  <si>
    <t>PRE-ADJUSTMENT</t>
  </si>
  <si>
    <t>S res</t>
  </si>
  <si>
    <t>Uw</t>
  </si>
  <si>
    <t>Komponen</t>
  </si>
  <si>
    <t>Satuan</t>
  </si>
  <si>
    <t>Distribusi</t>
  </si>
  <si>
    <t>ki</t>
  </si>
  <si>
    <t>vi</t>
  </si>
  <si>
    <t>ui</t>
  </si>
  <si>
    <t>ci</t>
  </si>
  <si>
    <t>uici</t>
  </si>
  <si>
    <r>
      <rPr>
        <b/>
        <sz val="10"/>
        <rFont val="Times New Roman"/>
        <family val="1"/>
      </rPr>
      <t>(uici)</t>
    </r>
    <r>
      <rPr>
        <b/>
        <vertAlign val="superscript"/>
        <sz val="10"/>
        <rFont val="Times New Roman"/>
        <family val="1"/>
      </rPr>
      <t>2</t>
    </r>
  </si>
  <si>
    <r>
      <rPr>
        <b/>
        <sz val="10"/>
        <rFont val="Times New Roman"/>
        <family val="1"/>
      </rPr>
      <t>(uici)</t>
    </r>
    <r>
      <rPr>
        <b/>
        <vertAlign val="superscript"/>
        <sz val="10"/>
        <rFont val="Times New Roman"/>
        <family val="1"/>
      </rPr>
      <t>4</t>
    </r>
    <r>
      <rPr>
        <b/>
        <sz val="10"/>
        <rFont val="Times New Roman"/>
        <family val="1"/>
      </rPr>
      <t>/vi</t>
    </r>
  </si>
  <si>
    <t xml:space="preserve">Standar </t>
  </si>
  <si>
    <t>Normal</t>
  </si>
  <si>
    <t>Repeatability</t>
  </si>
  <si>
    <t>t-student</t>
  </si>
  <si>
    <t>Instability</t>
  </si>
  <si>
    <t>Rect</t>
  </si>
  <si>
    <t>Rounding</t>
  </si>
  <si>
    <t>Sums</t>
  </si>
  <si>
    <t>Ketidakpastian baku gabungan, uc, mgr</t>
  </si>
  <si>
    <t>Dearajat kebebasan efektif, veff</t>
  </si>
  <si>
    <t>Faktor cakupan, k-student for veff and CL 95%</t>
  </si>
  <si>
    <t>Ketidakpastian bentangan, U = kuc, mgr</t>
  </si>
  <si>
    <t>Atau ketidakpastian bentangan, U = kuc, gr</t>
  </si>
  <si>
    <t>UNCERTAINTY BUDGET SEBAGAI PENDUKUNG KLAIM CMC</t>
  </si>
  <si>
    <t>MPE ( g )</t>
  </si>
  <si>
    <t>KAN ( mg )</t>
  </si>
  <si>
    <t>titik ukur 1</t>
  </si>
  <si>
    <t>titik ukur 2</t>
  </si>
  <si>
    <t>titik ukur 3</t>
  </si>
  <si>
    <t>titik ukur 4</t>
  </si>
  <si>
    <t>titik ukur 5</t>
  </si>
  <si>
    <t>titik ukur 6</t>
  </si>
  <si>
    <t>titik ukur 7</t>
  </si>
  <si>
    <t>titik ukur 8</t>
  </si>
  <si>
    <t>titik ukur 9</t>
  </si>
  <si>
    <t>resolusi</t>
  </si>
  <si>
    <t xml:space="preserve"> </t>
  </si>
  <si>
    <t>Temperatur rata rata</t>
  </si>
  <si>
    <t>Kelembaban Rata rata</t>
  </si>
  <si>
    <t xml:space="preserve">Tekanan Awal </t>
  </si>
  <si>
    <t>Tekanan Akhir</t>
  </si>
  <si>
    <t>Tekanan Rata Rata</t>
  </si>
  <si>
    <t xml:space="preserve">Titik  Ukur                     </t>
  </si>
  <si>
    <t xml:space="preserve">Massa Konvensional  </t>
  </si>
  <si>
    <t>Pembacaan</t>
  </si>
  <si>
    <t>Rata Rata</t>
  </si>
  <si>
    <t>((m1-z1)+(m2-z2))/2</t>
  </si>
  <si>
    <t xml:space="preserve">Koreksi </t>
  </si>
  <si>
    <t>( c ) = M-rata rata</t>
  </si>
  <si>
    <t>1. PREADJUSTMENT / SEBELUM PENYETELAN TIMBANGAN</t>
  </si>
  <si>
    <t>2. PENYETELAN TIMBANGAN</t>
  </si>
  <si>
    <t>Posisi</t>
  </si>
  <si>
    <t>Maksimum Perbedaan</t>
  </si>
  <si>
    <t xml:space="preserve">Perbedaan terhadap posisi 0 </t>
  </si>
  <si>
    <t>( g )</t>
  </si>
  <si>
    <t xml:space="preserve">Massa nominal ( 1 Batu timbangan) = antara 1/3 s.d ½  Kapasitas Maks = </t>
  </si>
  <si>
    <t>zi</t>
  </si>
  <si>
    <t>mi</t>
  </si>
  <si>
    <t>(mi - zi)</t>
  </si>
  <si>
    <t>(g )</t>
  </si>
  <si>
    <t>Histerisis</t>
  </si>
  <si>
    <t>( m )</t>
  </si>
  <si>
    <t>q1 , q3</t>
  </si>
  <si>
    <t>( m + m* - m* )</t>
  </si>
  <si>
    <t>q2 , q4</t>
  </si>
  <si>
    <t>((m + m*) – m*)</t>
  </si>
  <si>
    <t xml:space="preserve">Massa  Nominal ( m ) = ½  Kapasitas  Maks </t>
  </si>
  <si>
    <t>m* = Penambahan hingga kapasitas maksimum</t>
  </si>
  <si>
    <t xml:space="preserve">KALIBRASI NERACA / TIMBANGAN
LABORATORIUM KALIBRASI BALAI BESAR LOGAM DAN MESIN
Jl. Sangkuriang No.12 Bandung 40135 , Tlp 022-2503171 fax :0222508979
</t>
  </si>
  <si>
    <t>Kapasitas / Graduasi</t>
  </si>
  <si>
    <t>No Identitas / No Seri</t>
  </si>
  <si>
    <t>Standard Acuan</t>
  </si>
  <si>
    <t>Kondisi Ruangan</t>
  </si>
  <si>
    <t>Tgl Masuk</t>
  </si>
  <si>
    <t>Tgl Kalibrasi</t>
  </si>
  <si>
    <t>Awal</t>
  </si>
  <si>
    <t xml:space="preserve">Akhir             </t>
  </si>
  <si>
    <t>Temperatur ( C )</t>
  </si>
  <si>
    <t>Kelembaban (%)</t>
  </si>
  <si>
    <t>Tekanan (mmHg)</t>
  </si>
  <si>
    <t>3. DAYA ULANG PEMBACAAN ( REPEATABILITY)</t>
  </si>
  <si>
    <t>5. EFEK PEMBEBANAN TIDAK TERPUSAT</t>
  </si>
  <si>
    <r>
      <t>6.</t>
    </r>
    <r>
      <rPr>
        <sz val="7"/>
        <rFont val="Times New Roman"/>
        <family val="1"/>
      </rPr>
      <t xml:space="preserve">      </t>
    </r>
    <r>
      <rPr>
        <sz val="12"/>
        <rFont val="Calibri"/>
        <family val="2"/>
      </rPr>
      <t>HISTERISIS</t>
    </r>
  </si>
  <si>
    <t>Catatan:</t>
  </si>
  <si>
    <t>Dikalibrasi</t>
  </si>
  <si>
    <t>Diperiksa</t>
  </si>
  <si>
    <t>Disetujui</t>
  </si>
  <si>
    <t xml:space="preserve">Kapasitas </t>
  </si>
  <si>
    <t>titik ukur 10</t>
  </si>
  <si>
    <t>C</t>
  </si>
  <si>
    <t>Nama</t>
  </si>
  <si>
    <t>Darwin</t>
  </si>
  <si>
    <t>titik ukur 11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</si>
  <si>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</si>
  <si>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</si>
  <si>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</si>
  <si>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</si>
  <si>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</si>
  <si>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</si>
  <si>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</si>
  <si>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</si>
  <si>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</si>
  <si>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</si>
  <si>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</si>
  <si>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</si>
  <si>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</si>
  <si>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</si>
  <si>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</si>
  <si>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</si>
  <si>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20LZ1</t>
  </si>
  <si>
    <t>10LZ1</t>
  </si>
  <si>
    <t>Wira</t>
  </si>
  <si>
    <t>5A</t>
  </si>
  <si>
    <t>10A</t>
  </si>
  <si>
    <t>A</t>
  </si>
  <si>
    <t>B</t>
  </si>
  <si>
    <t>D</t>
  </si>
  <si>
    <t>E</t>
  </si>
  <si>
    <t>F</t>
  </si>
  <si>
    <t>G</t>
  </si>
  <si>
    <t>H</t>
  </si>
  <si>
    <t>I</t>
  </si>
  <si>
    <t>stdev</t>
  </si>
  <si>
    <t>CSIRO 2010 , OIML R111</t>
  </si>
  <si>
    <t>2. Ketidakpastian penimbangan = ketidakpastian koreksi</t>
  </si>
  <si>
    <t xml:space="preserve">Beban : ( kg )                         </t>
  </si>
  <si>
    <t>( kg )</t>
  </si>
  <si>
    <t>60 kg / 0,005 kg</t>
  </si>
  <si>
    <t>Massa Standard F1 NS : YCS – 01 – 653 - 00 dan M1 20 kg</t>
  </si>
  <si>
    <t>30 kg</t>
  </si>
  <si>
    <t xml:space="preserve"> ( kg )</t>
  </si>
  <si>
    <t>3. Tidak dilakukan penyetelan / adjust</t>
  </si>
  <si>
    <t>1. Alat Ini dikalibrasi dengan massa standard anak timbangan E2 dan F1 yang tertelusur ke SI melalui LK-001-IDN  dan LK-022-IDN</t>
  </si>
  <si>
    <t>Repeatability Pengukuran (kg) :</t>
  </si>
  <si>
    <t>Perbedaan Maksimum antar pengukuran secara berurutan (kg)</t>
  </si>
  <si>
    <t>Repeatability Pengukuran (kg):</t>
  </si>
  <si>
    <t>S E R T I F I K A T    K A L I B R A S I</t>
  </si>
  <si>
    <t>C A L I B R A T I O N    C E R T I F I C A T E</t>
  </si>
  <si>
    <t>INSTRUMENT DETAILS</t>
  </si>
  <si>
    <t>IDENTITAS ALAT</t>
  </si>
  <si>
    <r>
      <t>Instrument Name</t>
    </r>
    <r>
      <rPr>
        <sz val="11"/>
        <color rgb="FF000000"/>
        <rFont val="Bookman Old Style"/>
        <family val="1"/>
      </rPr>
      <t xml:space="preserve"> </t>
    </r>
  </si>
  <si>
    <r>
      <t>Merek</t>
    </r>
    <r>
      <rPr>
        <i/>
        <sz val="8"/>
        <color rgb="FF000000"/>
        <rFont val="Bookman Old Style"/>
        <family val="1"/>
      </rPr>
      <t xml:space="preserve"> </t>
    </r>
  </si>
  <si>
    <t>Brand</t>
  </si>
  <si>
    <t>Tipe</t>
  </si>
  <si>
    <t xml:space="preserve">Type </t>
  </si>
  <si>
    <t>Nomor Identifikasi</t>
  </si>
  <si>
    <t>Identification Number</t>
  </si>
  <si>
    <t xml:space="preserve">Nomor Seri </t>
  </si>
  <si>
    <t>Serial Number</t>
  </si>
  <si>
    <t>Lain-lain</t>
  </si>
  <si>
    <t>Others</t>
  </si>
  <si>
    <t>IDENTITAS PEMILIK</t>
  </si>
  <si>
    <t>Owner’s Identification</t>
  </si>
  <si>
    <r>
      <t>Nama</t>
    </r>
    <r>
      <rPr>
        <i/>
        <sz val="8"/>
        <color rgb="FF000000"/>
        <rFont val="Bookman Old Style"/>
        <family val="1"/>
      </rPr>
      <t xml:space="preserve"> </t>
    </r>
  </si>
  <si>
    <t>Designation</t>
  </si>
  <si>
    <r>
      <t>Alamat</t>
    </r>
    <r>
      <rPr>
        <i/>
        <sz val="8"/>
        <color rgb="FF000000"/>
        <rFont val="Bookman Old Style"/>
        <family val="1"/>
      </rPr>
      <t xml:space="preserve"> </t>
    </r>
  </si>
  <si>
    <t>Address</t>
  </si>
  <si>
    <t>Page          of            page</t>
  </si>
  <si>
    <t>Date of Issue</t>
  </si>
  <si>
    <t>Nomor</t>
  </si>
  <si>
    <t>No. Order</t>
  </si>
  <si>
    <t>Halaman</t>
  </si>
  <si>
    <t>SPESIFIKASI ALAT</t>
  </si>
  <si>
    <t>Merk / Tipe</t>
  </si>
  <si>
    <t xml:space="preserve">No. Identifikasi </t>
  </si>
  <si>
    <t>No. Seri</t>
  </si>
  <si>
    <t>Kecermatan</t>
  </si>
  <si>
    <t>Prosedur Kalibrasi</t>
  </si>
  <si>
    <t>Kondisi ruang</t>
  </si>
  <si>
    <t>Tanggal Terima</t>
  </si>
  <si>
    <t>Temperatur</t>
  </si>
  <si>
    <t>Kelembaban relatif</t>
  </si>
  <si>
    <t>Lokasi Alat</t>
  </si>
  <si>
    <t>Tekanan</t>
  </si>
  <si>
    <t>: CSIRO 2010</t>
  </si>
  <si>
    <t>Cek sebelum penyetelan</t>
  </si>
  <si>
    <t>Penyetelan</t>
  </si>
  <si>
    <t xml:space="preserve">: Koreksi Pembacaan Timbangan dilakukan pada beban </t>
  </si>
  <si>
    <t>HASIL KALIBRASI</t>
  </si>
  <si>
    <t>1. Daya Ulang Pengukuran (Repeatibility of Measurement)</t>
  </si>
  <si>
    <t>Daya Ulang Pengukuran</t>
  </si>
  <si>
    <t xml:space="preserve">Perbedaan Maksimum antar Pengukuran Berurutan </t>
  </si>
  <si>
    <t xml:space="preserve">Nilai Nominal </t>
  </si>
  <si>
    <t>di posisi tengah ditampilkan dalam tabel berikut ini</t>
  </si>
  <si>
    <t>Perbedaan Maksimum</t>
  </si>
  <si>
    <t>: 3 dari 3</t>
  </si>
  <si>
    <t>: 2 dari 3</t>
  </si>
  <si>
    <t>Halaman 1 dari 3 halaman</t>
  </si>
  <si>
    <r>
      <t>3.</t>
    </r>
    <r>
      <rPr>
        <b/>
        <sz val="11"/>
        <rFont val="Times New Roman"/>
        <family val="1"/>
      </rPr>
      <t xml:space="preserve"> </t>
    </r>
    <r>
      <rPr>
        <b/>
        <sz val="11"/>
        <rFont val="Bookman Old Style"/>
        <family val="1"/>
      </rPr>
      <t>Efek Pembebanan Tidak Terpusat</t>
    </r>
    <r>
      <rPr>
        <sz val="11"/>
        <rFont val="Bookman Old Style"/>
        <family val="1"/>
      </rPr>
      <t xml:space="preserve"> </t>
    </r>
  </si>
  <si>
    <t>2. Koreksi Terhadap Pembacaan</t>
  </si>
  <si>
    <t>No.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</si>
  <si>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</si>
  <si>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</si>
  <si>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</si>
  <si>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</si>
  <si>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</si>
  <si>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</si>
  <si>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</si>
  <si>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</si>
  <si>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</si>
  <si>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Koreksi</t>
  </si>
  <si>
    <t>Nilai Nominal</t>
  </si>
  <si>
    <t xml:space="preserve">Catatan   : </t>
  </si>
  <si>
    <t>-  Ketidakpastian penimbangan = Ketidakpastian Koreksi.</t>
  </si>
  <si>
    <r>
      <t>Class E</t>
    </r>
    <r>
      <rPr>
        <b/>
        <sz val="11"/>
        <color rgb="FF0070C0"/>
        <rFont val="Calibri"/>
        <family val="2"/>
      </rPr>
      <t>1</t>
    </r>
  </si>
  <si>
    <r>
      <t>Class E</t>
    </r>
    <r>
      <rPr>
        <b/>
        <sz val="9"/>
        <rFont val="Arial"/>
        <family val="2"/>
      </rPr>
      <t>2</t>
    </r>
  </si>
  <si>
    <t>MPE OIML R111-1</t>
  </si>
  <si>
    <t>Nominal 
(g)</t>
  </si>
  <si>
    <t>Massa konvensional 
(g)</t>
  </si>
  <si>
    <t>U95 
(mg)</t>
  </si>
  <si>
    <t>IV.</t>
  </si>
  <si>
    <t>V.</t>
  </si>
  <si>
    <t>Merk</t>
  </si>
  <si>
    <t>(g)</t>
  </si>
  <si>
    <t>Massa Konvensi
(g)</t>
  </si>
  <si>
    <t>HISTERESIS</t>
  </si>
  <si>
    <t>titik ukur 12</t>
  </si>
  <si>
    <t>titik ukur 13</t>
  </si>
  <si>
    <t>titik ukur 14</t>
  </si>
  <si>
    <t>titik ukur 15</t>
  </si>
  <si>
    <t>titik ukur 16</t>
  </si>
  <si>
    <t>4. Histerisis</t>
  </si>
  <si>
    <t>10.</t>
  </si>
  <si>
    <r>
      <t>Suhu (</t>
    </r>
    <r>
      <rPr>
        <sz val="10"/>
        <color rgb="FF000000"/>
        <rFont val="Calibri"/>
        <family val="2"/>
      </rPr>
      <t>°</t>
    </r>
    <r>
      <rPr>
        <sz val="8.5"/>
        <color rgb="FF000000"/>
        <rFont val="Calibri"/>
        <family val="2"/>
      </rPr>
      <t>C)</t>
    </r>
  </si>
  <si>
    <t>%RH</t>
  </si>
  <si>
    <t>Akhir</t>
  </si>
  <si>
    <t>Rata2</t>
  </si>
  <si>
    <t>Terkoreksi</t>
  </si>
  <si>
    <t>U95</t>
  </si>
  <si>
    <t>Fluktuasi suhu</t>
  </si>
  <si>
    <t>Flu+U95</t>
  </si>
  <si>
    <t>Kondisi Ruang</t>
  </si>
  <si>
    <t>Koreksi suhu</t>
  </si>
  <si>
    <t xml:space="preserve">Koreksi RH </t>
  </si>
  <si>
    <t>T (°C)</t>
  </si>
  <si>
    <t xml:space="preserve">Koreksi  </t>
  </si>
  <si>
    <t>RH (%)</t>
  </si>
  <si>
    <t>Thermohygro Rotronic data 2025</t>
  </si>
  <si>
    <t>Reading  (g)</t>
  </si>
  <si>
    <t>Different (g)</t>
  </si>
  <si>
    <t>Max Difference (g)</t>
  </si>
  <si>
    <t>Instrument reading 
(hPa)</t>
  </si>
  <si>
    <t>Actual pressure 
(hPa)</t>
  </si>
  <si>
    <t>Uncertainty 
(hPa)</t>
  </si>
  <si>
    <t>Data tekanan 2021 SNSU</t>
  </si>
  <si>
    <t>mmHg</t>
  </si>
  <si>
    <t xml:space="preserve">hPa </t>
  </si>
  <si>
    <t>Smax</t>
  </si>
  <si>
    <t>Umax</t>
  </si>
  <si>
    <t xml:space="preserve">AT Standar </t>
  </si>
  <si>
    <t xml:space="preserve">Coeficient Sensitivity </t>
  </si>
  <si>
    <t xml:space="preserve">Pembagi </t>
  </si>
  <si>
    <t>Ketidakpastian</t>
  </si>
  <si>
    <t>S repeat 1/2 kapasitas</t>
  </si>
  <si>
    <t>Neraca / Timbangan</t>
  </si>
  <si>
    <t xml:space="preserve">kanan (4). Beban ditempatkan sedekat mungkin dibagian sisi tanpa melintas ujung pan. </t>
  </si>
  <si>
    <t>YCS-01-653-00</t>
  </si>
  <si>
    <t xml:space="preserve">Kecermatan </t>
  </si>
  <si>
    <t>Thermohygro Beurer data 2025</t>
  </si>
  <si>
    <t>Perbedaan Terhadap 
Posisi 0</t>
  </si>
  <si>
    <t xml:space="preserve">: Timbangan dilakukan penyetelan sebelum dilakukan </t>
  </si>
  <si>
    <t>KAN ( g )</t>
  </si>
  <si>
    <t xml:space="preserve">  kalibrasi sesuai dengan prosedur manufaktur.</t>
  </si>
  <si>
    <t>F1</t>
  </si>
  <si>
    <t xml:space="preserve">Kalibrator </t>
  </si>
  <si>
    <t xml:space="preserve">Merek </t>
  </si>
  <si>
    <t xml:space="preserve">E2 </t>
  </si>
  <si>
    <t>Kern Germany</t>
  </si>
  <si>
    <t>G982106</t>
  </si>
  <si>
    <t xml:space="preserve">F1 </t>
  </si>
  <si>
    <t>YCS</t>
  </si>
  <si>
    <t xml:space="preserve">E2 METTLER TOLEDO </t>
  </si>
  <si>
    <t>Mettler Toledo</t>
  </si>
  <si>
    <t>E2</t>
  </si>
  <si>
    <t xml:space="preserve">M1 </t>
  </si>
  <si>
    <t>200t</t>
  </si>
  <si>
    <t>20t</t>
  </si>
  <si>
    <t>2t</t>
  </si>
  <si>
    <t>0,2t</t>
  </si>
  <si>
    <t>Nominal (g)</t>
  </si>
  <si>
    <t>AT</t>
  </si>
  <si>
    <t>AT1</t>
  </si>
  <si>
    <t>AT2</t>
  </si>
  <si>
    <t>AT3</t>
  </si>
  <si>
    <t>AT4</t>
  </si>
  <si>
    <t>AT5</t>
  </si>
  <si>
    <t>AT6</t>
  </si>
  <si>
    <t>AT7</t>
  </si>
  <si>
    <t>AT8</t>
  </si>
  <si>
    <t>AT9</t>
  </si>
  <si>
    <t>AT10</t>
  </si>
  <si>
    <t xml:space="preserve">Titik Ukur </t>
  </si>
  <si>
    <t>10 Titik</t>
  </si>
  <si>
    <t>2000t</t>
  </si>
  <si>
    <t>DIPAKAI JIKA MENGGUNAKAN M1</t>
  </si>
  <si>
    <t xml:space="preserve">Data seleksi Titik Ukur </t>
  </si>
  <si>
    <t>Data seleksi adjustment</t>
  </si>
  <si>
    <t xml:space="preserve">Nomor </t>
  </si>
  <si>
    <t>Range C.L</t>
  </si>
  <si>
    <t>Sepertiga</t>
  </si>
  <si>
    <t>Setengah</t>
  </si>
  <si>
    <t>Ketua Tim Pengujian, Inspeksi dan Kalibrasi</t>
  </si>
  <si>
    <t>Mahaputra</t>
  </si>
  <si>
    <t>NIP. 197907232003121004</t>
  </si>
  <si>
    <t>DIPAKAI JIKA MENGGUNAKAN M1 (Kapasitas Maks)</t>
  </si>
  <si>
    <t xml:space="preserve">Mode Titik Ukur </t>
  </si>
  <si>
    <t xml:space="preserve">Form Kalibrasi </t>
  </si>
  <si>
    <t xml:space="preserve">Nomor Order </t>
  </si>
  <si>
    <t>Pemilik Alat</t>
  </si>
  <si>
    <t>Alamat Pemilik Alat</t>
  </si>
  <si>
    <t>Nama  Alat</t>
  </si>
  <si>
    <t xml:space="preserve">Merk </t>
  </si>
  <si>
    <t>Nomor Seri</t>
  </si>
  <si>
    <t>Kapasitas</t>
  </si>
  <si>
    <t xml:space="preserve">Nomor Serifikat </t>
  </si>
  <si>
    <t xml:space="preserve">Tanggal Terbit Sertifikat </t>
  </si>
  <si>
    <t>Catatan 1</t>
  </si>
  <si>
    <t>Catatan 2</t>
  </si>
  <si>
    <t xml:space="preserve">Input QR Code </t>
  </si>
  <si>
    <t xml:space="preserve">CETAK SERTIFIKAT </t>
  </si>
  <si>
    <t>Nominal Value (g)</t>
  </si>
  <si>
    <t>PENGERJAAN UNTUK F1 DAN E2 DAHULUKAN NON BINTANG, LALU BINTANG</t>
  </si>
  <si>
    <t xml:space="preserve">Transpose </t>
  </si>
  <si>
    <t>AT 1</t>
  </si>
  <si>
    <t>AT 2</t>
  </si>
  <si>
    <t>AT 3</t>
  </si>
  <si>
    <t>AT 4</t>
  </si>
  <si>
    <t>AT 5</t>
  </si>
  <si>
    <t>AT 6</t>
  </si>
  <si>
    <t>AT 7</t>
  </si>
  <si>
    <t>AT 8</t>
  </si>
  <si>
    <t>AT 9</t>
  </si>
  <si>
    <t>AT 10</t>
  </si>
  <si>
    <t>Range 1 (g)</t>
  </si>
  <si>
    <t>Range 2 (g)</t>
  </si>
  <si>
    <t>CMC (mg)</t>
  </si>
  <si>
    <t>TABEL CMC KAN</t>
  </si>
  <si>
    <t>Universitas Katolik Parahyangan</t>
  </si>
  <si>
    <t>Timbangan</t>
  </si>
  <si>
    <t>Jl. Ciumbuleuit No.94, Hegarmanah, Kec. Cidadap, Kota Bandung, Jawa Barat 40141</t>
  </si>
  <si>
    <t xml:space="preserve">BACKEND </t>
  </si>
  <si>
    <t xml:space="preserve">Resolusi </t>
  </si>
  <si>
    <t xml:space="preserve">Nomor Identitas </t>
  </si>
  <si>
    <t>No Seri Kalibrator</t>
  </si>
  <si>
    <t xml:space="preserve">ISI DATA </t>
  </si>
  <si>
    <t xml:space="preserve">   yang tertelusur ke SI LK-001-IDN.</t>
  </si>
  <si>
    <t>custom</t>
  </si>
  <si>
    <t>Database Possibility</t>
  </si>
  <si>
    <t>-------------&gt; Realisasi Posibility</t>
  </si>
  <si>
    <t>AT 11</t>
  </si>
  <si>
    <t>AT 12</t>
  </si>
  <si>
    <t>12 Februari 2026</t>
  </si>
  <si>
    <t>18 Februari 2026</t>
  </si>
  <si>
    <t>NO</t>
  </si>
  <si>
    <t xml:space="preserve">KOREKSI </t>
  </si>
  <si>
    <t>Laboratorium Geoteknik - Universitas Katolik Parahyangan</t>
  </si>
  <si>
    <t xml:space="preserve">Satuan Pembacaan </t>
  </si>
  <si>
    <t>Digit</t>
  </si>
  <si>
    <t xml:space="preserve">Penyesuaian Resolusi </t>
  </si>
  <si>
    <t>Jenis</t>
  </si>
  <si>
    <t>Koreksi  adjust</t>
  </si>
  <si>
    <t>U95 2 angka penting</t>
  </si>
  <si>
    <t>--------------------------------&gt; Tabel Rekap</t>
  </si>
  <si>
    <t>CL1</t>
  </si>
  <si>
    <t>CL2</t>
  </si>
  <si>
    <t>CL0</t>
  </si>
  <si>
    <t>CL3</t>
  </si>
  <si>
    <t>CL4</t>
  </si>
  <si>
    <t>RCL1</t>
  </si>
  <si>
    <t>RCL2</t>
  </si>
  <si>
    <t>RCL3</t>
  </si>
  <si>
    <t>RCL4</t>
  </si>
  <si>
    <t>CLMaks</t>
  </si>
  <si>
    <r>
      <t>Ketidakpastian U</t>
    </r>
    <r>
      <rPr>
        <b/>
        <vertAlign val="subscript"/>
        <sz val="11"/>
        <rFont val="Bookman Old Style"/>
        <family val="1"/>
      </rPr>
      <t>95</t>
    </r>
    <r>
      <rPr>
        <b/>
        <sz val="11"/>
        <rFont val="Bookman Old Style"/>
        <family val="1"/>
      </rPr>
      <t>% (k=2)</t>
    </r>
  </si>
  <si>
    <t xml:space="preserve">Nilai </t>
  </si>
  <si>
    <t>DU Repeat 1/2</t>
  </si>
  <si>
    <t>DU Repeat Full</t>
  </si>
  <si>
    <t>Rekap Repeat</t>
  </si>
  <si>
    <t>2 Angka Penting</t>
  </si>
  <si>
    <t>Nilai</t>
  </si>
  <si>
    <t>Num after "," U95</t>
  </si>
  <si>
    <t>Koreksi Penyesuaian</t>
  </si>
  <si>
    <r>
      <t xml:space="preserve">Warna </t>
    </r>
    <r>
      <rPr>
        <b/>
        <sz val="11"/>
        <color theme="5"/>
        <rFont val="Calibri"/>
        <family val="2"/>
      </rPr>
      <t>orange</t>
    </r>
    <r>
      <rPr>
        <b/>
        <sz val="11"/>
        <rFont val="Calibri"/>
        <family val="2"/>
      </rPr>
      <t xml:space="preserve"> yang diinput di sertifikat </t>
    </r>
  </si>
  <si>
    <t xml:space="preserve">Mettler Toledo </t>
  </si>
  <si>
    <t>Read CL0</t>
  </si>
  <si>
    <t>Kapasitas (g)</t>
  </si>
  <si>
    <t xml:space="preserve">Nominal </t>
  </si>
  <si>
    <t>Nominal Penyesuaian</t>
  </si>
  <si>
    <t>TABEL REKAP TITIK UKUR</t>
  </si>
  <si>
    <t>11.</t>
  </si>
  <si>
    <t>12.</t>
  </si>
  <si>
    <t>Nilai Diff</t>
  </si>
  <si>
    <t>0,002t</t>
  </si>
  <si>
    <t>0,02t</t>
  </si>
  <si>
    <t>K085-9</t>
  </si>
  <si>
    <t>PL2003</t>
  </si>
  <si>
    <t>3000 g</t>
  </si>
  <si>
    <t>0,001 g</t>
  </si>
  <si>
    <t>0021-2.2/KALIBRASI BBLM/III/2026</t>
  </si>
  <si>
    <t>1 Maret 2026</t>
  </si>
  <si>
    <t>tabel rekap harus 16</t>
  </si>
  <si>
    <t>harus sampai 16</t>
  </si>
  <si>
    <t>AT 13</t>
  </si>
  <si>
    <t>AT 14</t>
  </si>
  <si>
    <t>AT 15</t>
  </si>
  <si>
    <t>AT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</si>
</sst>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0"/>
    <numFmt numFmtId="165" formatCode="0.000000"/>
    <numFmt numFmtId="166" formatCode="0.000"/>
    <numFmt numFmtId="167" formatCode="0.00000"/>
    <numFmt numFmtId="168" formatCode="0.000_ "/>
    <numFmt numFmtId="169" formatCode="0.0"/>
    <numFmt numFmtId="170" formatCode="#,##0.00000"/>
    <numFmt numFmtId="171" formatCode="0.00000000"/>
    <numFmt numFmtId="172" formatCode="#,##0.000000"/>
  </numFmts>
  <fonts count="73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70C0"/>
      <name val="Calibri"/>
      <family val="2"/>
    </font>
    <font>
      <sz val="11"/>
      <color rgb="FF0070C0"/>
      <name val="Calibri"/>
      <family val="2"/>
    </font>
    <font>
      <sz val="11"/>
      <color rgb="FF0070C0"/>
      <name val="Calibri"/>
      <family val="2"/>
    </font>
    <font>
      <b/>
      <sz val="10"/>
      <name val="Times New Roman"/>
      <family val="1"/>
    </font>
    <font>
      <sz val="11"/>
      <name val="Calibri"/>
      <family val="2"/>
    </font>
    <font>
      <sz val="10"/>
      <name val="Times New Roman"/>
      <family val="1"/>
    </font>
    <font>
      <sz val="11"/>
      <name val="Calibri"/>
      <family val="2"/>
    </font>
    <font>
      <sz val="11"/>
      <name val="Calibri"/>
      <family val="2"/>
    </font>
    <font>
      <b/>
      <vertAlign val="superscript"/>
      <sz val="10"/>
      <name val="Times New Roman"/>
      <family val="1"/>
    </font>
    <font>
      <sz val="11"/>
      <name val="Calibri"/>
      <family val="2"/>
    </font>
    <font>
      <sz val="12"/>
      <name val="Calibri"/>
      <family val="2"/>
    </font>
    <font>
      <sz val="7"/>
      <name val="Times New Roman"/>
      <family val="1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</font>
    <font>
      <sz val="9"/>
      <color rgb="FF000000"/>
      <name val="Calibri"/>
      <family val="2"/>
    </font>
    <font>
      <b/>
      <sz val="11"/>
      <name val="Calibri"/>
      <family val="2"/>
    </font>
    <font>
      <sz val="11"/>
      <name val="Calibri Light"/>
      <family val="2"/>
      <scheme val="major"/>
    </font>
    <font>
      <b/>
      <sz val="18"/>
      <color rgb="FF000000"/>
      <name val="Bookman Old Style"/>
      <family val="1"/>
    </font>
    <font>
      <b/>
      <i/>
      <sz val="14"/>
      <color rgb="FF000000"/>
      <name val="Bookman Old Style"/>
      <family val="1"/>
    </font>
    <font>
      <sz val="11"/>
      <color rgb="FF000000"/>
      <name val="Bookman Old Style"/>
      <family val="1"/>
    </font>
    <font>
      <b/>
      <u/>
      <sz val="11"/>
      <color rgb="FF000000"/>
      <name val="Bookman Old Style"/>
      <family val="1"/>
    </font>
    <font>
      <b/>
      <i/>
      <sz val="8"/>
      <name val="Bookman Old Style"/>
      <family val="1"/>
    </font>
    <font>
      <b/>
      <sz val="11"/>
      <color rgb="FF000000"/>
      <name val="Bookman Old Style"/>
      <family val="1"/>
    </font>
    <font>
      <sz val="11"/>
      <name val="Bookman Old Style"/>
      <family val="1"/>
    </font>
    <font>
      <b/>
      <sz val="11"/>
      <name val="Bookman Old Style"/>
      <family val="1"/>
    </font>
    <font>
      <b/>
      <u/>
      <sz val="11"/>
      <name val="Bookman Old Style"/>
      <family val="1"/>
    </font>
    <font>
      <i/>
      <sz val="8"/>
      <color rgb="FF000000"/>
      <name val="Bookman Old Style"/>
      <family val="1"/>
    </font>
    <font>
      <b/>
      <i/>
      <sz val="8"/>
      <color rgb="FF000000"/>
      <name val="Bookman Old Style"/>
      <family val="1"/>
    </font>
    <font>
      <sz val="12"/>
      <name val="Times New Roman"/>
      <family val="1"/>
    </font>
    <font>
      <sz val="10"/>
      <color rgb="FF000000"/>
      <name val="Bookman Old Style"/>
      <family val="1"/>
    </font>
    <font>
      <b/>
      <sz val="11"/>
      <name val="Times New Roman"/>
      <family val="1"/>
    </font>
    <font>
      <b/>
      <vertAlign val="subscript"/>
      <sz val="11"/>
      <name val="Bookman Old Style"/>
      <family val="1"/>
    </font>
    <font>
      <b/>
      <sz val="10"/>
      <name val="Arial"/>
      <family val="2"/>
    </font>
    <font>
      <b/>
      <sz val="11"/>
      <color rgb="FF0070C0"/>
      <name val="Calibri"/>
      <family val="2"/>
    </font>
    <font>
      <b/>
      <sz val="9"/>
      <name val="Arial"/>
      <family val="2"/>
    </font>
    <font>
      <b/>
      <u/>
      <sz val="11"/>
      <name val="Calibri"/>
      <family val="2"/>
    </font>
    <font>
      <sz val="10"/>
      <color rgb="FF000000"/>
      <name val="Calibri"/>
      <family val="2"/>
      <scheme val="minor"/>
    </font>
    <font>
      <sz val="8.5"/>
      <color rgb="FF000000"/>
      <name val="Calibri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i/>
      <sz val="11"/>
      <color theme="1"/>
      <name val="Calibri"/>
      <family val="2"/>
      <scheme val="minor"/>
    </font>
    <font>
      <b/>
      <i/>
      <u/>
      <sz val="10"/>
      <color rgb="FF000000"/>
      <name val="Calibri"/>
      <family val="2"/>
      <scheme val="minor"/>
    </font>
    <font>
      <b/>
      <i/>
      <u/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Arial Black"/>
      <family val="2"/>
    </font>
    <font>
      <b/>
      <sz val="12"/>
      <name val="Calibri"/>
      <family val="2"/>
    </font>
    <font>
      <b/>
      <sz val="16"/>
      <color theme="1"/>
      <name val="Aptos Narrow"/>
      <family val="2"/>
    </font>
    <font>
      <sz val="11"/>
      <color theme="1"/>
      <name val="Aptos Narrow"/>
      <family val="2"/>
    </font>
    <font>
      <sz val="8"/>
      <name val="Calibri"/>
      <family val="2"/>
    </font>
    <font>
      <b/>
      <sz val="16"/>
      <name val="Calibri"/>
      <family val="2"/>
    </font>
    <font>
      <b/>
      <sz val="11"/>
      <color theme="5"/>
      <name val="Calibri"/>
      <family val="2"/>
    </font>
    <font>
      <u/>
      <sz val="11"/>
      <color theme="1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7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8">
    <xf numFmtId="0" fontId="0" fillId="0" borderId="0">
      <alignment vertical="center"/>
    </xf>
    <xf numFmtId="0" fontId="14" fillId="0" borderId="0">
      <protection locked="0"/>
    </xf>
    <xf numFmtId="0" fontId="12" fillId="0" borderId="0">
      <alignment vertical="center"/>
    </xf>
    <xf numFmtId="0" fontId="10" fillId="0" borderId="0"/>
    <xf numFmtId="0" fontId="14" fillId="0" borderId="0"/>
    <xf numFmtId="0" fontId="9" fillId="0" borderId="0"/>
    <xf numFmtId="0" fontId="5" fillId="0" borderId="0"/>
    <xf numFmtId="0" fontId="70" fillId="0" borderId="0" applyNumberFormat="0" applyFill="0" applyBorder="0" applyAlignment="0" applyProtection="0">
      <alignment vertical="center"/>
    </xf>
  </cellStyleXfs>
  <cellXfs count="443">
    <xf numFmtId="0" fontId="0" fillId="0" borderId="0" xfId="0">
      <alignment vertical="center"/>
    </xf>
    <xf numFmtId="0" fontId="11" fillId="0" borderId="0" xfId="0" applyFont="1" applyAlignment="1"/>
    <xf numFmtId="0" fontId="13" fillId="0" borderId="0" xfId="0" applyFont="1" applyAlignment="1"/>
    <xf numFmtId="0" fontId="11" fillId="3" borderId="0" xfId="0" applyFont="1" applyFill="1" applyAlignment="1"/>
    <xf numFmtId="0" fontId="11" fillId="0" borderId="1" xfId="0" applyFont="1" applyBorder="1" applyAlignment="1"/>
    <xf numFmtId="0" fontId="19" fillId="0" borderId="0" xfId="0" applyFont="1" applyAlignment="1"/>
    <xf numFmtId="0" fontId="11" fillId="0" borderId="1" xfId="0" applyFont="1" applyBorder="1" applyAlignment="1">
      <alignment horizontal="center"/>
    </xf>
    <xf numFmtId="3" fontId="11" fillId="0" borderId="1" xfId="0" applyNumberFormat="1" applyFont="1" applyBorder="1" applyAlignment="1">
      <alignment horizontal="center"/>
    </xf>
    <xf numFmtId="0" fontId="22" fillId="0" borderId="0" xfId="0" applyFont="1" applyAlignment="1"/>
    <xf numFmtId="0" fontId="22" fillId="0" borderId="0" xfId="0" applyFont="1" applyAlignment="1">
      <alignment horizontal="center"/>
    </xf>
    <xf numFmtId="0" fontId="20" fillId="5" borderId="1" xfId="0" applyFont="1" applyFill="1" applyBorder="1" applyAlignment="1">
      <alignment horizontal="center"/>
    </xf>
    <xf numFmtId="0" fontId="20" fillId="5" borderId="19" xfId="0" applyFont="1" applyFill="1" applyBorder="1" applyAlignment="1">
      <alignment horizontal="center"/>
    </xf>
    <xf numFmtId="0" fontId="20" fillId="5" borderId="2" xfId="0" applyFont="1" applyFill="1" applyBorder="1" applyAlignment="1">
      <alignment horizontal="center"/>
    </xf>
    <xf numFmtId="0" fontId="22" fillId="0" borderId="21" xfId="0" applyFont="1" applyBorder="1" applyAlignment="1"/>
    <xf numFmtId="0" fontId="22" fillId="0" borderId="21" xfId="0" applyFont="1" applyBorder="1" applyAlignment="1">
      <alignment horizontal="center"/>
    </xf>
    <xf numFmtId="165" fontId="22" fillId="0" borderId="21" xfId="0" applyNumberFormat="1" applyFont="1" applyBorder="1" applyAlignment="1">
      <alignment horizontal="center"/>
    </xf>
    <xf numFmtId="0" fontId="22" fillId="0" borderId="22" xfId="0" applyFont="1" applyBorder="1" applyAlignment="1"/>
    <xf numFmtId="0" fontId="22" fillId="0" borderId="22" xfId="0" applyFont="1" applyBorder="1" applyAlignment="1">
      <alignment horizontal="center"/>
    </xf>
    <xf numFmtId="165" fontId="22" fillId="0" borderId="22" xfId="0" applyNumberFormat="1" applyFont="1" applyBorder="1" applyAlignment="1">
      <alignment horizontal="center"/>
    </xf>
    <xf numFmtId="0" fontId="22" fillId="0" borderId="23" xfId="0" applyFont="1" applyBorder="1" applyAlignment="1"/>
    <xf numFmtId="0" fontId="22" fillId="0" borderId="23" xfId="0" applyFont="1" applyBorder="1" applyAlignment="1">
      <alignment horizontal="center"/>
    </xf>
    <xf numFmtId="165" fontId="22" fillId="0" borderId="23" xfId="0" applyNumberFormat="1" applyFont="1" applyBorder="1" applyAlignment="1">
      <alignment horizontal="center"/>
    </xf>
    <xf numFmtId="0" fontId="22" fillId="0" borderId="24" xfId="0" applyFont="1" applyBorder="1" applyAlignment="1"/>
    <xf numFmtId="0" fontId="22" fillId="0" borderId="25" xfId="0" applyFont="1" applyBorder="1" applyAlignment="1"/>
    <xf numFmtId="0" fontId="22" fillId="0" borderId="25" xfId="0" applyFont="1" applyBorder="1" applyAlignment="1">
      <alignment horizontal="center"/>
    </xf>
    <xf numFmtId="0" fontId="22" fillId="0" borderId="26" xfId="0" applyFont="1" applyBorder="1" applyAlignment="1"/>
    <xf numFmtId="0" fontId="22" fillId="0" borderId="26" xfId="0" applyFont="1" applyBorder="1" applyAlignment="1">
      <alignment horizontal="center"/>
    </xf>
    <xf numFmtId="0" fontId="22" fillId="0" borderId="27" xfId="0" applyFont="1" applyBorder="1" applyAlignment="1"/>
    <xf numFmtId="0" fontId="22" fillId="0" borderId="28" xfId="0" applyFont="1" applyBorder="1" applyAlignment="1"/>
    <xf numFmtId="0" fontId="22" fillId="0" borderId="28" xfId="0" applyFont="1" applyBorder="1" applyAlignment="1">
      <alignment horizontal="center"/>
    </xf>
    <xf numFmtId="0" fontId="22" fillId="0" borderId="29" xfId="0" applyFont="1" applyBorder="1" applyAlignment="1"/>
    <xf numFmtId="0" fontId="22" fillId="0" borderId="29" xfId="0" applyFont="1" applyBorder="1" applyAlignment="1">
      <alignment horizontal="center"/>
    </xf>
    <xf numFmtId="1" fontId="22" fillId="0" borderId="22" xfId="0" applyNumberFormat="1" applyFont="1" applyBorder="1" applyAlignment="1">
      <alignment horizontal="center"/>
    </xf>
    <xf numFmtId="2" fontId="22" fillId="0" borderId="22" xfId="0" applyNumberFormat="1" applyFont="1" applyBorder="1" applyAlignment="1">
      <alignment horizontal="center"/>
    </xf>
    <xf numFmtId="0" fontId="22" fillId="0" borderId="30" xfId="0" applyFont="1" applyBorder="1" applyAlignment="1"/>
    <xf numFmtId="0" fontId="22" fillId="0" borderId="31" xfId="0" applyFont="1" applyBorder="1" applyAlignment="1"/>
    <xf numFmtId="0" fontId="22" fillId="0" borderId="31" xfId="0" applyFont="1" applyBorder="1" applyAlignment="1">
      <alignment horizontal="center"/>
    </xf>
    <xf numFmtId="0" fontId="22" fillId="0" borderId="32" xfId="0" applyFont="1" applyBorder="1" applyAlignment="1"/>
    <xf numFmtId="0" fontId="22" fillId="0" borderId="32" xfId="0" applyFont="1" applyBorder="1" applyAlignment="1">
      <alignment horizontal="center"/>
    </xf>
    <xf numFmtId="0" fontId="22" fillId="0" borderId="9" xfId="0" applyFont="1" applyBorder="1" applyAlignment="1"/>
    <xf numFmtId="1" fontId="22" fillId="0" borderId="23" xfId="0" applyNumberFormat="1" applyFont="1" applyBorder="1" applyAlignment="1">
      <alignment horizontal="center"/>
    </xf>
    <xf numFmtId="167" fontId="22" fillId="0" borderId="23" xfId="0" applyNumberFormat="1" applyFont="1" applyBorder="1" applyAlignment="1">
      <alignment horizontal="center"/>
    </xf>
    <xf numFmtId="167" fontId="22" fillId="0" borderId="0" xfId="0" applyNumberFormat="1" applyFont="1" applyAlignment="1">
      <alignment horizontal="center"/>
    </xf>
    <xf numFmtId="0" fontId="12" fillId="0" borderId="0" xfId="0" applyFont="1">
      <alignment vertical="center"/>
    </xf>
    <xf numFmtId="167" fontId="11" fillId="0" borderId="1" xfId="0" applyNumberFormat="1" applyFont="1" applyBorder="1" applyAlignment="1"/>
    <xf numFmtId="164" fontId="16" fillId="0" borderId="2" xfId="0" applyNumberFormat="1" applyFont="1" applyBorder="1" applyAlignment="1"/>
    <xf numFmtId="166" fontId="21" fillId="0" borderId="0" xfId="0" applyNumberFormat="1" applyFont="1">
      <alignment vertical="center"/>
    </xf>
    <xf numFmtId="164" fontId="23" fillId="4" borderId="0" xfId="0" applyNumberFormat="1" applyFont="1" applyFill="1" applyAlignment="1"/>
    <xf numFmtId="166" fontId="22" fillId="0" borderId="22" xfId="0" applyNumberFormat="1" applyFont="1" applyBorder="1" applyAlignment="1">
      <alignment horizontal="center"/>
    </xf>
    <xf numFmtId="168" fontId="12" fillId="0" borderId="0" xfId="0" applyNumberFormat="1" applyFont="1">
      <alignment vertical="center"/>
    </xf>
    <xf numFmtId="0" fontId="11" fillId="0" borderId="17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26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6" fillId="0" borderId="2" xfId="0" applyFont="1" applyBorder="1">
      <alignment vertical="center"/>
    </xf>
    <xf numFmtId="0" fontId="26" fillId="0" borderId="2" xfId="0" applyFont="1" applyBorder="1" applyAlignment="1">
      <alignment horizontal="justify" vertical="center"/>
    </xf>
    <xf numFmtId="0" fontId="26" fillId="0" borderId="3" xfId="0" applyFont="1" applyBorder="1">
      <alignment vertical="center"/>
    </xf>
    <xf numFmtId="0" fontId="0" fillId="0" borderId="4" xfId="0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165" fontId="11" fillId="0" borderId="3" xfId="0" applyNumberFormat="1" applyFont="1" applyBorder="1" applyAlignment="1">
      <alignment horizontal="center" vertical="center"/>
    </xf>
    <xf numFmtId="165" fontId="11" fillId="0" borderId="4" xfId="0" applyNumberFormat="1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0" borderId="3" xfId="0" applyBorder="1">
      <alignment vertical="center"/>
    </xf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5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27" fillId="0" borderId="0" xfId="0" applyFont="1">
      <alignment vertical="center"/>
    </xf>
    <xf numFmtId="0" fontId="27" fillId="0" borderId="0" xfId="0" applyFont="1" applyAlignment="1">
      <alignment horizontal="justify" vertical="center"/>
    </xf>
    <xf numFmtId="0" fontId="26" fillId="0" borderId="7" xfId="0" applyFont="1" applyBorder="1" applyAlignment="1">
      <alignment horizontal="justify" vertical="center"/>
    </xf>
    <xf numFmtId="0" fontId="26" fillId="0" borderId="8" xfId="0" applyFont="1" applyBorder="1">
      <alignment vertical="center"/>
    </xf>
    <xf numFmtId="0" fontId="26" fillId="0" borderId="11" xfId="0" applyFont="1" applyBorder="1">
      <alignment vertical="center"/>
    </xf>
    <xf numFmtId="0" fontId="26" fillId="0" borderId="6" xfId="0" applyFont="1" applyBorder="1">
      <alignment vertical="center"/>
    </xf>
    <xf numFmtId="0" fontId="26" fillId="0" borderId="7" xfId="0" applyFont="1" applyBorder="1">
      <alignment vertical="center"/>
    </xf>
    <xf numFmtId="0" fontId="27" fillId="0" borderId="9" xfId="0" applyFont="1" applyBorder="1">
      <alignment vertical="center"/>
    </xf>
    <xf numFmtId="0" fontId="26" fillId="0" borderId="9" xfId="0" applyFont="1" applyBorder="1">
      <alignment vertical="center"/>
    </xf>
    <xf numFmtId="0" fontId="26" fillId="0" borderId="10" xfId="0" applyFont="1" applyBorder="1">
      <alignment vertical="center"/>
    </xf>
    <xf numFmtId="0" fontId="26" fillId="0" borderId="1" xfId="0" applyFont="1" applyBorder="1">
      <alignment vertical="center"/>
    </xf>
    <xf numFmtId="0" fontId="26" fillId="0" borderId="1" xfId="0" applyFont="1" applyBorder="1" applyAlignment="1">
      <alignment horizontal="left" vertical="center"/>
    </xf>
    <xf numFmtId="0" fontId="26" fillId="0" borderId="19" xfId="0" applyFont="1" applyBorder="1">
      <alignment vertical="center"/>
    </xf>
    <xf numFmtId="0" fontId="26" fillId="0" borderId="33" xfId="0" applyFont="1" applyBorder="1">
      <alignment vertical="center"/>
    </xf>
    <xf numFmtId="0" fontId="26" fillId="0" borderId="33" xfId="0" applyFont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20" xfId="0" applyBorder="1">
      <alignment vertical="center"/>
    </xf>
    <xf numFmtId="0" fontId="26" fillId="0" borderId="19" xfId="0" applyFont="1" applyBorder="1" applyAlignment="1">
      <alignment horizontal="right" vertical="center"/>
    </xf>
    <xf numFmtId="0" fontId="0" fillId="0" borderId="19" xfId="0" applyBorder="1">
      <alignment vertical="center"/>
    </xf>
    <xf numFmtId="167" fontId="0" fillId="0" borderId="0" xfId="0" applyNumberFormat="1">
      <alignment vertical="center"/>
    </xf>
    <xf numFmtId="165" fontId="0" fillId="0" borderId="0" xfId="0" applyNumberFormat="1">
      <alignment vertical="center"/>
    </xf>
    <xf numFmtId="164" fontId="0" fillId="0" borderId="0" xfId="0" applyNumberFormat="1">
      <alignment vertical="center"/>
    </xf>
    <xf numFmtId="0" fontId="26" fillId="0" borderId="33" xfId="0" applyFont="1" applyBorder="1" applyAlignment="1">
      <alignment horizontal="left" vertical="center"/>
    </xf>
    <xf numFmtId="169" fontId="0" fillId="0" borderId="1" xfId="0" applyNumberFormat="1" applyBorder="1">
      <alignment vertical="center"/>
    </xf>
    <xf numFmtId="169" fontId="27" fillId="0" borderId="1" xfId="0" applyNumberFormat="1" applyFont="1" applyBorder="1" applyAlignment="1">
      <alignment horizontal="right" vertical="center"/>
    </xf>
    <xf numFmtId="2" fontId="0" fillId="0" borderId="3" xfId="0" applyNumberFormat="1" applyBorder="1">
      <alignment vertical="center"/>
    </xf>
    <xf numFmtId="0" fontId="0" fillId="0" borderId="33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2" fontId="11" fillId="0" borderId="1" xfId="0" applyNumberFormat="1" applyFont="1" applyBorder="1" applyAlignment="1"/>
    <xf numFmtId="2" fontId="16" fillId="0" borderId="18" xfId="0" applyNumberFormat="1" applyFont="1" applyBorder="1" applyAlignment="1"/>
    <xf numFmtId="2" fontId="16" fillId="0" borderId="3" xfId="0" applyNumberFormat="1" applyFont="1" applyBorder="1" applyAlignment="1"/>
    <xf numFmtId="2" fontId="16" fillId="0" borderId="4" xfId="0" applyNumberFormat="1" applyFont="1" applyBorder="1" applyAlignment="1"/>
    <xf numFmtId="2" fontId="16" fillId="0" borderId="2" xfId="0" applyNumberFormat="1" applyFont="1" applyBorder="1" applyAlignment="1"/>
    <xf numFmtId="166" fontId="22" fillId="0" borderId="23" xfId="0" applyNumberFormat="1" applyFont="1" applyBorder="1" applyAlignment="1">
      <alignment horizontal="center"/>
    </xf>
    <xf numFmtId="0" fontId="12" fillId="0" borderId="33" xfId="0" applyFont="1" applyBorder="1" applyAlignment="1">
      <alignment horizontal="left" vertical="center"/>
    </xf>
    <xf numFmtId="0" fontId="12" fillId="0" borderId="4" xfId="0" applyFont="1" applyBorder="1" applyAlignment="1">
      <alignment horizontal="center" vertical="center"/>
    </xf>
    <xf numFmtId="164" fontId="11" fillId="0" borderId="2" xfId="0" applyNumberFormat="1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15" fontId="0" fillId="0" borderId="33" xfId="0" applyNumberFormat="1" applyBorder="1">
      <alignment vertical="center"/>
    </xf>
    <xf numFmtId="0" fontId="10" fillId="0" borderId="1" xfId="3" applyBorder="1" applyAlignment="1">
      <alignment horizontal="right"/>
    </xf>
    <xf numFmtId="2" fontId="0" fillId="0" borderId="1" xfId="0" applyNumberFormat="1" applyBorder="1">
      <alignment vertical="center"/>
    </xf>
    <xf numFmtId="2" fontId="27" fillId="0" borderId="1" xfId="0" applyNumberFormat="1" applyFont="1" applyBorder="1" applyAlignment="1">
      <alignment horizontal="right" vertical="center"/>
    </xf>
    <xf numFmtId="166" fontId="18" fillId="0" borderId="1" xfId="0" applyNumberFormat="1" applyFont="1" applyBorder="1" applyAlignment="1"/>
    <xf numFmtId="169" fontId="27" fillId="0" borderId="1" xfId="0" applyNumberFormat="1" applyFont="1" applyBorder="1">
      <alignment vertical="center"/>
    </xf>
    <xf numFmtId="167" fontId="0" fillId="0" borderId="0" xfId="0" applyNumberFormat="1" applyAlignment="1">
      <alignment horizontal="left" vertical="center"/>
    </xf>
    <xf numFmtId="0" fontId="0" fillId="0" borderId="1" xfId="0" applyBorder="1">
      <alignment vertical="center"/>
    </xf>
    <xf numFmtId="166" fontId="0" fillId="0" borderId="1" xfId="0" applyNumberFormat="1" applyBorder="1">
      <alignment vertical="center"/>
    </xf>
    <xf numFmtId="164" fontId="12" fillId="0" borderId="0" xfId="0" applyNumberFormat="1" applyFont="1" applyAlignment="1"/>
    <xf numFmtId="164" fontId="23" fillId="0" borderId="0" xfId="0" applyNumberFormat="1" applyFont="1" applyAlignment="1"/>
    <xf numFmtId="0" fontId="12" fillId="0" borderId="1" xfId="0" applyFont="1" applyBorder="1">
      <alignment vertical="center"/>
    </xf>
    <xf numFmtId="165" fontId="11" fillId="0" borderId="1" xfId="0" applyNumberFormat="1" applyFont="1" applyBorder="1" applyAlignment="1"/>
    <xf numFmtId="0" fontId="0" fillId="6" borderId="0" xfId="0" applyFill="1">
      <alignment vertical="center"/>
    </xf>
    <xf numFmtId="2" fontId="0" fillId="0" borderId="0" xfId="0" applyNumberFormat="1">
      <alignment vertical="center"/>
    </xf>
    <xf numFmtId="0" fontId="12" fillId="0" borderId="9" xfId="0" applyFont="1" applyBorder="1">
      <alignment vertical="center"/>
    </xf>
    <xf numFmtId="0" fontId="12" fillId="0" borderId="11" xfId="0" applyFont="1" applyBorder="1">
      <alignment vertical="center"/>
    </xf>
    <xf numFmtId="0" fontId="0" fillId="0" borderId="19" xfId="0" applyBorder="1" applyAlignment="1">
      <alignment horizontal="center" vertical="center"/>
    </xf>
    <xf numFmtId="0" fontId="30" fillId="0" borderId="5" xfId="0" applyFont="1" applyBorder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10" fillId="0" borderId="20" xfId="3" applyBorder="1" applyAlignment="1">
      <alignment horizontal="right"/>
    </xf>
    <xf numFmtId="165" fontId="10" fillId="0" borderId="20" xfId="3" applyNumberFormat="1" applyBorder="1" applyAlignment="1">
      <alignment horizontal="right"/>
    </xf>
    <xf numFmtId="0" fontId="10" fillId="0" borderId="1" xfId="3" applyBorder="1"/>
    <xf numFmtId="0" fontId="32" fillId="0" borderId="0" xfId="0" applyFont="1">
      <alignment vertical="center"/>
    </xf>
    <xf numFmtId="0" fontId="12" fillId="0" borderId="0" xfId="0" applyFont="1" applyAlignment="1">
      <alignment horizontal="right" vertical="center"/>
    </xf>
    <xf numFmtId="167" fontId="11" fillId="0" borderId="0" xfId="0" applyNumberFormat="1" applyFont="1" applyAlignment="1"/>
    <xf numFmtId="164" fontId="11" fillId="0" borderId="1" xfId="0" applyNumberFormat="1" applyFont="1" applyBorder="1" applyAlignment="1">
      <alignment horizontal="center" vertical="center"/>
    </xf>
    <xf numFmtId="167" fontId="21" fillId="0" borderId="0" xfId="0" applyNumberFormat="1" applyFont="1">
      <alignment vertical="center"/>
    </xf>
    <xf numFmtId="164" fontId="0" fillId="0" borderId="5" xfId="0" applyNumberFormat="1" applyBorder="1">
      <alignment vertical="center"/>
    </xf>
    <xf numFmtId="15" fontId="12" fillId="0" borderId="33" xfId="0" applyNumberFormat="1" applyFont="1" applyBorder="1" applyAlignment="1">
      <alignment horizontal="left" vertical="center"/>
    </xf>
    <xf numFmtId="167" fontId="16" fillId="0" borderId="18" xfId="0" applyNumberFormat="1" applyFont="1" applyBorder="1" applyAlignment="1"/>
    <xf numFmtId="167" fontId="16" fillId="0" borderId="3" xfId="0" applyNumberFormat="1" applyFont="1" applyBorder="1" applyAlignment="1"/>
    <xf numFmtId="167" fontId="16" fillId="0" borderId="4" xfId="0" applyNumberFormat="1" applyFont="1" applyBorder="1" applyAlignment="1"/>
    <xf numFmtId="167" fontId="16" fillId="0" borderId="2" xfId="0" applyNumberFormat="1" applyFont="1" applyBorder="1" applyAlignment="1"/>
    <xf numFmtId="170" fontId="10" fillId="0" borderId="20" xfId="3" applyNumberFormat="1" applyBorder="1" applyAlignment="1">
      <alignment horizontal="right"/>
    </xf>
    <xf numFmtId="170" fontId="29" fillId="0" borderId="0" xfId="3" applyNumberFormat="1" applyFont="1"/>
    <xf numFmtId="0" fontId="0" fillId="0" borderId="0" xfId="0" applyAlignment="1">
      <alignment horizontal="center" vertical="center"/>
    </xf>
    <xf numFmtId="166" fontId="10" fillId="0" borderId="1" xfId="3" applyNumberFormat="1" applyBorder="1" applyAlignment="1">
      <alignment horizontal="right"/>
    </xf>
    <xf numFmtId="167" fontId="10" fillId="0" borderId="1" xfId="3" applyNumberFormat="1" applyBorder="1" applyAlignment="1">
      <alignment horizontal="right"/>
    </xf>
    <xf numFmtId="167" fontId="29" fillId="0" borderId="1" xfId="3" applyNumberFormat="1" applyFont="1" applyBorder="1"/>
    <xf numFmtId="2" fontId="0" fillId="0" borderId="2" xfId="0" applyNumberFormat="1" applyBorder="1">
      <alignment vertical="center"/>
    </xf>
    <xf numFmtId="2" fontId="0" fillId="0" borderId="4" xfId="0" applyNumberFormat="1" applyBorder="1">
      <alignment vertical="center"/>
    </xf>
    <xf numFmtId="2" fontId="0" fillId="0" borderId="3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right" vertical="center"/>
    </xf>
    <xf numFmtId="0" fontId="0" fillId="0" borderId="0" xfId="0" applyAlignment="1">
      <alignment vertical="center" wrapText="1"/>
    </xf>
    <xf numFmtId="166" fontId="16" fillId="0" borderId="18" xfId="0" applyNumberFormat="1" applyFont="1" applyBorder="1" applyAlignment="1"/>
    <xf numFmtId="166" fontId="16" fillId="0" borderId="3" xfId="0" applyNumberFormat="1" applyFont="1" applyBorder="1" applyAlignment="1"/>
    <xf numFmtId="166" fontId="16" fillId="0" borderId="4" xfId="0" applyNumberFormat="1" applyFont="1" applyBorder="1" applyAlignment="1"/>
    <xf numFmtId="166" fontId="16" fillId="0" borderId="2" xfId="0" applyNumberFormat="1" applyFont="1" applyBorder="1" applyAlignment="1"/>
    <xf numFmtId="166" fontId="0" fillId="0" borderId="3" xfId="0" applyNumberFormat="1" applyBorder="1">
      <alignment vertical="center"/>
    </xf>
    <xf numFmtId="0" fontId="32" fillId="0" borderId="9" xfId="0" applyFont="1" applyBorder="1">
      <alignment vertical="center"/>
    </xf>
    <xf numFmtId="166" fontId="0" fillId="0" borderId="2" xfId="0" applyNumberFormat="1" applyBorder="1">
      <alignment vertical="center"/>
    </xf>
    <xf numFmtId="166" fontId="0" fillId="0" borderId="4" xfId="0" applyNumberFormat="1" applyBorder="1">
      <alignment vertical="center"/>
    </xf>
    <xf numFmtId="166" fontId="0" fillId="0" borderId="12" xfId="0" applyNumberFormat="1" applyBorder="1">
      <alignment vertical="center"/>
    </xf>
    <xf numFmtId="166" fontId="0" fillId="0" borderId="5" xfId="0" applyNumberFormat="1" applyBorder="1">
      <alignment vertical="center"/>
    </xf>
    <xf numFmtId="0" fontId="36" fillId="0" borderId="0" xfId="0" applyFont="1">
      <alignment vertical="center"/>
    </xf>
    <xf numFmtId="0" fontId="36" fillId="0" borderId="0" xfId="0" applyFont="1" applyAlignment="1">
      <alignment horizontal="center" vertical="center"/>
    </xf>
    <xf numFmtId="0" fontId="38" fillId="0" borderId="0" xfId="0" applyFont="1">
      <alignment vertical="center"/>
    </xf>
    <xf numFmtId="0" fontId="42" fillId="0" borderId="0" xfId="0" applyFont="1">
      <alignment vertical="center"/>
    </xf>
    <xf numFmtId="0" fontId="43" fillId="0" borderId="0" xfId="0" applyFont="1" applyAlignment="1">
      <alignment horizontal="justify" vertical="center"/>
    </xf>
    <xf numFmtId="0" fontId="36" fillId="0" borderId="0" xfId="0" applyFont="1" applyAlignment="1">
      <alignment horizontal="justify" vertical="center"/>
    </xf>
    <xf numFmtId="0" fontId="43" fillId="0" borderId="0" xfId="0" applyFont="1">
      <alignment vertical="center"/>
    </xf>
    <xf numFmtId="0" fontId="11" fillId="0" borderId="0" xfId="0" applyFont="1">
      <alignment vertical="center"/>
    </xf>
    <xf numFmtId="0" fontId="45" fillId="0" borderId="0" xfId="0" applyFont="1">
      <alignment vertical="center"/>
    </xf>
    <xf numFmtId="0" fontId="44" fillId="0" borderId="0" xfId="0" applyFont="1">
      <alignment vertical="center"/>
    </xf>
    <xf numFmtId="0" fontId="37" fillId="0" borderId="0" xfId="0" applyFont="1">
      <alignment vertical="center"/>
    </xf>
    <xf numFmtId="0" fontId="39" fillId="0" borderId="0" xfId="0" applyFont="1">
      <alignment vertical="center"/>
    </xf>
    <xf numFmtId="0" fontId="4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0" fillId="0" borderId="0" xfId="0" applyFont="1">
      <alignment vertical="center"/>
    </xf>
    <xf numFmtId="15" fontId="46" fillId="0" borderId="0" xfId="0" applyNumberFormat="1" applyFont="1">
      <alignment vertical="center"/>
    </xf>
    <xf numFmtId="0" fontId="37" fillId="0" borderId="0" xfId="0" applyFont="1" applyAlignment="1">
      <alignment horizontal="left" vertical="center"/>
    </xf>
    <xf numFmtId="0" fontId="41" fillId="0" borderId="0" xfId="0" applyFont="1">
      <alignment vertical="center"/>
    </xf>
    <xf numFmtId="0" fontId="14" fillId="0" borderId="1" xfId="1" applyBorder="1" applyAlignment="1" applyProtection="1">
      <alignment horizontal="center"/>
    </xf>
    <xf numFmtId="0" fontId="49" fillId="7" borderId="1" xfId="1" applyFont="1" applyFill="1" applyBorder="1" applyAlignment="1" applyProtection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52" fillId="0" borderId="0" xfId="0" applyFont="1">
      <alignment vertical="center"/>
    </xf>
    <xf numFmtId="0" fontId="40" fillId="0" borderId="0" xfId="0" applyFont="1" applyAlignment="1">
      <alignment horizontal="center" vertical="center" wrapText="1"/>
    </xf>
    <xf numFmtId="169" fontId="40" fillId="0" borderId="0" xfId="0" applyNumberFormat="1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0" fillId="0" borderId="1" xfId="0" applyBorder="1" applyAlignment="1"/>
    <xf numFmtId="0" fontId="53" fillId="0" borderId="1" xfId="0" applyFont="1" applyBorder="1" applyAlignment="1"/>
    <xf numFmtId="0" fontId="55" fillId="0" borderId="1" xfId="0" applyFont="1" applyBorder="1" applyAlignment="1"/>
    <xf numFmtId="0" fontId="56" fillId="0" borderId="1" xfId="0" applyFont="1" applyBorder="1" applyAlignment="1"/>
    <xf numFmtId="1" fontId="56" fillId="0" borderId="1" xfId="0" applyNumberFormat="1" applyFont="1" applyBorder="1" applyAlignment="1"/>
    <xf numFmtId="169" fontId="56" fillId="0" borderId="1" xfId="0" applyNumberFormat="1" applyFont="1" applyBorder="1" applyAlignment="1"/>
    <xf numFmtId="0" fontId="57" fillId="7" borderId="1" xfId="0" applyFont="1" applyFill="1" applyBorder="1" applyAlignment="1"/>
    <xf numFmtId="0" fontId="58" fillId="0" borderId="0" xfId="0" applyFont="1" applyAlignment="1"/>
    <xf numFmtId="0" fontId="0" fillId="0" borderId="0" xfId="0" applyAlignment="1"/>
    <xf numFmtId="0" fontId="56" fillId="0" borderId="0" xfId="0" applyFont="1" applyAlignment="1"/>
    <xf numFmtId="0" fontId="53" fillId="0" borderId="0" xfId="0" applyFont="1" applyAlignment="1"/>
    <xf numFmtId="0" fontId="53" fillId="0" borderId="1" xfId="0" applyFont="1" applyBorder="1" applyAlignment="1">
      <alignment horizontal="center"/>
    </xf>
    <xf numFmtId="0" fontId="32" fillId="0" borderId="0" xfId="0" applyFont="1" applyAlignment="1">
      <alignment horizontal="center" vertical="center"/>
    </xf>
    <xf numFmtId="0" fontId="59" fillId="0" borderId="0" xfId="0" applyFont="1" applyAlignment="1"/>
    <xf numFmtId="0" fontId="55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1" fontId="0" fillId="0" borderId="1" xfId="0" applyNumberFormat="1" applyBorder="1">
      <alignment vertical="center"/>
    </xf>
    <xf numFmtId="166" fontId="11" fillId="0" borderId="1" xfId="0" applyNumberFormat="1" applyFont="1" applyBorder="1" applyAlignment="1"/>
    <xf numFmtId="0" fontId="40" fillId="0" borderId="1" xfId="0" applyFont="1" applyBorder="1" applyAlignment="1">
      <alignment horizontal="center" vertical="center"/>
    </xf>
    <xf numFmtId="171" fontId="22" fillId="0" borderId="23" xfId="0" applyNumberFormat="1" applyFont="1" applyBorder="1" applyAlignment="1">
      <alignment horizontal="center"/>
    </xf>
    <xf numFmtId="166" fontId="16" fillId="0" borderId="18" xfId="0" applyNumberFormat="1" applyFont="1" applyBorder="1" applyAlignment="1">
      <alignment horizontal="center" vertical="center"/>
    </xf>
    <xf numFmtId="166" fontId="16" fillId="0" borderId="3" xfId="0" applyNumberFormat="1" applyFont="1" applyBorder="1" applyAlignment="1">
      <alignment horizontal="center" vertical="center"/>
    </xf>
    <xf numFmtId="166" fontId="16" fillId="0" borderId="4" xfId="0" applyNumberFormat="1" applyFont="1" applyBorder="1" applyAlignment="1">
      <alignment horizontal="center" vertical="center"/>
    </xf>
    <xf numFmtId="166" fontId="16" fillId="0" borderId="2" xfId="0" applyNumberFormat="1" applyFont="1" applyBorder="1" applyAlignment="1">
      <alignment horizontal="center" vertical="center"/>
    </xf>
    <xf numFmtId="166" fontId="11" fillId="0" borderId="2" xfId="0" applyNumberFormat="1" applyFont="1" applyBorder="1" applyAlignment="1">
      <alignment horizontal="center" vertical="center"/>
    </xf>
    <xf numFmtId="166" fontId="11" fillId="0" borderId="3" xfId="0" applyNumberFormat="1" applyFont="1" applyBorder="1" applyAlignment="1">
      <alignment horizontal="center" vertical="center"/>
    </xf>
    <xf numFmtId="166" fontId="11" fillId="0" borderId="4" xfId="0" applyNumberFormat="1" applyFont="1" applyBorder="1" applyAlignment="1">
      <alignment horizontal="center" vertical="center"/>
    </xf>
    <xf numFmtId="0" fontId="41" fillId="0" borderId="4" xfId="0" applyFont="1" applyBorder="1" applyAlignment="1">
      <alignment horizontal="center" vertical="center"/>
    </xf>
    <xf numFmtId="0" fontId="36" fillId="3" borderId="1" xfId="0" applyFont="1" applyFill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41" fillId="0" borderId="2" xfId="0" applyFont="1" applyBorder="1" applyAlignment="1">
      <alignment horizontal="center" vertical="center"/>
    </xf>
    <xf numFmtId="0" fontId="45" fillId="0" borderId="0" xfId="0" applyFont="1" applyAlignment="1">
      <alignment horizontal="right" vertical="center"/>
    </xf>
    <xf numFmtId="0" fontId="55" fillId="0" borderId="0" xfId="0" applyFont="1" applyAlignment="1"/>
    <xf numFmtId="1" fontId="55" fillId="0" borderId="1" xfId="0" applyNumberFormat="1" applyFont="1" applyBorder="1" applyAlignment="1"/>
    <xf numFmtId="169" fontId="55" fillId="0" borderId="1" xfId="0" applyNumberFormat="1" applyFont="1" applyBorder="1" applyAlignment="1"/>
    <xf numFmtId="0" fontId="14" fillId="0" borderId="0" xfId="4"/>
    <xf numFmtId="0" fontId="14" fillId="0" borderId="0" xfId="4" applyAlignment="1">
      <alignment horizontal="center"/>
    </xf>
    <xf numFmtId="16" fontId="0" fillId="0" borderId="0" xfId="0" applyNumberFormat="1">
      <alignment vertical="center"/>
    </xf>
    <xf numFmtId="169" fontId="11" fillId="0" borderId="1" xfId="0" applyNumberFormat="1" applyFont="1" applyBorder="1" applyAlignment="1"/>
    <xf numFmtId="0" fontId="0" fillId="6" borderId="1" xfId="0" applyFill="1" applyBorder="1">
      <alignment vertical="center"/>
    </xf>
    <xf numFmtId="167" fontId="33" fillId="0" borderId="1" xfId="0" applyNumberFormat="1" applyFont="1" applyBorder="1">
      <alignment vertical="center"/>
    </xf>
    <xf numFmtId="0" fontId="8" fillId="0" borderId="1" xfId="3" applyFont="1" applyBorder="1" applyAlignment="1">
      <alignment horizontal="right"/>
    </xf>
    <xf numFmtId="166" fontId="12" fillId="0" borderId="0" xfId="0" applyNumberFormat="1" applyFont="1">
      <alignment vertical="center"/>
    </xf>
    <xf numFmtId="0" fontId="7" fillId="0" borderId="1" xfId="0" applyFont="1" applyBorder="1" applyAlignment="1"/>
    <xf numFmtId="0" fontId="7" fillId="0" borderId="1" xfId="0" applyFont="1" applyBorder="1">
      <alignment vertical="center"/>
    </xf>
    <xf numFmtId="0" fontId="12" fillId="2" borderId="1" xfId="0" applyFont="1" applyFill="1" applyBorder="1">
      <alignment vertical="center"/>
    </xf>
    <xf numFmtId="2" fontId="11" fillId="6" borderId="1" xfId="0" applyNumberFormat="1" applyFont="1" applyFill="1" applyBorder="1" applyAlignment="1"/>
    <xf numFmtId="166" fontId="11" fillId="6" borderId="1" xfId="0" applyNumberFormat="1" applyFont="1" applyFill="1" applyBorder="1" applyAlignment="1"/>
    <xf numFmtId="0" fontId="61" fillId="0" borderId="0" xfId="0" applyFont="1" applyAlignment="1"/>
    <xf numFmtId="0" fontId="62" fillId="0" borderId="0" xfId="0" applyFont="1" applyAlignment="1"/>
    <xf numFmtId="0" fontId="60" fillId="11" borderId="1" xfId="0" applyFont="1" applyFill="1" applyBorder="1" applyAlignment="1">
      <alignment horizontal="center" wrapText="1"/>
    </xf>
    <xf numFmtId="0" fontId="0" fillId="0" borderId="1" xfId="3" applyFont="1" applyBorder="1"/>
    <xf numFmtId="0" fontId="12" fillId="12" borderId="1" xfId="0" applyFont="1" applyFill="1" applyBorder="1" applyAlignment="1">
      <alignment horizontal="center" vertical="center" wrapText="1"/>
    </xf>
    <xf numFmtId="166" fontId="11" fillId="0" borderId="2" xfId="0" applyNumberFormat="1" applyFont="1" applyBorder="1" applyAlignment="1"/>
    <xf numFmtId="165" fontId="0" fillId="0" borderId="1" xfId="0" applyNumberFormat="1" applyBorder="1">
      <alignment vertical="center"/>
    </xf>
    <xf numFmtId="165" fontId="19" fillId="0" borderId="1" xfId="0" applyNumberFormat="1" applyFont="1" applyBorder="1" applyAlignment="1"/>
    <xf numFmtId="169" fontId="11" fillId="0" borderId="2" xfId="0" applyNumberFormat="1" applyFont="1" applyBorder="1" applyAlignment="1"/>
    <xf numFmtId="165" fontId="17" fillId="0" borderId="1" xfId="0" applyNumberFormat="1" applyFont="1" applyBorder="1" applyAlignment="1"/>
    <xf numFmtId="0" fontId="0" fillId="2" borderId="1" xfId="0" applyFill="1" applyBorder="1">
      <alignment vertical="center"/>
    </xf>
    <xf numFmtId="0" fontId="6" fillId="0" borderId="1" xfId="3" applyFont="1" applyBorder="1"/>
    <xf numFmtId="0" fontId="11" fillId="13" borderId="13" xfId="0" applyFont="1" applyFill="1" applyBorder="1" applyAlignment="1"/>
    <xf numFmtId="0" fontId="11" fillId="13" borderId="14" xfId="0" applyFont="1" applyFill="1" applyBorder="1" applyAlignment="1"/>
    <xf numFmtId="0" fontId="11" fillId="13" borderId="15" xfId="0" applyFont="1" applyFill="1" applyBorder="1" applyAlignment="1">
      <alignment horizontal="center"/>
    </xf>
    <xf numFmtId="0" fontId="11" fillId="13" borderId="16" xfId="0" applyFont="1" applyFill="1" applyBorder="1" applyAlignment="1"/>
    <xf numFmtId="0" fontId="11" fillId="1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/>
    </xf>
    <xf numFmtId="164" fontId="16" fillId="0" borderId="2" xfId="0" applyNumberFormat="1" applyFont="1" applyBorder="1" applyAlignment="1">
      <alignment horizontal="center" vertical="center"/>
    </xf>
    <xf numFmtId="2" fontId="16" fillId="0" borderId="3" xfId="0" applyNumberFormat="1" applyFont="1" applyBorder="1" applyAlignment="1">
      <alignment horizontal="center" vertical="center"/>
    </xf>
    <xf numFmtId="2" fontId="16" fillId="0" borderId="4" xfId="0" applyNumberFormat="1" applyFont="1" applyBorder="1" applyAlignment="1">
      <alignment horizontal="center" vertical="center"/>
    </xf>
    <xf numFmtId="0" fontId="6" fillId="0" borderId="1" xfId="0" applyFont="1" applyBorder="1" applyAlignment="1"/>
    <xf numFmtId="164" fontId="24" fillId="0" borderId="4" xfId="0" applyNumberFormat="1" applyFont="1" applyBorder="1">
      <alignment vertical="center"/>
    </xf>
    <xf numFmtId="165" fontId="0" fillId="0" borderId="2" xfId="0" applyNumberFormat="1" applyBorder="1">
      <alignment vertical="center"/>
    </xf>
    <xf numFmtId="165" fontId="0" fillId="0" borderId="3" xfId="0" applyNumberFormat="1" applyBorder="1">
      <alignment vertical="center"/>
    </xf>
    <xf numFmtId="165" fontId="24" fillId="0" borderId="3" xfId="0" applyNumberFormat="1" applyFont="1" applyBorder="1">
      <alignment vertical="center"/>
    </xf>
    <xf numFmtId="165" fontId="0" fillId="0" borderId="4" xfId="0" applyNumberFormat="1" applyBorder="1">
      <alignment vertical="center"/>
    </xf>
    <xf numFmtId="165" fontId="24" fillId="0" borderId="4" xfId="0" applyNumberFormat="1" applyFont="1" applyBorder="1">
      <alignment vertical="center"/>
    </xf>
    <xf numFmtId="165" fontId="24" fillId="0" borderId="2" xfId="0" applyNumberFormat="1" applyFont="1" applyBorder="1">
      <alignment vertical="center"/>
    </xf>
    <xf numFmtId="166" fontId="24" fillId="0" borderId="4" xfId="0" applyNumberFormat="1" applyFont="1" applyBorder="1">
      <alignment vertical="center"/>
    </xf>
    <xf numFmtId="164" fontId="24" fillId="0" borderId="2" xfId="0" applyNumberFormat="1" applyFont="1" applyBorder="1">
      <alignment vertical="center"/>
    </xf>
    <xf numFmtId="164" fontId="24" fillId="0" borderId="3" xfId="0" applyNumberFormat="1" applyFont="1" applyBorder="1">
      <alignment vertical="center"/>
    </xf>
    <xf numFmtId="0" fontId="0" fillId="10" borderId="1" xfId="0" applyFill="1" applyBorder="1">
      <alignment vertical="center"/>
    </xf>
    <xf numFmtId="0" fontId="0" fillId="14" borderId="1" xfId="0" applyFill="1" applyBorder="1">
      <alignment vertical="center"/>
    </xf>
    <xf numFmtId="0" fontId="11" fillId="13" borderId="11" xfId="0" applyFont="1" applyFill="1" applyBorder="1" applyAlignment="1"/>
    <xf numFmtId="0" fontId="11" fillId="13" borderId="7" xfId="0" applyFont="1" applyFill="1" applyBorder="1" applyAlignment="1"/>
    <xf numFmtId="0" fontId="11" fillId="13" borderId="8" xfId="0" applyFont="1" applyFill="1" applyBorder="1" applyAlignment="1"/>
    <xf numFmtId="0" fontId="11" fillId="13" borderId="12" xfId="0" applyFont="1" applyFill="1" applyBorder="1" applyAlignment="1"/>
    <xf numFmtId="0" fontId="11" fillId="13" borderId="6" xfId="0" applyFont="1" applyFill="1" applyBorder="1" applyAlignment="1"/>
    <xf numFmtId="0" fontId="11" fillId="13" borderId="10" xfId="0" applyFont="1" applyFill="1" applyBorder="1" applyAlignment="1"/>
    <xf numFmtId="165" fontId="11" fillId="0" borderId="0" xfId="0" applyNumberFormat="1" applyFont="1" applyAlignment="1">
      <alignment horizontal="center" vertical="center"/>
    </xf>
    <xf numFmtId="2" fontId="16" fillId="0" borderId="0" xfId="0" applyNumberFormat="1" applyFont="1" applyAlignment="1"/>
    <xf numFmtId="164" fontId="16" fillId="0" borderId="0" xfId="0" applyNumberFormat="1" applyFont="1" applyAlignment="1"/>
    <xf numFmtId="167" fontId="16" fillId="0" borderId="0" xfId="0" applyNumberFormat="1" applyFont="1" applyAlignment="1"/>
    <xf numFmtId="164" fontId="24" fillId="0" borderId="0" xfId="0" applyNumberFormat="1" applyFont="1">
      <alignment vertical="center"/>
    </xf>
    <xf numFmtId="165" fontId="15" fillId="0" borderId="0" xfId="0" applyNumberFormat="1" applyFont="1">
      <alignment vertical="center"/>
    </xf>
    <xf numFmtId="0" fontId="32" fillId="0" borderId="0" xfId="0" quotePrefix="1" applyFont="1">
      <alignment vertical="center"/>
    </xf>
    <xf numFmtId="0" fontId="13" fillId="0" borderId="1" xfId="0" applyFont="1" applyBorder="1" applyAlignment="1"/>
    <xf numFmtId="164" fontId="0" fillId="0" borderId="19" xfId="0" applyNumberFormat="1" applyBorder="1">
      <alignment vertical="center"/>
    </xf>
    <xf numFmtId="2" fontId="11" fillId="0" borderId="4" xfId="0" applyNumberFormat="1" applyFont="1" applyBorder="1" applyAlignment="1"/>
    <xf numFmtId="166" fontId="11" fillId="6" borderId="1" xfId="0" applyNumberFormat="1" applyFont="1" applyFill="1" applyBorder="1" applyAlignment="1">
      <alignment horizontal="center"/>
    </xf>
    <xf numFmtId="166" fontId="11" fillId="6" borderId="0" xfId="0" applyNumberFormat="1" applyFont="1" applyFill="1" applyAlignment="1"/>
    <xf numFmtId="164" fontId="11" fillId="6" borderId="1" xfId="0" applyNumberFormat="1" applyFont="1" applyFill="1" applyBorder="1" applyAlignment="1"/>
    <xf numFmtId="0" fontId="64" fillId="6" borderId="0" xfId="0" applyFont="1" applyFill="1">
      <alignment vertical="center"/>
    </xf>
    <xf numFmtId="0" fontId="22" fillId="0" borderId="1" xfId="0" applyFont="1" applyBorder="1" applyAlignment="1"/>
    <xf numFmtId="0" fontId="5" fillId="16" borderId="0" xfId="6" applyFill="1"/>
    <xf numFmtId="0" fontId="5" fillId="0" borderId="0" xfId="6"/>
    <xf numFmtId="0" fontId="65" fillId="0" borderId="0" xfId="6" applyFont="1"/>
    <xf numFmtId="0" fontId="5" fillId="17" borderId="0" xfId="6" applyFill="1"/>
    <xf numFmtId="0" fontId="66" fillId="0" borderId="0" xfId="6" applyFont="1"/>
    <xf numFmtId="0" fontId="5" fillId="14" borderId="0" xfId="6" applyFill="1"/>
    <xf numFmtId="0" fontId="14" fillId="19" borderId="1" xfId="4" applyFill="1" applyBorder="1" applyAlignment="1">
      <alignment horizontal="center"/>
    </xf>
    <xf numFmtId="0" fontId="14" fillId="15" borderId="1" xfId="4" applyFill="1" applyBorder="1" applyAlignment="1">
      <alignment horizontal="center"/>
    </xf>
    <xf numFmtId="0" fontId="64" fillId="0" borderId="0" xfId="0" applyFont="1">
      <alignment vertical="center"/>
    </xf>
    <xf numFmtId="0" fontId="11" fillId="13" borderId="13" xfId="0" applyFont="1" applyFill="1" applyBorder="1" applyAlignment="1">
      <alignment horizontal="center"/>
    </xf>
    <xf numFmtId="0" fontId="22" fillId="0" borderId="19" xfId="0" applyFont="1" applyBorder="1" applyAlignment="1"/>
    <xf numFmtId="0" fontId="12" fillId="20" borderId="1" xfId="0" applyFont="1" applyFill="1" applyBorder="1">
      <alignment vertical="center"/>
    </xf>
    <xf numFmtId="0" fontId="12" fillId="6" borderId="0" xfId="0" applyFont="1" applyFill="1">
      <alignment vertical="center"/>
    </xf>
    <xf numFmtId="0" fontId="5" fillId="0" borderId="0" xfId="6" applyAlignment="1">
      <alignment horizontal="left" vertical="top"/>
    </xf>
    <xf numFmtId="0" fontId="60" fillId="0" borderId="0" xfId="6" applyFont="1"/>
    <xf numFmtId="0" fontId="27" fillId="0" borderId="1" xfId="0" applyFont="1" applyBorder="1">
      <alignment vertical="center"/>
    </xf>
    <xf numFmtId="0" fontId="4" fillId="0" borderId="1" xfId="0" applyFont="1" applyBorder="1" applyAlignment="1"/>
    <xf numFmtId="0" fontId="12" fillId="0" borderId="1" xfId="0" applyFont="1" applyBorder="1" applyAlignment="1"/>
    <xf numFmtId="0" fontId="4" fillId="0" borderId="0" xfId="6" applyFont="1"/>
    <xf numFmtId="0" fontId="5" fillId="0" borderId="0" xfId="6" applyAlignment="1">
      <alignment horizontal="left"/>
    </xf>
    <xf numFmtId="0" fontId="0" fillId="0" borderId="0" xfId="0" applyAlignment="1">
      <alignment horizontal="right" vertical="center"/>
    </xf>
    <xf numFmtId="169" fontId="0" fillId="0" borderId="0" xfId="0" applyNumberFormat="1">
      <alignment vertical="center"/>
    </xf>
    <xf numFmtId="0" fontId="3" fillId="0" borderId="1" xfId="0" applyFont="1" applyBorder="1" applyAlignment="1"/>
    <xf numFmtId="0" fontId="68" fillId="0" borderId="0" xfId="0" quotePrefix="1" applyFont="1">
      <alignment vertical="center"/>
    </xf>
    <xf numFmtId="164" fontId="0" fillId="0" borderId="1" xfId="0" applyNumberFormat="1" applyBorder="1">
      <alignment vertical="center"/>
    </xf>
    <xf numFmtId="166" fontId="11" fillId="0" borderId="1" xfId="0" applyNumberFormat="1" applyFont="1" applyBorder="1" applyAlignment="1">
      <alignment horizontal="center" vertical="center"/>
    </xf>
    <xf numFmtId="164" fontId="17" fillId="0" borderId="1" xfId="0" applyNumberFormat="1" applyFont="1" applyBorder="1" applyAlignment="1"/>
    <xf numFmtId="164" fontId="12" fillId="0" borderId="1" xfId="0" applyNumberFormat="1" applyFont="1" applyBorder="1">
      <alignment vertical="center"/>
    </xf>
    <xf numFmtId="166" fontId="12" fillId="0" borderId="1" xfId="0" applyNumberFormat="1" applyFont="1" applyBorder="1">
      <alignment vertical="center"/>
    </xf>
    <xf numFmtId="2" fontId="12" fillId="0" borderId="1" xfId="0" applyNumberFormat="1" applyFont="1" applyBorder="1">
      <alignment vertical="center"/>
    </xf>
    <xf numFmtId="2" fontId="0" fillId="10" borderId="1" xfId="0" applyNumberFormat="1" applyFill="1" applyBorder="1">
      <alignment vertical="center"/>
    </xf>
    <xf numFmtId="0" fontId="12" fillId="10" borderId="1" xfId="0" applyFont="1" applyFill="1" applyBorder="1">
      <alignment vertical="center"/>
    </xf>
    <xf numFmtId="166" fontId="0" fillId="10" borderId="1" xfId="0" applyNumberFormat="1" applyFill="1" applyBorder="1">
      <alignment vertical="center"/>
    </xf>
    <xf numFmtId="0" fontId="40" fillId="0" borderId="0" xfId="0" quotePrefix="1" applyFont="1">
      <alignment vertical="center"/>
    </xf>
    <xf numFmtId="2" fontId="11" fillId="6" borderId="1" xfId="0" applyNumberFormat="1" applyFont="1" applyFill="1" applyBorder="1" applyAlignment="1">
      <alignment horizontal="center" vertical="center"/>
    </xf>
    <xf numFmtId="0" fontId="36" fillId="3" borderId="2" xfId="0" applyFont="1" applyFill="1" applyBorder="1" applyAlignment="1">
      <alignment horizontal="center" vertical="center" wrapText="1"/>
    </xf>
    <xf numFmtId="0" fontId="0" fillId="12" borderId="1" xfId="0" applyFill="1" applyBorder="1">
      <alignment vertical="center"/>
    </xf>
    <xf numFmtId="0" fontId="3" fillId="0" borderId="0" xfId="0" applyFont="1" applyAlignment="1"/>
    <xf numFmtId="0" fontId="2" fillId="0" borderId="1" xfId="3" applyFont="1" applyBorder="1" applyAlignment="1">
      <alignment horizontal="right"/>
    </xf>
    <xf numFmtId="0" fontId="2" fillId="0" borderId="1" xfId="3" applyFont="1" applyBorder="1"/>
    <xf numFmtId="172" fontId="10" fillId="0" borderId="1" xfId="3" applyNumberFormat="1" applyBorder="1" applyAlignment="1">
      <alignment horizontal="right"/>
    </xf>
    <xf numFmtId="172" fontId="29" fillId="0" borderId="1" xfId="3" applyNumberFormat="1" applyFont="1" applyBorder="1"/>
    <xf numFmtId="170" fontId="0" fillId="0" borderId="1" xfId="0" applyNumberFormat="1" applyBorder="1">
      <alignment vertical="center"/>
    </xf>
    <xf numFmtId="0" fontId="1" fillId="0" borderId="0" xfId="6" applyFont="1" applyAlignment="1">
      <alignment horizontal="left" vertical="top"/>
    </xf>
    <xf numFmtId="1" fontId="0" fillId="10" borderId="1" xfId="0" applyNumberFormat="1" applyFill="1" applyBorder="1">
      <alignment vertical="center"/>
    </xf>
    <xf numFmtId="166" fontId="11" fillId="6" borderId="1" xfId="0" applyNumberFormat="1" applyFont="1" applyFill="1" applyBorder="1" applyAlignment="1">
      <alignment horizontal="center" vertical="center"/>
    </xf>
    <xf numFmtId="0" fontId="11" fillId="13" borderId="34" xfId="0" applyFont="1" applyFill="1" applyBorder="1" applyAlignment="1"/>
    <xf numFmtId="164" fontId="40" fillId="0" borderId="1" xfId="0" applyNumberFormat="1" applyFont="1" applyBorder="1" applyAlignment="1">
      <alignment horizontal="center" vertical="center" wrapText="1"/>
    </xf>
    <xf numFmtId="166" fontId="40" fillId="0" borderId="1" xfId="0" applyNumberFormat="1" applyFont="1" applyBorder="1" applyAlignment="1">
      <alignment horizontal="center" vertical="center"/>
    </xf>
    <xf numFmtId="0" fontId="41" fillId="0" borderId="4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 wrapText="1"/>
    </xf>
    <xf numFmtId="0" fontId="41" fillId="0" borderId="2" xfId="0" applyFont="1" applyBorder="1" applyAlignment="1">
      <alignment horizontal="center" vertical="center" wrapText="1"/>
    </xf>
    <xf numFmtId="0" fontId="41" fillId="0" borderId="4" xfId="0" applyFont="1" applyBorder="1" applyAlignment="1">
      <alignment horizontal="center" vertical="center" wrapText="1"/>
    </xf>
    <xf numFmtId="2" fontId="40" fillId="0" borderId="1" xfId="0" applyNumberFormat="1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1" fontId="40" fillId="0" borderId="1" xfId="0" applyNumberFormat="1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41" fillId="0" borderId="3" xfId="0" applyFont="1" applyBorder="1" applyAlignment="1">
      <alignment horizontal="center" vertical="center"/>
    </xf>
    <xf numFmtId="169" fontId="40" fillId="0" borderId="1" xfId="0" applyNumberFormat="1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9" fillId="0" borderId="0" xfId="0" applyFont="1">
      <alignment vertical="center"/>
    </xf>
    <xf numFmtId="167" fontId="40" fillId="0" borderId="1" xfId="0" applyNumberFormat="1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36" fillId="0" borderId="0" xfId="0" applyFont="1" applyAlignment="1">
      <alignment horizontal="left" vertical="center" wrapText="1"/>
    </xf>
    <xf numFmtId="166" fontId="40" fillId="0" borderId="6" xfId="0" applyNumberFormat="1" applyFont="1" applyBorder="1" applyAlignment="1">
      <alignment horizontal="center" vertical="center"/>
    </xf>
    <xf numFmtId="166" fontId="40" fillId="0" borderId="7" xfId="0" applyNumberFormat="1" applyFont="1" applyBorder="1" applyAlignment="1">
      <alignment horizontal="center" vertical="center"/>
    </xf>
    <xf numFmtId="166" fontId="40" fillId="0" borderId="8" xfId="0" applyNumberFormat="1" applyFont="1" applyBorder="1" applyAlignment="1">
      <alignment horizontal="center" vertical="center"/>
    </xf>
    <xf numFmtId="164" fontId="40" fillId="0" borderId="2" xfId="0" applyNumberFormat="1" applyFont="1" applyBorder="1" applyAlignment="1">
      <alignment horizontal="center" vertical="center" wrapText="1"/>
    </xf>
    <xf numFmtId="166" fontId="40" fillId="0" borderId="19" xfId="0" applyNumberFormat="1" applyFont="1" applyBorder="1" applyAlignment="1">
      <alignment horizontal="center" vertical="center"/>
    </xf>
    <xf numFmtId="166" fontId="40" fillId="0" borderId="33" xfId="0" applyNumberFormat="1" applyFont="1" applyBorder="1" applyAlignment="1">
      <alignment horizontal="center" vertical="center"/>
    </xf>
    <xf numFmtId="166" fontId="40" fillId="0" borderId="20" xfId="0" applyNumberFormat="1" applyFont="1" applyBorder="1" applyAlignment="1">
      <alignment horizontal="center" vertical="center"/>
    </xf>
    <xf numFmtId="0" fontId="39" fillId="3" borderId="1" xfId="0" applyFont="1" applyFill="1" applyBorder="1" applyAlignment="1">
      <alignment horizontal="center" vertical="center" wrapText="1"/>
    </xf>
    <xf numFmtId="0" fontId="1" fillId="18" borderId="19" xfId="6" applyFont="1" applyFill="1" applyBorder="1" applyAlignment="1">
      <alignment horizontal="left" vertical="top"/>
    </xf>
    <xf numFmtId="0" fontId="1" fillId="18" borderId="20" xfId="6" applyFont="1" applyFill="1" applyBorder="1" applyAlignment="1">
      <alignment horizontal="left" vertical="top"/>
    </xf>
    <xf numFmtId="0" fontId="5" fillId="18" borderId="20" xfId="6" applyFill="1" applyBorder="1" applyAlignment="1">
      <alignment horizontal="left" vertical="top"/>
    </xf>
    <xf numFmtId="0" fontId="1" fillId="18" borderId="19" xfId="6" applyFont="1" applyFill="1" applyBorder="1" applyAlignment="1">
      <alignment horizontal="left" vertical="top" wrapText="1"/>
    </xf>
    <xf numFmtId="0" fontId="1" fillId="18" borderId="20" xfId="6" applyFont="1" applyFill="1" applyBorder="1" applyAlignment="1">
      <alignment horizontal="left" vertical="top" wrapText="1"/>
    </xf>
    <xf numFmtId="0" fontId="5" fillId="18" borderId="19" xfId="6" applyFill="1" applyBorder="1" applyAlignment="1">
      <alignment horizontal="left" vertical="top"/>
    </xf>
    <xf numFmtId="0" fontId="5" fillId="0" borderId="0" xfId="6" applyAlignment="1">
      <alignment horizontal="center"/>
    </xf>
    <xf numFmtId="0" fontId="5" fillId="18" borderId="19" xfId="6" applyFill="1" applyBorder="1" applyAlignment="1">
      <alignment horizontal="left"/>
    </xf>
    <xf numFmtId="0" fontId="5" fillId="18" borderId="20" xfId="6" applyFill="1" applyBorder="1" applyAlignment="1">
      <alignment horizontal="left"/>
    </xf>
    <xf numFmtId="0" fontId="70" fillId="8" borderId="0" xfId="7" applyFill="1" applyAlignment="1">
      <alignment horizontal="center" vertical="center"/>
    </xf>
    <xf numFmtId="0" fontId="1" fillId="18" borderId="19" xfId="6" applyFont="1" applyFill="1" applyBorder="1" applyAlignment="1">
      <alignment horizontal="left"/>
    </xf>
    <xf numFmtId="0" fontId="1" fillId="18" borderId="19" xfId="6" applyFont="1" applyFill="1" applyBorder="1" applyAlignment="1">
      <alignment horizontal="left" wrapText="1"/>
    </xf>
    <xf numFmtId="0" fontId="5" fillId="18" borderId="20" xfId="6" applyFill="1" applyBorder="1" applyAlignment="1">
      <alignment horizontal="left" wrapText="1"/>
    </xf>
    <xf numFmtId="169" fontId="0" fillId="0" borderId="19" xfId="0" applyNumberFormat="1" applyBorder="1">
      <alignment vertical="center"/>
    </xf>
    <xf numFmtId="169" fontId="0" fillId="0" borderId="20" xfId="0" applyNumberFormat="1" applyBorder="1">
      <alignment vertical="center"/>
    </xf>
    <xf numFmtId="0" fontId="2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2" fillId="0" borderId="33" xfId="0" applyFont="1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26" fillId="0" borderId="19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2" fontId="0" fillId="0" borderId="19" xfId="0" applyNumberFormat="1" applyBorder="1">
      <alignment vertical="center"/>
    </xf>
    <xf numFmtId="2" fontId="0" fillId="0" borderId="20" xfId="0" applyNumberFormat="1" applyBorder="1">
      <alignment vertical="center"/>
    </xf>
    <xf numFmtId="2" fontId="0" fillId="0" borderId="2" xfId="0" applyNumberFormat="1" applyBorder="1" applyAlignment="1">
      <alignment horizontal="center" vertical="center" wrapText="1"/>
    </xf>
    <xf numFmtId="2" fontId="0" fillId="0" borderId="3" xfId="0" applyNumberFormat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vertical="center" wrapText="1"/>
    </xf>
    <xf numFmtId="0" fontId="26" fillId="0" borderId="6" xfId="0" applyFont="1" applyBorder="1">
      <alignment vertical="center"/>
    </xf>
    <xf numFmtId="0" fontId="0" fillId="0" borderId="7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26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>
      <alignment vertical="center"/>
    </xf>
    <xf numFmtId="0" fontId="26" fillId="0" borderId="6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6" fillId="0" borderId="4" xfId="0" applyFont="1" applyBorder="1">
      <alignment vertical="center"/>
    </xf>
    <xf numFmtId="0" fontId="0" fillId="0" borderId="4" xfId="0" applyBorder="1">
      <alignment vertical="center"/>
    </xf>
    <xf numFmtId="0" fontId="26" fillId="0" borderId="10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2" fillId="0" borderId="9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12" fillId="0" borderId="10" xfId="0" applyFont="1" applyBorder="1">
      <alignment vertical="center"/>
    </xf>
    <xf numFmtId="0" fontId="12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26" fillId="0" borderId="19" xfId="0" applyFont="1" applyBorder="1">
      <alignment vertical="center"/>
    </xf>
    <xf numFmtId="0" fontId="0" fillId="0" borderId="20" xfId="0" applyBorder="1">
      <alignment vertical="center"/>
    </xf>
    <xf numFmtId="0" fontId="12" fillId="0" borderId="19" xfId="0" applyFont="1" applyBorder="1" applyAlignment="1">
      <alignment horizontal="center" vertical="center"/>
    </xf>
    <xf numFmtId="0" fontId="20" fillId="0" borderId="0" xfId="0" applyFont="1" applyAlignment="1">
      <alignment horizontal="left"/>
    </xf>
    <xf numFmtId="0" fontId="11" fillId="0" borderId="17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/>
    </xf>
    <xf numFmtId="0" fontId="11" fillId="13" borderId="4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13" borderId="14" xfId="0" applyFont="1" applyFill="1" applyBorder="1" applyAlignment="1">
      <alignment horizontal="center" vertical="center" wrapText="1"/>
    </xf>
    <xf numFmtId="0" fontId="11" fillId="13" borderId="16" xfId="0" applyFont="1" applyFill="1" applyBorder="1" applyAlignment="1">
      <alignment horizontal="center" vertical="center" wrapText="1"/>
    </xf>
    <xf numFmtId="0" fontId="63" fillId="0" borderId="0" xfId="0" applyFont="1" applyAlignment="1">
      <alignment horizontal="center" vertical="center"/>
    </xf>
  </cellXfs>
  <cellStyles count="8">
    <cellStyle name="Hyperlink" xfId="7" builtinId="8"/>
    <cellStyle name="Normal" xfId="0" builtinId="0"/>
    <cellStyle name="Normal 2" xfId="1" xr:uid="{00000000-0005-0000-0000-000001000000}"/>
    <cellStyle name="Normal 2 2" xfId="4" xr:uid="{00000000-0005-0000-0000-000002000000}"/>
    <cellStyle name="Normal 3" xfId="2" xr:uid="{00000000-0005-0000-0000-000003000000}"/>
    <cellStyle name="Normal 3 2" xfId="3" xr:uid="{00000000-0005-0000-0000-000004000000}"/>
    <cellStyle name="Normal 4" xfId="5" xr:uid="{00000000-0005-0000-0000-000005000000}"/>
    <cellStyle name="Normal 5" xfId="6" xr:uid="{C6598C21-B99D-44FF-BE5E-A28695E0988E}"/>
  </cellStyles>
  <dxfs count="39">
    <dxf>
      <font>
        <strike val="0"/>
        <color theme="0"/>
      </font>
      <numFmt numFmtId="30" formatCode="@"/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strike val="0"/>
        <color theme="0"/>
      </font>
      <numFmt numFmtId="30" formatCode="@"/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numFmt numFmtId="30" formatCode="@"/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/>
        <bottom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/>
        <bottom/>
      </border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/>
        <bottom/>
      </border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/>
        <bottom/>
      </border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/>
        <bottom/>
      </border>
    </dxf>
    <dxf>
      <font>
        <color theme="0"/>
      </font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/>
        <bottom/>
      </border>
    </dxf>
    <dxf>
      <font>
        <color theme="0"/>
      </font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/>
        <bottom/>
      </border>
    </dxf>
    <dxf>
      <font>
        <color theme="0"/>
      </font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/>
        <bottom/>
      </border>
    </dxf>
    <dxf>
      <font>
        <color theme="0"/>
      </font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/>
        <bottom/>
      </border>
    </dxf>
    <dxf>
      <font>
        <color theme="0"/>
      </font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/>
        <bottom/>
      </border>
    </dxf>
    <dxf>
      <font>
        <color theme="0"/>
      </font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/>
        <bottom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/>
        <bottom/>
      </border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</dxf>
  </dxfs>
  <tableStyles count="0" defaultTableStyle="TableStyleMedium2" defaultPivotStyle="PivotStyleLight16"/>
  <colors>
    <mruColors>
      <color rgb="FF04DB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578059</xdr:colOff>
      <xdr:row>0</xdr:row>
      <xdr:rowOff>44177</xdr:rowOff>
    </xdr:from>
    <xdr:to>
      <xdr:col>5</xdr:col>
      <xdr:colOff>433279</xdr:colOff>
      <xdr:row>5</xdr:row>
      <xdr:rowOff>82277</xdr:rowOff>
    </xdr:to>
    <xdr:pic>
      <xdr:nvPicPr>
        <xdr:cNvPr id="2" name="Picture 1" descr="Balai Besar Standardisasi dan Pelayanan Jasa Industri Logam dan Mesin">
          <a:extLst>
            <a:ext uri="{FF2B5EF4-FFF2-40B4-BE49-F238E27FC236}">
              <a16:creationId xmlns:a16="http://schemas.microsoft.com/office/drawing/2014/main" id="{A555CAD2-7742-4854-8B79-3F81149A0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12287" y="44177"/>
          <a:ext cx="4793751" cy="954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859973</xdr:colOff>
      <xdr:row>136</xdr:row>
      <xdr:rowOff>141514</xdr:rowOff>
    </xdr:from>
    <xdr:to>
      <xdr:col>9</xdr:col>
      <xdr:colOff>186193</xdr:colOff>
      <xdr:row>143</xdr:row>
      <xdr:rowOff>141513</xdr:rowOff>
    </xdr:to>
    <xdr:grpSp>
      <xdr:nvGrpSpPr>
        <xdr:cNvPr id="2" name=" 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7779757" y="25627325"/>
          <a:ext cx="2333031" cy="1482810"/>
          <a:chOff x="7486649" y="10772775"/>
          <a:chExt cx="2066925" cy="1600200"/>
        </a:xfrm>
      </xdr:grpSpPr>
      <xdr:sp macro="" textlink="">
        <xdr:nvSpPr>
          <xdr:cNvPr id="3" name="rect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SpPr/>
        </xdr:nvSpPr>
        <xdr:spPr>
          <a:xfrm>
            <a:off x="7486649" y="10772775"/>
            <a:ext cx="2066925" cy="1600200"/>
          </a:xfrm>
          <a:prstGeom prst="rect">
            <a:avLst/>
          </a:prstGeom>
          <a:solidFill>
            <a:srgbClr val="70AD47"/>
          </a:solidFill>
          <a:ln w="9525" cap="flat" cmpd="sng">
            <a:solidFill>
              <a:srgbClr val="70AD47"/>
            </a:solidFill>
            <a:prstDash val="solid"/>
            <a:round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anchor="t"/>
          <a:lstStyle/>
          <a:p>
            <a:pPr algn="l"/>
            <a:endParaRPr/>
          </a:p>
        </xdr:txBody>
      </xdr:sp>
      <xdr:sp macro="" textlink="">
        <xdr:nvSpPr>
          <xdr:cNvPr id="4" name="ellipse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/>
        </xdr:nvSpPr>
        <xdr:spPr>
          <a:xfrm>
            <a:off x="8382000" y="11391900"/>
            <a:ext cx="428625" cy="314325"/>
          </a:xfrm>
          <a:prstGeom prst="ellipse">
            <a:avLst/>
          </a:prstGeom>
          <a:solidFill>
            <a:srgbClr val="A5A5A5"/>
          </a:solidFill>
          <a:ln w="9525" cap="flat" cmpd="sng">
            <a:solidFill>
              <a:srgbClr val="A5A5A5"/>
            </a:solidFill>
            <a:prstDash val="solid"/>
            <a:round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lIns="0" tIns="0" rIns="0" bIns="0" anchor="ctr"/>
          <a:lstStyle/>
          <a:p>
            <a:pPr algn="ctr">
              <a:lnSpc>
                <a:spcPts val="1353"/>
              </a:lnSpc>
            </a:pPr>
            <a:r>
              <a:rPr lang="en-US" altLang="zh-CN" sz="1100">
                <a:solidFill>
                  <a:srgbClr val="000000"/>
                </a:solidFill>
                <a:latin typeface="Calibri" panose="00000000000000000000" charset="0"/>
                <a:ea typeface="Calibri" panose="00000000000000000000" charset="0"/>
              </a:rPr>
              <a:t>0</a:t>
            </a:r>
          </a:p>
        </xdr:txBody>
      </xdr:sp>
      <xdr:sp macro="" textlink="">
        <xdr:nvSpPr>
          <xdr:cNvPr id="5" name="ellipse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8448675" y="11887200"/>
            <a:ext cx="361950" cy="314325"/>
          </a:xfrm>
          <a:prstGeom prst="ellipse">
            <a:avLst/>
          </a:prstGeom>
          <a:solidFill>
            <a:srgbClr val="A5A5A5"/>
          </a:solidFill>
          <a:ln w="9525" cap="flat" cmpd="sng">
            <a:solidFill>
              <a:srgbClr val="A5A5A5"/>
            </a:solidFill>
            <a:prstDash val="solid"/>
            <a:round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lIns="0" tIns="0" rIns="0" bIns="0" anchor="ctr"/>
          <a:lstStyle/>
          <a:p>
            <a:pPr algn="ctr">
              <a:lnSpc>
                <a:spcPts val="1353"/>
              </a:lnSpc>
            </a:pPr>
            <a:r>
              <a:rPr lang="en-US" altLang="zh-CN" sz="1100">
                <a:solidFill>
                  <a:srgbClr val="000000"/>
                </a:solidFill>
                <a:latin typeface="Calibri" panose="00000000000000000000" charset="0"/>
                <a:ea typeface="Calibri" panose="00000000000000000000" charset="0"/>
              </a:rPr>
              <a:t>1</a:t>
            </a:r>
          </a:p>
        </xdr:txBody>
      </xdr:sp>
      <xdr:sp macro="" textlink="">
        <xdr:nvSpPr>
          <xdr:cNvPr id="6" name="ellipse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/>
        </xdr:nvSpPr>
        <xdr:spPr>
          <a:xfrm>
            <a:off x="8401050" y="10868025"/>
            <a:ext cx="419100" cy="314325"/>
          </a:xfrm>
          <a:prstGeom prst="ellipse">
            <a:avLst/>
          </a:prstGeom>
          <a:solidFill>
            <a:srgbClr val="A5A5A5"/>
          </a:solidFill>
          <a:ln w="9525" cap="flat" cmpd="sng">
            <a:solidFill>
              <a:srgbClr val="A5A5A5"/>
            </a:solidFill>
            <a:prstDash val="solid"/>
            <a:round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lIns="0" tIns="0" rIns="0" bIns="0" anchor="ctr"/>
          <a:lstStyle/>
          <a:p>
            <a:pPr algn="ctr">
              <a:lnSpc>
                <a:spcPts val="1353"/>
              </a:lnSpc>
            </a:pPr>
            <a:r>
              <a:rPr lang="en-US" altLang="zh-CN" sz="1100">
                <a:solidFill>
                  <a:srgbClr val="000000"/>
                </a:solidFill>
                <a:latin typeface="Calibri" panose="00000000000000000000" charset="0"/>
                <a:ea typeface="Calibri" panose="00000000000000000000" charset="0"/>
              </a:rPr>
              <a:t>2</a:t>
            </a:r>
          </a:p>
        </xdr:txBody>
      </xdr:sp>
      <xdr:sp macro="" textlink="">
        <xdr:nvSpPr>
          <xdr:cNvPr id="7" name="ellipse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/>
        </xdr:nvSpPr>
        <xdr:spPr>
          <a:xfrm>
            <a:off x="7648575" y="11391900"/>
            <a:ext cx="419100" cy="314325"/>
          </a:xfrm>
          <a:prstGeom prst="ellipse">
            <a:avLst/>
          </a:prstGeom>
          <a:solidFill>
            <a:srgbClr val="A5A5A5"/>
          </a:solidFill>
          <a:ln w="9525" cap="flat" cmpd="sng">
            <a:solidFill>
              <a:srgbClr val="A5A5A5"/>
            </a:solidFill>
            <a:prstDash val="solid"/>
            <a:round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lIns="0" tIns="0" rIns="0" bIns="0" anchor="ctr"/>
          <a:lstStyle/>
          <a:p>
            <a:pPr algn="ctr">
              <a:lnSpc>
                <a:spcPts val="1353"/>
              </a:lnSpc>
            </a:pPr>
            <a:r>
              <a:rPr lang="en-US" altLang="zh-CN" sz="1100">
                <a:solidFill>
                  <a:srgbClr val="000000"/>
                </a:solidFill>
                <a:latin typeface="Calibri" panose="00000000000000000000" charset="0"/>
                <a:ea typeface="Calibri" panose="00000000000000000000" charset="0"/>
              </a:rPr>
              <a:t>3</a:t>
            </a:r>
          </a:p>
        </xdr:txBody>
      </xdr:sp>
      <xdr:sp macro="" textlink="">
        <xdr:nvSpPr>
          <xdr:cNvPr id="8" name="ellipse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SpPr/>
        </xdr:nvSpPr>
        <xdr:spPr>
          <a:xfrm>
            <a:off x="9096375" y="11420475"/>
            <a:ext cx="361950" cy="314325"/>
          </a:xfrm>
          <a:prstGeom prst="ellipse">
            <a:avLst/>
          </a:prstGeom>
          <a:solidFill>
            <a:srgbClr val="A5A5A5"/>
          </a:solidFill>
          <a:ln w="9525" cap="flat" cmpd="sng">
            <a:solidFill>
              <a:srgbClr val="A5A5A5"/>
            </a:solidFill>
            <a:prstDash val="solid"/>
            <a:round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lIns="0" tIns="0" rIns="0" bIns="0" anchor="ctr"/>
          <a:lstStyle/>
          <a:p>
            <a:pPr algn="ctr">
              <a:lnSpc>
                <a:spcPts val="1353"/>
              </a:lnSpc>
            </a:pPr>
            <a:r>
              <a:rPr lang="en-US" altLang="zh-CN" sz="1100">
                <a:solidFill>
                  <a:srgbClr val="000000"/>
                </a:solidFill>
                <a:latin typeface="Calibri" panose="00000000000000000000" charset="0"/>
                <a:ea typeface="Calibri" panose="00000000000000000000" charset="0"/>
              </a:rPr>
              <a:t>4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</xdr:colOff>
      <xdr:row>44</xdr:row>
      <xdr:rowOff>133798</xdr:rowOff>
    </xdr:from>
    <xdr:to>
      <xdr:col>4</xdr:col>
      <xdr:colOff>6054</xdr:colOff>
      <xdr:row>48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F81C56-A975-FB70-240B-7BBD14302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5525" y="8353873"/>
          <a:ext cx="663279" cy="656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57</xdr:col>
      <xdr:colOff>274320</xdr:colOff>
      <xdr:row>29</xdr:row>
      <xdr:rowOff>0</xdr:rowOff>
    </xdr:from>
    <xdr:to>
      <xdr:col>66</xdr:col>
      <xdr:colOff>257285</xdr:colOff>
      <xdr:row>44</xdr:row>
      <xdr:rowOff>90662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7286AA-F59B-4B05-B79B-7124B0B64FE4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25801" t="25941" r="5128" b="11631"/>
        <a:stretch/>
      </xdr:blipFill>
      <xdr:spPr bwMode="auto">
        <a:xfrm>
          <a:off x="35966400" y="5707380"/>
          <a:ext cx="5926565" cy="283386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487A9C-4E68-4EEA-A16C-09953F9A9445}" name="Table1" displayName="Table1" ref="I9:S349" totalsRowShown="0">
  <autoFilter ref="I9:S349" xr:uid="{66487A9C-4E68-4EEA-A16C-09953F9A9445}"/>
  <tableColumns count="11">
    <tableColumn id="1" xr3:uid="{AD6886EE-6B4D-4497-8C83-B5D40923964C}" name="Nominal (g)"/>
    <tableColumn id="2" xr3:uid="{7EAB9371-AA44-4499-907D-888CE3233FA8}" name="AT1"/>
    <tableColumn id="3" xr3:uid="{4F364FE6-191D-45D9-B137-8078F05E1251}" name="AT2"/>
    <tableColumn id="4" xr3:uid="{BBA5025B-6866-45C4-9CD4-CFE1EFDC99CF}" name="AT3"/>
    <tableColumn id="5" xr3:uid="{02C78A10-8677-4EF5-BA4B-D516FBB129E6}" name="AT4"/>
    <tableColumn id="6" xr3:uid="{EA7D3947-9D8D-463D-9EF4-A01812A2075D}" name="AT5"/>
    <tableColumn id="7" xr3:uid="{0474E967-8D19-461D-A999-F7A1E8AEB737}" name="AT6"/>
    <tableColumn id="8" xr3:uid="{4D8EDB74-D298-4692-8BE7-01DB7194D3FA}" name="AT7"/>
    <tableColumn id="9" xr3:uid="{B1DC05D5-1A43-4556-9CE2-DBAA251B5B31}" name="AT8"/>
    <tableColumn id="10" xr3:uid="{D72A112B-ECB6-4003-8663-28B974829841}" name="AT9"/>
    <tableColumn id="11" xr3:uid="{5409D351-5952-46D8-B807-BA53AE4C6E54}" name="AT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19B14-921D-4726-B01C-262EBAFA3641}">
  <sheetPr codeName="Sheet8">
    <tabColor rgb="FFFFC000"/>
  </sheetPr>
  <dimension ref="A1:AG51"/>
  <sheetViews>
    <sheetView showGridLines="0" zoomScale="86" zoomScaleNormal="86" workbookViewId="0">
      <selection activeCell="C48" sqref="C48"/>
    </sheetView>
  </sheetViews>
  <sheetFormatPr defaultColWidth="8.88671875" defaultRowHeight="14.4" x14ac:dyDescent="0.3"/>
  <cols>
    <col min="1" max="1" width="23.5546875" style="304" customWidth="1"/>
    <col min="2" max="2" width="10.5546875" style="305" customWidth="1"/>
    <col min="3" max="3" width="27.88671875" style="305" customWidth="1"/>
    <col min="4" max="4" width="25.33203125" style="305" customWidth="1"/>
    <col min="5" max="5" width="19" style="305" customWidth="1"/>
    <col min="6" max="6" width="15.88671875" style="307" customWidth="1"/>
    <col min="7" max="7" width="17.6640625" style="304" customWidth="1"/>
    <col min="8" max="25" width="8.88671875" style="304"/>
    <col min="26" max="32" width="8.88671875" style="305"/>
    <col min="33" max="33" width="11" style="305" bestFit="1" customWidth="1"/>
    <col min="34" max="16384" width="8.88671875" style="305"/>
  </cols>
  <sheetData>
    <row r="1" spans="2:33" x14ac:dyDescent="0.3">
      <c r="B1" s="309"/>
      <c r="C1" s="309"/>
      <c r="D1" s="309"/>
      <c r="E1" s="309"/>
      <c r="F1" s="309"/>
    </row>
    <row r="2" spans="2:33" x14ac:dyDescent="0.3">
      <c r="B2" s="309"/>
      <c r="C2" s="309"/>
      <c r="D2" s="309"/>
      <c r="E2" s="309"/>
      <c r="F2" s="309"/>
    </row>
    <row r="3" spans="2:33" x14ac:dyDescent="0.3">
      <c r="B3" s="309"/>
      <c r="C3" s="309"/>
      <c r="D3" s="309"/>
      <c r="E3" s="309"/>
      <c r="F3" s="309"/>
    </row>
    <row r="4" spans="2:33" x14ac:dyDescent="0.3">
      <c r="B4" s="309"/>
      <c r="C4" s="309"/>
      <c r="D4" s="309"/>
      <c r="E4" s="309"/>
      <c r="F4" s="309"/>
    </row>
    <row r="5" spans="2:33" x14ac:dyDescent="0.3">
      <c r="B5" s="309"/>
      <c r="C5" s="309"/>
      <c r="D5" s="309"/>
      <c r="E5" s="309"/>
      <c r="F5" s="309"/>
    </row>
    <row r="6" spans="2:33" x14ac:dyDescent="0.3">
      <c r="B6" s="309"/>
      <c r="C6" s="309"/>
      <c r="D6" s="309"/>
      <c r="E6" s="309"/>
      <c r="F6" s="309"/>
    </row>
    <row r="7" spans="2:33" ht="25.95" customHeight="1" x14ac:dyDescent="0.4">
      <c r="C7" s="306" t="s">
        <v>391</v>
      </c>
      <c r="F7" s="305"/>
    </row>
    <row r="8" spans="2:33" x14ac:dyDescent="0.3">
      <c r="F8" s="305"/>
      <c r="AG8" s="318" t="s">
        <v>425</v>
      </c>
    </row>
    <row r="9" spans="2:33" x14ac:dyDescent="0.3">
      <c r="C9" s="308" t="s">
        <v>392</v>
      </c>
      <c r="D9" s="379" t="s">
        <v>479</v>
      </c>
      <c r="E9" s="381"/>
      <c r="F9" s="305"/>
      <c r="AF9" s="305">
        <v>1</v>
      </c>
      <c r="AG9" s="305" t="str">
        <f>D9</f>
        <v>K085-9</v>
      </c>
    </row>
    <row r="10" spans="2:33" x14ac:dyDescent="0.3">
      <c r="C10" s="308"/>
      <c r="D10" s="317"/>
      <c r="E10" s="317"/>
      <c r="F10" s="305"/>
      <c r="AF10" s="305">
        <v>2</v>
      </c>
      <c r="AG10" s="305" t="str">
        <f>D11</f>
        <v>Laboratorium Geoteknik - Universitas Katolik Parahyangan</v>
      </c>
    </row>
    <row r="11" spans="2:33" ht="14.4" customHeight="1" x14ac:dyDescent="0.3">
      <c r="C11" s="308" t="s">
        <v>393</v>
      </c>
      <c r="D11" s="382" t="s">
        <v>440</v>
      </c>
      <c r="E11" s="383"/>
      <c r="F11" s="305"/>
      <c r="AF11" s="305">
        <v>3</v>
      </c>
      <c r="AG11" s="305" t="str">
        <f>D13</f>
        <v>Jl. Ciumbuleuit No.94, Hegarmanah, Kec. Cidadap, Kota Bandung, Jawa Barat 40141</v>
      </c>
    </row>
    <row r="12" spans="2:33" x14ac:dyDescent="0.3">
      <c r="C12" s="308"/>
      <c r="D12" s="317"/>
      <c r="E12" s="317"/>
      <c r="F12" s="305"/>
      <c r="AF12" s="305">
        <v>4</v>
      </c>
      <c r="AG12" s="305" t="str">
        <f>D15</f>
        <v>Universitas Katolik Parahyangan</v>
      </c>
    </row>
    <row r="13" spans="2:33" x14ac:dyDescent="0.3">
      <c r="C13" s="308" t="s">
        <v>394</v>
      </c>
      <c r="D13" s="379" t="s">
        <v>424</v>
      </c>
      <c r="E13" s="380"/>
      <c r="F13" s="305"/>
      <c r="AF13" s="305">
        <v>5</v>
      </c>
      <c r="AG13" s="305" t="str">
        <f>D17</f>
        <v>Timbangan</v>
      </c>
    </row>
    <row r="14" spans="2:33" x14ac:dyDescent="0.3">
      <c r="C14" s="308"/>
      <c r="D14" s="317"/>
      <c r="E14" s="317"/>
      <c r="F14" s="305"/>
      <c r="AF14" s="305">
        <v>6</v>
      </c>
      <c r="AG14" s="305" t="str">
        <f>D19</f>
        <v xml:space="preserve">Mettler Toledo </v>
      </c>
    </row>
    <row r="15" spans="2:33" ht="14.4" customHeight="1" x14ac:dyDescent="0.3">
      <c r="C15" s="308" t="s">
        <v>257</v>
      </c>
      <c r="D15" s="382" t="s">
        <v>422</v>
      </c>
      <c r="E15" s="383"/>
      <c r="F15" s="305"/>
      <c r="AF15" s="305">
        <v>7</v>
      </c>
      <c r="AG15" s="305" t="str">
        <f>D21</f>
        <v>PL2003</v>
      </c>
    </row>
    <row r="16" spans="2:33" x14ac:dyDescent="0.3">
      <c r="C16" s="308"/>
      <c r="D16" s="317"/>
      <c r="E16" s="317"/>
      <c r="F16" s="305"/>
      <c r="AF16" s="305">
        <v>9</v>
      </c>
      <c r="AG16" s="305">
        <f>D23</f>
        <v>1230120304</v>
      </c>
    </row>
    <row r="17" spans="3:33" x14ac:dyDescent="0.3">
      <c r="C17" s="308" t="s">
        <v>395</v>
      </c>
      <c r="D17" s="379" t="s">
        <v>423</v>
      </c>
      <c r="E17" s="380"/>
      <c r="F17" s="305"/>
      <c r="AF17" s="305">
        <v>10</v>
      </c>
      <c r="AG17" s="305" t="str">
        <f>D25</f>
        <v>3000 g</v>
      </c>
    </row>
    <row r="18" spans="3:33" x14ac:dyDescent="0.3">
      <c r="C18" s="308"/>
      <c r="D18" s="317"/>
      <c r="E18" s="317"/>
      <c r="F18" s="305"/>
      <c r="AF18" s="305">
        <v>11</v>
      </c>
      <c r="AG18" s="305" t="str">
        <f>D27</f>
        <v>0,001 g</v>
      </c>
    </row>
    <row r="19" spans="3:33" x14ac:dyDescent="0.3">
      <c r="C19" s="308" t="s">
        <v>396</v>
      </c>
      <c r="D19" s="379" t="s">
        <v>468</v>
      </c>
      <c r="E19" s="380"/>
      <c r="F19" s="305"/>
      <c r="AF19" s="305">
        <v>12</v>
      </c>
      <c r="AG19" s="305" t="str">
        <f>D29</f>
        <v>-</v>
      </c>
    </row>
    <row r="20" spans="3:33" x14ac:dyDescent="0.3">
      <c r="C20" s="308"/>
      <c r="D20" s="317"/>
      <c r="E20" s="317"/>
      <c r="F20" s="305"/>
      <c r="AF20" s="305">
        <v>13</v>
      </c>
      <c r="AG20" s="305" t="str">
        <f>D31</f>
        <v>12 Februari 2026</v>
      </c>
    </row>
    <row r="21" spans="3:33" x14ac:dyDescent="0.3">
      <c r="C21" s="308" t="s">
        <v>228</v>
      </c>
      <c r="D21" s="379" t="s">
        <v>480</v>
      </c>
      <c r="E21" s="380"/>
      <c r="F21" s="305"/>
      <c r="AF21" s="305">
        <v>14</v>
      </c>
      <c r="AG21" s="305" t="str">
        <f>D33</f>
        <v>18 Februari 2026</v>
      </c>
    </row>
    <row r="22" spans="3:33" x14ac:dyDescent="0.3">
      <c r="C22" s="308"/>
      <c r="D22" s="317"/>
      <c r="E22" s="317"/>
      <c r="F22" s="305"/>
      <c r="AF22" s="305">
        <v>15</v>
      </c>
      <c r="AG22" s="305" t="str">
        <f>D35</f>
        <v>0021-2.2/KALIBRASI BBLM/III/2026</v>
      </c>
    </row>
    <row r="23" spans="3:33" x14ac:dyDescent="0.3">
      <c r="C23" s="308" t="s">
        <v>397</v>
      </c>
      <c r="D23" s="384">
        <v>1230120304</v>
      </c>
      <c r="E23" s="381"/>
      <c r="F23" s="305"/>
      <c r="AF23" s="305">
        <v>16</v>
      </c>
      <c r="AG23" s="305" t="str">
        <f>D37</f>
        <v xml:space="preserve">F1 </v>
      </c>
    </row>
    <row r="24" spans="3:33" x14ac:dyDescent="0.3">
      <c r="C24" s="308"/>
      <c r="D24" s="317"/>
      <c r="E24" s="317"/>
      <c r="F24" s="305"/>
      <c r="AF24" s="305">
        <v>17</v>
      </c>
      <c r="AG24" s="305" t="str">
        <f>D39</f>
        <v>YCS-01-653-00</v>
      </c>
    </row>
    <row r="25" spans="3:33" x14ac:dyDescent="0.3">
      <c r="C25" s="308" t="s">
        <v>398</v>
      </c>
      <c r="D25" s="379" t="s">
        <v>481</v>
      </c>
      <c r="E25" s="380"/>
      <c r="F25" s="305"/>
      <c r="AF25" s="305">
        <v>18</v>
      </c>
      <c r="AG25" s="305" t="str">
        <f>D41</f>
        <v>1 Maret 2026</v>
      </c>
    </row>
    <row r="26" spans="3:33" x14ac:dyDescent="0.3">
      <c r="C26" s="308"/>
      <c r="D26" s="347"/>
      <c r="E26" s="347"/>
      <c r="F26" s="305"/>
      <c r="AF26" s="305">
        <v>19</v>
      </c>
      <c r="AG26" s="305" t="str">
        <f>D43</f>
        <v>-</v>
      </c>
    </row>
    <row r="27" spans="3:33" x14ac:dyDescent="0.3">
      <c r="C27" s="308" t="s">
        <v>426</v>
      </c>
      <c r="D27" s="379" t="s">
        <v>482</v>
      </c>
      <c r="E27" s="380"/>
      <c r="F27" s="305"/>
      <c r="AF27" s="305">
        <v>20</v>
      </c>
      <c r="AG27" s="305" t="str">
        <f>D45</f>
        <v>-</v>
      </c>
    </row>
    <row r="28" spans="3:33" x14ac:dyDescent="0.3">
      <c r="C28" s="308"/>
      <c r="D28" s="317"/>
      <c r="E28" s="317"/>
      <c r="F28" s="305"/>
      <c r="AF28" s="305">
        <v>21</v>
      </c>
      <c r="AG28" s="322">
        <f>D47</f>
        <v>0</v>
      </c>
    </row>
    <row r="29" spans="3:33" x14ac:dyDescent="0.3">
      <c r="C29" s="308" t="s">
        <v>230</v>
      </c>
      <c r="D29" s="379" t="s">
        <v>17</v>
      </c>
      <c r="E29" s="380"/>
      <c r="F29" s="305"/>
    </row>
    <row r="30" spans="3:33" x14ac:dyDescent="0.3">
      <c r="C30" s="308"/>
      <c r="D30" s="317"/>
      <c r="E30" s="317"/>
      <c r="F30" s="305"/>
    </row>
    <row r="31" spans="3:33" x14ac:dyDescent="0.3">
      <c r="C31" s="308" t="s">
        <v>254</v>
      </c>
      <c r="D31" s="379" t="s">
        <v>436</v>
      </c>
      <c r="E31" s="381"/>
      <c r="F31" s="305"/>
    </row>
    <row r="32" spans="3:33" x14ac:dyDescent="0.3">
      <c r="C32" s="308"/>
      <c r="D32" s="317"/>
      <c r="E32" s="317"/>
      <c r="F32" s="305"/>
    </row>
    <row r="33" spans="3:33" x14ac:dyDescent="0.3">
      <c r="C33" s="308" t="s">
        <v>11</v>
      </c>
      <c r="D33" s="379" t="s">
        <v>437</v>
      </c>
      <c r="E33" s="380"/>
      <c r="F33" s="305"/>
    </row>
    <row r="34" spans="3:33" x14ac:dyDescent="0.3">
      <c r="C34" s="308"/>
      <c r="F34" s="305"/>
    </row>
    <row r="35" spans="3:33" x14ac:dyDescent="0.3">
      <c r="C35" s="308" t="s">
        <v>399</v>
      </c>
      <c r="D35" s="389" t="s">
        <v>483</v>
      </c>
      <c r="E35" s="387"/>
      <c r="F35" s="305"/>
    </row>
    <row r="36" spans="3:33" x14ac:dyDescent="0.3">
      <c r="C36" s="308"/>
      <c r="F36" s="305"/>
    </row>
    <row r="37" spans="3:33" x14ac:dyDescent="0.3">
      <c r="C37" s="308" t="s">
        <v>10</v>
      </c>
      <c r="D37" s="386" t="s">
        <v>354</v>
      </c>
      <c r="E37" s="387"/>
      <c r="F37" s="305"/>
    </row>
    <row r="38" spans="3:33" x14ac:dyDescent="0.3">
      <c r="C38" s="308"/>
      <c r="D38" s="323"/>
      <c r="E38" s="323"/>
      <c r="F38" s="305"/>
    </row>
    <row r="39" spans="3:33" x14ac:dyDescent="0.3">
      <c r="C39" s="308" t="s">
        <v>428</v>
      </c>
      <c r="D39" s="386" t="s">
        <v>341</v>
      </c>
      <c r="E39" s="387"/>
      <c r="F39" s="305"/>
    </row>
    <row r="40" spans="3:33" x14ac:dyDescent="0.3">
      <c r="C40" s="308"/>
      <c r="D40" s="323"/>
      <c r="E40" s="323"/>
      <c r="F40" s="305"/>
    </row>
    <row r="41" spans="3:33" x14ac:dyDescent="0.3">
      <c r="C41" s="308" t="s">
        <v>400</v>
      </c>
      <c r="D41" s="389" t="s">
        <v>484</v>
      </c>
      <c r="E41" s="387"/>
      <c r="F41" s="305"/>
    </row>
    <row r="42" spans="3:33" x14ac:dyDescent="0.3">
      <c r="C42" s="308"/>
      <c r="D42" s="323"/>
      <c r="E42" s="323"/>
      <c r="F42" s="305"/>
      <c r="AD42"/>
    </row>
    <row r="43" spans="3:33" x14ac:dyDescent="0.3">
      <c r="C43" s="308" t="s">
        <v>401</v>
      </c>
      <c r="D43" s="390" t="s">
        <v>17</v>
      </c>
      <c r="E43" s="391"/>
      <c r="F43" s="305"/>
    </row>
    <row r="44" spans="3:33" x14ac:dyDescent="0.3">
      <c r="C44" s="308"/>
      <c r="D44" s="323"/>
      <c r="E44" s="323"/>
      <c r="F44" s="305"/>
    </row>
    <row r="45" spans="3:33" x14ac:dyDescent="0.3">
      <c r="C45" s="308" t="s">
        <v>402</v>
      </c>
      <c r="D45" s="390" t="s">
        <v>17</v>
      </c>
      <c r="E45" s="391"/>
      <c r="F45" s="305"/>
    </row>
    <row r="46" spans="3:33" x14ac:dyDescent="0.3">
      <c r="C46" s="308"/>
      <c r="D46" s="323"/>
      <c r="E46" s="323"/>
      <c r="F46" s="305"/>
      <c r="AD46" s="385"/>
      <c r="AE46" s="385"/>
      <c r="AG46"/>
    </row>
    <row r="47" spans="3:33" x14ac:dyDescent="0.3">
      <c r="C47" s="308" t="s">
        <v>403</v>
      </c>
      <c r="D47" s="386"/>
      <c r="E47" s="387"/>
      <c r="F47" s="305"/>
    </row>
    <row r="48" spans="3:33" x14ac:dyDescent="0.3">
      <c r="C48" s="308"/>
      <c r="F48" s="305"/>
    </row>
    <row r="49" spans="3:6" x14ac:dyDescent="0.3">
      <c r="C49" s="308"/>
      <c r="F49" s="305"/>
    </row>
    <row r="50" spans="3:6" x14ac:dyDescent="0.3">
      <c r="C50" s="388" t="s">
        <v>404</v>
      </c>
      <c r="D50" s="388"/>
      <c r="E50" s="388"/>
      <c r="F50" s="305"/>
    </row>
    <row r="51" spans="3:6" x14ac:dyDescent="0.3">
      <c r="C51" s="388"/>
      <c r="D51" s="388"/>
      <c r="E51" s="388"/>
      <c r="F51" s="305"/>
    </row>
  </sheetData>
  <mergeCells count="22">
    <mergeCell ref="AD46:AE46"/>
    <mergeCell ref="D39:E39"/>
    <mergeCell ref="D47:E47"/>
    <mergeCell ref="C50:E51"/>
    <mergeCell ref="D35:E35"/>
    <mergeCell ref="D37:E37"/>
    <mergeCell ref="D41:E41"/>
    <mergeCell ref="D43:E43"/>
    <mergeCell ref="D45:E45"/>
    <mergeCell ref="D33:E33"/>
    <mergeCell ref="D9:E9"/>
    <mergeCell ref="D11:E11"/>
    <mergeCell ref="D13:E13"/>
    <mergeCell ref="D15:E15"/>
    <mergeCell ref="D17:E17"/>
    <mergeCell ref="D19:E19"/>
    <mergeCell ref="D27:E27"/>
    <mergeCell ref="D21:E21"/>
    <mergeCell ref="D23:E23"/>
    <mergeCell ref="D25:E25"/>
    <mergeCell ref="D29:E29"/>
    <mergeCell ref="D31:E31"/>
  </mergeCells>
  <hyperlinks>
    <hyperlink ref="C50:E51" location="Sertifikat!A1" display="CETAK SERTIFIKAT " xr:uid="{6071F8CF-76F6-4535-B12A-CD04DB3B59D1}"/>
  </hyperlink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88CDB5C-BAFC-4B16-B9D1-BA93A3C75E82}">
          <x14:formula1>
            <xm:f>Database!$A$8:$A$11</xm:f>
          </x14:formula1>
          <xm:sqref>D37:E37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36"/>
  <sheetViews>
    <sheetView view="pageBreakPreview" topLeftCell="A80" zoomScaleNormal="100" zoomScaleSheetLayoutView="100" workbookViewId="0">
      <selection activeCell="E114" sqref="E114"/>
    </sheetView>
  </sheetViews>
  <sheetFormatPr defaultRowHeight="14.4" x14ac:dyDescent="0.3"/>
  <cols>
    <col min="1" max="1" width="18.109375" customWidth="1"/>
    <col min="2" max="2" width="4.5546875" style="53" customWidth="1"/>
    <col min="3" max="3" width="11.44140625" customWidth="1"/>
    <col min="4" max="4" width="16.44140625" customWidth="1"/>
    <col min="5" max="5" width="18.33203125" customWidth="1"/>
    <col min="6" max="6" width="16.44140625" customWidth="1"/>
  </cols>
  <sheetData>
    <row r="1" spans="1:8" ht="54" customHeight="1" x14ac:dyDescent="0.3">
      <c r="A1" s="394" t="s">
        <v>153</v>
      </c>
      <c r="B1" s="395"/>
      <c r="C1" s="395"/>
      <c r="D1" s="395"/>
      <c r="E1" s="395"/>
      <c r="F1" s="395"/>
    </row>
    <row r="2" spans="1:8" x14ac:dyDescent="0.3">
      <c r="A2" s="91" t="s">
        <v>2</v>
      </c>
      <c r="B2" s="116" t="s">
        <v>3</v>
      </c>
      <c r="C2" s="396" t="e">
        <f>'U95'!#REF!</f>
        <v>#REF!</v>
      </c>
      <c r="D2" s="397"/>
      <c r="E2" s="397"/>
      <c r="F2" s="398"/>
    </row>
    <row r="3" spans="1:8" x14ac:dyDescent="0.3">
      <c r="A3" s="91" t="s">
        <v>1</v>
      </c>
      <c r="B3" s="116" t="s">
        <v>3</v>
      </c>
      <c r="C3" s="396">
        <f>'U95'!C3</f>
        <v>0</v>
      </c>
      <c r="D3" s="397"/>
      <c r="E3" s="397"/>
      <c r="F3" s="398"/>
    </row>
    <row r="4" spans="1:8" x14ac:dyDescent="0.3">
      <c r="A4" s="91" t="s">
        <v>154</v>
      </c>
      <c r="B4" s="116" t="s">
        <v>3</v>
      </c>
      <c r="C4" s="113" t="s">
        <v>212</v>
      </c>
      <c r="D4" s="94"/>
      <c r="E4" s="94"/>
      <c r="F4" s="95"/>
    </row>
    <row r="5" spans="1:8" x14ac:dyDescent="0.3">
      <c r="A5" s="91" t="s">
        <v>155</v>
      </c>
      <c r="B5" s="116" t="s">
        <v>3</v>
      </c>
      <c r="C5" s="101" t="e">
        <f>'U95'!#REF!</f>
        <v>#REF!</v>
      </c>
      <c r="D5" s="105"/>
      <c r="E5" s="105"/>
      <c r="F5" s="106"/>
    </row>
    <row r="6" spans="1:8" x14ac:dyDescent="0.3">
      <c r="A6" s="91" t="s">
        <v>156</v>
      </c>
      <c r="B6" s="116" t="s">
        <v>3</v>
      </c>
      <c r="C6" s="396" t="s">
        <v>208</v>
      </c>
      <c r="D6" s="397"/>
      <c r="E6" s="397"/>
      <c r="F6" s="398"/>
      <c r="H6" s="53"/>
    </row>
    <row r="7" spans="1:8" x14ac:dyDescent="0.3">
      <c r="A7" s="84" t="s">
        <v>157</v>
      </c>
      <c r="B7" s="116" t="s">
        <v>3</v>
      </c>
      <c r="C7" s="399" t="s">
        <v>160</v>
      </c>
      <c r="D7" s="400"/>
      <c r="E7" s="89" t="s">
        <v>161</v>
      </c>
      <c r="F7" s="90" t="s">
        <v>130</v>
      </c>
    </row>
    <row r="8" spans="1:8" ht="15.6" x14ac:dyDescent="0.3">
      <c r="A8" s="86" t="s">
        <v>162</v>
      </c>
      <c r="B8" s="116" t="s">
        <v>3</v>
      </c>
      <c r="C8" s="392">
        <f>'U95'!C8</f>
        <v>28.6</v>
      </c>
      <c r="D8" s="393"/>
      <c r="E8" s="122">
        <f>'U95'!C9</f>
        <v>28.6</v>
      </c>
      <c r="F8" s="102">
        <f>'U95'!C10</f>
        <v>28.6</v>
      </c>
    </row>
    <row r="9" spans="1:8" ht="15.6" x14ac:dyDescent="0.3">
      <c r="A9" s="87" t="s">
        <v>163</v>
      </c>
      <c r="B9" s="116" t="s">
        <v>3</v>
      </c>
      <c r="C9" s="392">
        <f>'U95'!C11</f>
        <v>61.2</v>
      </c>
      <c r="D9" s="393"/>
      <c r="E9" s="103">
        <f>'U95'!C12</f>
        <v>61.2</v>
      </c>
      <c r="F9" s="102">
        <f>'U95'!C13</f>
        <v>61.2</v>
      </c>
    </row>
    <row r="10" spans="1:8" ht="15.6" x14ac:dyDescent="0.3">
      <c r="A10" s="88" t="s">
        <v>164</v>
      </c>
      <c r="B10" s="116" t="s">
        <v>3</v>
      </c>
      <c r="C10" s="401">
        <f>'U95'!D14</f>
        <v>691.5</v>
      </c>
      <c r="D10" s="402"/>
      <c r="E10" s="120">
        <f>'U95'!D15</f>
        <v>691.5</v>
      </c>
      <c r="F10" s="119">
        <f>'U95'!D16</f>
        <v>691.5</v>
      </c>
    </row>
    <row r="11" spans="1:8" x14ac:dyDescent="0.3">
      <c r="A11" s="91" t="s">
        <v>10</v>
      </c>
      <c r="B11" s="116" t="s">
        <v>3</v>
      </c>
      <c r="C11" s="113" t="s">
        <v>213</v>
      </c>
      <c r="D11" s="92"/>
      <c r="E11" s="94"/>
      <c r="F11" s="95"/>
    </row>
    <row r="12" spans="1:8" x14ac:dyDescent="0.3">
      <c r="A12" s="91" t="s">
        <v>158</v>
      </c>
      <c r="B12" s="116" t="s">
        <v>3</v>
      </c>
      <c r="C12" s="93"/>
      <c r="D12" s="94"/>
      <c r="E12" s="94"/>
      <c r="F12" s="95"/>
    </row>
    <row r="13" spans="1:8" x14ac:dyDescent="0.3">
      <c r="A13" s="91" t="s">
        <v>159</v>
      </c>
      <c r="B13" s="116" t="s">
        <v>3</v>
      </c>
      <c r="C13" s="146" t="e">
        <f>'U95'!#REF!</f>
        <v>#REF!</v>
      </c>
      <c r="D13" s="117"/>
      <c r="E13" s="94"/>
      <c r="F13" s="95"/>
    </row>
    <row r="14" spans="1:8" x14ac:dyDescent="0.3">
      <c r="A14" s="53"/>
      <c r="C14" s="53"/>
    </row>
    <row r="15" spans="1:8" x14ac:dyDescent="0.3">
      <c r="A15" s="53"/>
      <c r="C15" s="53"/>
    </row>
    <row r="17" spans="1:6" x14ac:dyDescent="0.3">
      <c r="A17" t="s">
        <v>134</v>
      </c>
      <c r="B17"/>
    </row>
    <row r="19" spans="1:6" x14ac:dyDescent="0.3">
      <c r="A19" s="53" t="s">
        <v>127</v>
      </c>
      <c r="B19" s="53" t="s">
        <v>3</v>
      </c>
      <c r="C19" s="54">
        <f>'U95'!D24</f>
        <v>200000</v>
      </c>
      <c r="D19" t="s">
        <v>80</v>
      </c>
    </row>
    <row r="20" spans="1:6" x14ac:dyDescent="0.3">
      <c r="A20" s="53" t="s">
        <v>128</v>
      </c>
      <c r="B20" s="53" t="s">
        <v>3</v>
      </c>
      <c r="C20" s="123">
        <f>'U95'!D25</f>
        <v>100000.04399999999</v>
      </c>
      <c r="D20" t="s">
        <v>80</v>
      </c>
    </row>
    <row r="22" spans="1:6" x14ac:dyDescent="0.3">
      <c r="B22"/>
      <c r="C22" s="56" t="s">
        <v>22</v>
      </c>
      <c r="D22" s="56" t="s">
        <v>129</v>
      </c>
      <c r="E22" s="56" t="s">
        <v>130</v>
      </c>
      <c r="F22" s="57" t="s">
        <v>132</v>
      </c>
    </row>
    <row r="23" spans="1:6" x14ac:dyDescent="0.3">
      <c r="B23"/>
      <c r="C23" s="58"/>
      <c r="D23" s="58"/>
      <c r="E23" s="58" t="s">
        <v>131</v>
      </c>
      <c r="F23" s="58" t="s">
        <v>133</v>
      </c>
    </row>
    <row r="24" spans="1:6" x14ac:dyDescent="0.3">
      <c r="B24"/>
      <c r="C24" s="59" t="str">
        <f>D19</f>
        <v>kg</v>
      </c>
      <c r="D24" s="59" t="str">
        <f>C24</f>
        <v>kg</v>
      </c>
      <c r="E24" s="59" t="str">
        <f>C24</f>
        <v>kg</v>
      </c>
      <c r="F24" s="59" t="str">
        <f>E24</f>
        <v>kg</v>
      </c>
    </row>
    <row r="25" spans="1:6" x14ac:dyDescent="0.3">
      <c r="B25"/>
      <c r="C25" s="55">
        <f>'U95'!C28</f>
        <v>0</v>
      </c>
      <c r="D25" s="160">
        <f>'U95'!D28</f>
        <v>0</v>
      </c>
      <c r="E25" s="403">
        <f>((D26-D25)+(D27-D28))/2</f>
        <v>200100</v>
      </c>
      <c r="F25" s="406">
        <f>'U95'!G30</f>
        <v>-100099.95600000001</v>
      </c>
    </row>
    <row r="26" spans="1:6" x14ac:dyDescent="0.3">
      <c r="B26"/>
      <c r="C26" s="60" t="s">
        <v>42</v>
      </c>
      <c r="D26" s="160">
        <f>'U95'!D29</f>
        <v>200100</v>
      </c>
      <c r="E26" s="404"/>
      <c r="F26" s="406"/>
    </row>
    <row r="27" spans="1:6" x14ac:dyDescent="0.3">
      <c r="B27"/>
      <c r="C27" s="60" t="s">
        <v>42</v>
      </c>
      <c r="D27" s="160">
        <f>'U95'!D30</f>
        <v>200100</v>
      </c>
      <c r="E27" s="404"/>
      <c r="F27" s="406"/>
    </row>
    <row r="28" spans="1:6" x14ac:dyDescent="0.3">
      <c r="B28"/>
      <c r="C28" s="55">
        <v>0</v>
      </c>
      <c r="D28" s="160">
        <f>'U95'!D31</f>
        <v>0</v>
      </c>
      <c r="E28" s="405"/>
      <c r="F28" s="406"/>
    </row>
    <row r="31" spans="1:6" x14ac:dyDescent="0.3">
      <c r="A31" s="53" t="s">
        <v>135</v>
      </c>
      <c r="B31"/>
    </row>
    <row r="33" spans="1:6" x14ac:dyDescent="0.3">
      <c r="A33" s="53" t="s">
        <v>127</v>
      </c>
      <c r="B33" s="53" t="s">
        <v>3</v>
      </c>
      <c r="C33" s="54">
        <f>C19</f>
        <v>200000</v>
      </c>
      <c r="D33" t="str">
        <f>D19</f>
        <v>kg</v>
      </c>
    </row>
    <row r="34" spans="1:6" x14ac:dyDescent="0.3">
      <c r="A34" s="53" t="s">
        <v>128</v>
      </c>
      <c r="B34" s="53" t="s">
        <v>3</v>
      </c>
      <c r="C34" s="123">
        <f>C20</f>
        <v>100000.04399999999</v>
      </c>
      <c r="D34" t="str">
        <f>D33</f>
        <v>kg</v>
      </c>
    </row>
    <row r="36" spans="1:6" x14ac:dyDescent="0.3">
      <c r="B36"/>
      <c r="C36" s="56" t="s">
        <v>22</v>
      </c>
      <c r="D36" s="56" t="s">
        <v>129</v>
      </c>
      <c r="E36" s="56" t="s">
        <v>130</v>
      </c>
      <c r="F36" s="57" t="s">
        <v>132</v>
      </c>
    </row>
    <row r="37" spans="1:6" x14ac:dyDescent="0.3">
      <c r="B37"/>
      <c r="C37" s="58"/>
      <c r="D37" s="58"/>
      <c r="E37" s="58" t="s">
        <v>131</v>
      </c>
      <c r="F37" s="58" t="s">
        <v>133</v>
      </c>
    </row>
    <row r="38" spans="1:6" x14ac:dyDescent="0.3">
      <c r="C38" s="59" t="str">
        <f>D33</f>
        <v>kg</v>
      </c>
      <c r="D38" s="59" t="str">
        <f>C38</f>
        <v>kg</v>
      </c>
      <c r="E38" s="59" t="str">
        <f>C38</f>
        <v>kg</v>
      </c>
      <c r="F38" s="59" t="str">
        <f>E38</f>
        <v>kg</v>
      </c>
    </row>
    <row r="39" spans="1:6" x14ac:dyDescent="0.3">
      <c r="C39" s="55">
        <f>'U95'!C39</f>
        <v>1</v>
      </c>
      <c r="D39" s="160">
        <f>'U95'!K28</f>
        <v>0</v>
      </c>
      <c r="E39" s="403">
        <f>((D40-D39)+(D41-D42))/2</f>
        <v>200100</v>
      </c>
      <c r="F39" s="406">
        <f>'U95'!N30</f>
        <v>-100099.95600000001</v>
      </c>
    </row>
    <row r="40" spans="1:6" x14ac:dyDescent="0.3">
      <c r="C40" s="60" t="s">
        <v>42</v>
      </c>
      <c r="D40" s="160">
        <f>'U95'!K29</f>
        <v>200100</v>
      </c>
      <c r="E40" s="404"/>
      <c r="F40" s="406"/>
    </row>
    <row r="41" spans="1:6" x14ac:dyDescent="0.3">
      <c r="C41" s="60" t="s">
        <v>42</v>
      </c>
      <c r="D41" s="160">
        <f>'U95'!K30</f>
        <v>200100</v>
      </c>
      <c r="E41" s="404"/>
      <c r="F41" s="406"/>
    </row>
    <row r="42" spans="1:6" x14ac:dyDescent="0.3">
      <c r="C42" s="55">
        <v>0</v>
      </c>
      <c r="D42" s="160">
        <f>'U95'!K31</f>
        <v>0</v>
      </c>
      <c r="E42" s="405"/>
      <c r="F42" s="406"/>
    </row>
    <row r="52" spans="1:6" x14ac:dyDescent="0.3">
      <c r="A52" s="53" t="s">
        <v>166</v>
      </c>
      <c r="B52"/>
    </row>
    <row r="53" spans="1:6" x14ac:dyDescent="0.3">
      <c r="A53" s="53" t="s">
        <v>140</v>
      </c>
      <c r="B53"/>
      <c r="F53" s="43" t="s">
        <v>214</v>
      </c>
    </row>
    <row r="55" spans="1:6" ht="28.8" x14ac:dyDescent="0.3">
      <c r="B55"/>
      <c r="C55" s="66" t="s">
        <v>136</v>
      </c>
      <c r="D55" s="66" t="s">
        <v>129</v>
      </c>
      <c r="E55" s="67" t="s">
        <v>138</v>
      </c>
      <c r="F55" s="67" t="s">
        <v>137</v>
      </c>
    </row>
    <row r="56" spans="1:6" x14ac:dyDescent="0.3">
      <c r="B56"/>
      <c r="C56" s="64"/>
      <c r="D56" s="59" t="s">
        <v>215</v>
      </c>
      <c r="E56" s="59" t="s">
        <v>215</v>
      </c>
      <c r="F56" s="59" t="s">
        <v>215</v>
      </c>
    </row>
    <row r="57" spans="1:6" x14ac:dyDescent="0.3">
      <c r="B57"/>
      <c r="C57" s="68">
        <v>0</v>
      </c>
      <c r="D57" s="157">
        <f>'U95'!D139</f>
        <v>14.994999999999999</v>
      </c>
      <c r="E57" s="157">
        <f>'U95'!E139</f>
        <v>0</v>
      </c>
      <c r="F57" s="157"/>
    </row>
    <row r="58" spans="1:6" x14ac:dyDescent="0.3">
      <c r="B58"/>
      <c r="C58" s="69">
        <v>1</v>
      </c>
      <c r="D58" s="104">
        <f>'U95'!D140</f>
        <v>14.978</v>
      </c>
      <c r="E58" s="104">
        <f>'U95'!E140</f>
        <v>-1.699999999999946E-2</v>
      </c>
      <c r="F58" s="104"/>
    </row>
    <row r="59" spans="1:6" x14ac:dyDescent="0.3">
      <c r="B59"/>
      <c r="C59" s="69">
        <v>2</v>
      </c>
      <c r="D59" s="104">
        <f>'U95'!D141</f>
        <v>15</v>
      </c>
      <c r="E59" s="104">
        <f>'U95'!E141</f>
        <v>5.0000000000007816E-3</v>
      </c>
      <c r="F59" s="159">
        <f>'U95'!F139</f>
        <v>2.2999999999999687E-2</v>
      </c>
    </row>
    <row r="60" spans="1:6" x14ac:dyDescent="0.3">
      <c r="B60"/>
      <c r="C60" s="69">
        <v>3</v>
      </c>
      <c r="D60" s="104">
        <f>'U95'!D142</f>
        <v>14.991</v>
      </c>
      <c r="E60" s="104">
        <f>'U95'!E142</f>
        <v>-3.9999999999995595E-3</v>
      </c>
      <c r="F60" s="104"/>
    </row>
    <row r="61" spans="1:6" x14ac:dyDescent="0.3">
      <c r="B61"/>
      <c r="C61" s="59">
        <v>4</v>
      </c>
      <c r="D61" s="158">
        <f>'U95'!D143</f>
        <v>15.000999999999999</v>
      </c>
      <c r="E61" s="158">
        <f>'U95'!E143</f>
        <v>6.0000000000002274E-3</v>
      </c>
      <c r="F61" s="158"/>
    </row>
    <row r="65" spans="1:6" ht="15.6" x14ac:dyDescent="0.3">
      <c r="A65" s="80" t="s">
        <v>167</v>
      </c>
      <c r="B65"/>
    </row>
    <row r="66" spans="1:6" ht="15.6" x14ac:dyDescent="0.3">
      <c r="A66" s="79" t="s">
        <v>151</v>
      </c>
      <c r="B66"/>
      <c r="E66">
        <f>'U95'!D152</f>
        <v>100000</v>
      </c>
      <c r="F66" t="str">
        <f>'U95'!E152</f>
        <v>g</v>
      </c>
    </row>
    <row r="67" spans="1:6" ht="15.6" x14ac:dyDescent="0.3">
      <c r="A67" s="79" t="s">
        <v>152</v>
      </c>
      <c r="B67"/>
    </row>
    <row r="68" spans="1:6" ht="15.6" x14ac:dyDescent="0.3">
      <c r="A68" s="79"/>
      <c r="B68"/>
    </row>
    <row r="70" spans="1:6" x14ac:dyDescent="0.3">
      <c r="B70" s="407" t="s">
        <v>136</v>
      </c>
      <c r="C70" s="408"/>
      <c r="D70" s="81" t="s">
        <v>69</v>
      </c>
      <c r="E70" s="81" t="s">
        <v>70</v>
      </c>
      <c r="F70" s="82" t="s">
        <v>145</v>
      </c>
    </row>
    <row r="71" spans="1:6" x14ac:dyDescent="0.3">
      <c r="B71" s="409"/>
      <c r="C71" s="410"/>
      <c r="D71" s="133" t="s">
        <v>211</v>
      </c>
      <c r="E71" s="133" t="s">
        <v>211</v>
      </c>
      <c r="F71" s="133" t="s">
        <v>211</v>
      </c>
    </row>
    <row r="72" spans="1:6" x14ac:dyDescent="0.3">
      <c r="B72" s="411" t="s">
        <v>72</v>
      </c>
      <c r="C72" s="412"/>
      <c r="D72" s="157">
        <f>'U95'!D155</f>
        <v>14.992000000000001</v>
      </c>
      <c r="E72" s="157"/>
      <c r="F72" s="157"/>
    </row>
    <row r="73" spans="1:6" x14ac:dyDescent="0.3">
      <c r="B73" s="413" t="s">
        <v>146</v>
      </c>
      <c r="C73" s="414"/>
      <c r="D73" s="158"/>
      <c r="E73" s="158">
        <f>'U95'!E155</f>
        <v>14.99</v>
      </c>
      <c r="F73" s="104"/>
    </row>
    <row r="74" spans="1:6" x14ac:dyDescent="0.3">
      <c r="B74" s="411" t="s">
        <v>147</v>
      </c>
      <c r="C74" s="415"/>
      <c r="D74" s="157">
        <f>'U95'!D156</f>
        <v>14.991</v>
      </c>
      <c r="E74" s="157"/>
      <c r="F74" s="104"/>
    </row>
    <row r="75" spans="1:6" x14ac:dyDescent="0.3">
      <c r="B75" s="414" t="s">
        <v>148</v>
      </c>
      <c r="C75" s="414"/>
      <c r="D75" s="158"/>
      <c r="E75" s="158">
        <f>'U95'!E156</f>
        <v>14.99</v>
      </c>
      <c r="F75" s="104">
        <f>'U95'!F155</f>
        <v>2.4999999999941735E-4</v>
      </c>
    </row>
    <row r="76" spans="1:6" x14ac:dyDescent="0.3">
      <c r="B76" s="416" t="s">
        <v>149</v>
      </c>
      <c r="C76" s="417"/>
      <c r="D76" s="157">
        <f>'U95'!D157</f>
        <v>14.99</v>
      </c>
      <c r="E76" s="157"/>
      <c r="F76" s="104"/>
    </row>
    <row r="77" spans="1:6" x14ac:dyDescent="0.3">
      <c r="B77" s="418" t="s">
        <v>150</v>
      </c>
      <c r="C77" s="419"/>
      <c r="D77" s="158"/>
      <c r="E77" s="158">
        <f>'U95'!E157</f>
        <v>14.994</v>
      </c>
      <c r="F77" s="104"/>
    </row>
    <row r="78" spans="1:6" x14ac:dyDescent="0.3">
      <c r="B78" s="416" t="s">
        <v>72</v>
      </c>
      <c r="C78" s="417"/>
      <c r="D78" s="157">
        <f>'U95'!D158</f>
        <v>14.99</v>
      </c>
      <c r="E78" s="157"/>
      <c r="F78" s="104"/>
    </row>
    <row r="79" spans="1:6" x14ac:dyDescent="0.3">
      <c r="B79" s="420" t="s">
        <v>146</v>
      </c>
      <c r="C79" s="421"/>
      <c r="D79" s="158"/>
      <c r="E79" s="158">
        <f>'U95'!E158</f>
        <v>14.994</v>
      </c>
      <c r="F79" s="158"/>
    </row>
    <row r="83" spans="1:6" x14ac:dyDescent="0.3">
      <c r="A83" s="84" t="s">
        <v>168</v>
      </c>
      <c r="B83" s="85"/>
      <c r="C83" s="73"/>
      <c r="D83" s="73"/>
      <c r="E83" s="73"/>
      <c r="F83" s="74"/>
    </row>
    <row r="84" spans="1:6" x14ac:dyDescent="0.3">
      <c r="A84" s="422" t="s">
        <v>217</v>
      </c>
      <c r="B84" s="423"/>
      <c r="C84" s="423"/>
      <c r="D84" s="423"/>
      <c r="E84" s="423"/>
      <c r="F84" s="424"/>
    </row>
    <row r="85" spans="1:6" x14ac:dyDescent="0.3">
      <c r="A85" s="425"/>
      <c r="B85" s="423"/>
      <c r="C85" s="423"/>
      <c r="D85" s="423"/>
      <c r="E85" s="423"/>
      <c r="F85" s="424"/>
    </row>
    <row r="86" spans="1:6" x14ac:dyDescent="0.3">
      <c r="A86" s="132" t="s">
        <v>209</v>
      </c>
      <c r="F86" s="75"/>
    </row>
    <row r="87" spans="1:6" x14ac:dyDescent="0.3">
      <c r="A87" s="167" t="s">
        <v>216</v>
      </c>
      <c r="F87" s="75"/>
    </row>
    <row r="88" spans="1:6" x14ac:dyDescent="0.3">
      <c r="A88" s="76"/>
      <c r="B88" s="83"/>
      <c r="C88" s="77"/>
      <c r="D88" s="77"/>
      <c r="E88" s="77"/>
      <c r="F88" s="78"/>
    </row>
    <row r="89" spans="1:6" x14ac:dyDescent="0.3">
      <c r="A89" s="399" t="s">
        <v>169</v>
      </c>
      <c r="B89" s="400"/>
      <c r="C89" s="399" t="s">
        <v>170</v>
      </c>
      <c r="D89" s="400"/>
      <c r="E89" s="96" t="s">
        <v>171</v>
      </c>
      <c r="F89" s="95"/>
    </row>
    <row r="90" spans="1:6" ht="36.75" customHeight="1" x14ac:dyDescent="0.3">
      <c r="A90" s="429"/>
      <c r="B90" s="430"/>
      <c r="C90" s="429"/>
      <c r="D90" s="430"/>
      <c r="E90" s="97"/>
      <c r="F90" s="95"/>
    </row>
    <row r="91" spans="1:6" x14ac:dyDescent="0.3">
      <c r="A91" s="431" t="s">
        <v>176</v>
      </c>
      <c r="B91" s="400"/>
      <c r="C91" s="431" t="s">
        <v>196</v>
      </c>
      <c r="D91" s="400"/>
      <c r="E91" s="134"/>
      <c r="F91" s="95"/>
    </row>
    <row r="97" spans="1:5" x14ac:dyDescent="0.3">
      <c r="A97" s="53" t="s">
        <v>165</v>
      </c>
      <c r="B97"/>
    </row>
    <row r="99" spans="1:5" x14ac:dyDescent="0.3">
      <c r="B99" s="43" t="s">
        <v>210</v>
      </c>
      <c r="E99" s="54">
        <f>'U95'!D36</f>
        <v>100000</v>
      </c>
    </row>
    <row r="100" spans="1:5" x14ac:dyDescent="0.3">
      <c r="B100" s="70" t="s">
        <v>38</v>
      </c>
      <c r="C100" s="70" t="s">
        <v>141</v>
      </c>
      <c r="D100" s="70" t="s">
        <v>142</v>
      </c>
      <c r="E100" s="70" t="s">
        <v>143</v>
      </c>
    </row>
    <row r="101" spans="1:5" x14ac:dyDescent="0.3">
      <c r="B101" s="59"/>
      <c r="C101" s="114" t="s">
        <v>211</v>
      </c>
      <c r="D101" s="114" t="s">
        <v>211</v>
      </c>
      <c r="E101" s="114" t="s">
        <v>211</v>
      </c>
    </row>
    <row r="102" spans="1:5" x14ac:dyDescent="0.3">
      <c r="B102" s="63">
        <v>1</v>
      </c>
      <c r="C102" s="168">
        <f>'U95'!E39</f>
        <v>0</v>
      </c>
      <c r="D102" s="168">
        <f>'U95'!E40</f>
        <v>100000</v>
      </c>
      <c r="E102" s="168">
        <f>'U95'!F40</f>
        <v>100000</v>
      </c>
    </row>
    <row r="103" spans="1:5" x14ac:dyDescent="0.3">
      <c r="B103" s="65">
        <v>2</v>
      </c>
      <c r="C103" s="166">
        <f>'U95'!E41</f>
        <v>0</v>
      </c>
      <c r="D103" s="166">
        <f>'U95'!E42</f>
        <v>100000</v>
      </c>
      <c r="E103" s="166">
        <f>'U95'!F42</f>
        <v>100000</v>
      </c>
    </row>
    <row r="104" spans="1:5" x14ac:dyDescent="0.3">
      <c r="B104" s="65">
        <v>3</v>
      </c>
      <c r="C104" s="166">
        <f>'U95'!E43</f>
        <v>0</v>
      </c>
      <c r="D104" s="166">
        <f>'U95'!E44</f>
        <v>100000</v>
      </c>
      <c r="E104" s="166">
        <f>'U95'!F44</f>
        <v>100000</v>
      </c>
    </row>
    <row r="105" spans="1:5" x14ac:dyDescent="0.3">
      <c r="B105" s="65">
        <v>4</v>
      </c>
      <c r="C105" s="166">
        <f>'U95'!E45</f>
        <v>0</v>
      </c>
      <c r="D105" s="166">
        <f>'U95'!E46</f>
        <v>100000</v>
      </c>
      <c r="E105" s="166">
        <f>'U95'!F46</f>
        <v>100000</v>
      </c>
    </row>
    <row r="106" spans="1:5" x14ac:dyDescent="0.3">
      <c r="B106" s="65">
        <v>5</v>
      </c>
      <c r="C106" s="166">
        <f>'U95'!E47</f>
        <v>0</v>
      </c>
      <c r="D106" s="166">
        <f>'U95'!E48</f>
        <v>100000</v>
      </c>
      <c r="E106" s="166">
        <f>'U95'!F48</f>
        <v>100000</v>
      </c>
    </row>
    <row r="107" spans="1:5" x14ac:dyDescent="0.3">
      <c r="B107" s="65">
        <v>6</v>
      </c>
      <c r="C107" s="166">
        <f>'U95'!E49</f>
        <v>0</v>
      </c>
      <c r="D107" s="166">
        <f>'U95'!E50</f>
        <v>101000</v>
      </c>
      <c r="E107" s="166">
        <f>'U95'!F50</f>
        <v>101000</v>
      </c>
    </row>
    <row r="108" spans="1:5" x14ac:dyDescent="0.3">
      <c r="B108" s="65">
        <v>7</v>
      </c>
      <c r="C108" s="166">
        <f>'U95'!E51</f>
        <v>0</v>
      </c>
      <c r="D108" s="166">
        <f>'U95'!E52</f>
        <v>100000</v>
      </c>
      <c r="E108" s="166">
        <f>'U95'!F52</f>
        <v>100000</v>
      </c>
    </row>
    <row r="109" spans="1:5" x14ac:dyDescent="0.3">
      <c r="B109" s="65">
        <v>8</v>
      </c>
      <c r="C109" s="166">
        <f>'U95'!E53</f>
        <v>0</v>
      </c>
      <c r="D109" s="166">
        <f>'U95'!E54</f>
        <v>100000</v>
      </c>
      <c r="E109" s="166">
        <f>'U95'!F54</f>
        <v>100000</v>
      </c>
    </row>
    <row r="110" spans="1:5" x14ac:dyDescent="0.3">
      <c r="B110" s="65">
        <v>9</v>
      </c>
      <c r="C110" s="166">
        <f>'U95'!E55</f>
        <v>0</v>
      </c>
      <c r="D110" s="166">
        <f>'U95'!E56</f>
        <v>100000</v>
      </c>
      <c r="E110" s="166">
        <f>'U95'!F56</f>
        <v>100000</v>
      </c>
    </row>
    <row r="111" spans="1:5" x14ac:dyDescent="0.3">
      <c r="B111" s="64">
        <v>10</v>
      </c>
      <c r="C111" s="169">
        <f>'U95'!E57</f>
        <v>0</v>
      </c>
      <c r="D111" s="169">
        <f>'U95'!E58</f>
        <v>100000</v>
      </c>
      <c r="E111" s="169">
        <f>'U95'!F58</f>
        <v>100000</v>
      </c>
    </row>
    <row r="112" spans="1:5" x14ac:dyDescent="0.3">
      <c r="B112" s="72"/>
      <c r="C112" s="73"/>
      <c r="D112" s="73"/>
      <c r="E112" s="74"/>
    </row>
    <row r="113" spans="2:5" x14ac:dyDescent="0.3">
      <c r="B113" s="426" t="s">
        <v>218</v>
      </c>
      <c r="C113" s="410"/>
      <c r="D113" s="410"/>
      <c r="E113" s="170">
        <f>'U95'!F61</f>
        <v>316.22776601683796</v>
      </c>
    </row>
    <row r="114" spans="2:5" x14ac:dyDescent="0.3">
      <c r="B114" s="427" t="s">
        <v>219</v>
      </c>
      <c r="C114" s="428"/>
      <c r="D114" s="428"/>
      <c r="E114" s="74"/>
    </row>
    <row r="115" spans="2:5" x14ac:dyDescent="0.3">
      <c r="B115" s="425"/>
      <c r="C115" s="423"/>
      <c r="D115" s="423"/>
      <c r="E115" s="171">
        <v>0</v>
      </c>
    </row>
    <row r="116" spans="2:5" x14ac:dyDescent="0.3">
      <c r="B116" s="76"/>
      <c r="C116" s="77"/>
      <c r="D116" s="77"/>
      <c r="E116" s="78"/>
    </row>
    <row r="119" spans="2:5" x14ac:dyDescent="0.3">
      <c r="B119" s="43" t="s">
        <v>210</v>
      </c>
      <c r="E119" s="54">
        <f>'U95'!K36</f>
        <v>200000</v>
      </c>
    </row>
    <row r="120" spans="2:5" x14ac:dyDescent="0.3">
      <c r="B120" s="70" t="s">
        <v>38</v>
      </c>
      <c r="C120" s="70" t="s">
        <v>141</v>
      </c>
      <c r="D120" s="70" t="s">
        <v>142</v>
      </c>
      <c r="E120" s="70" t="s">
        <v>143</v>
      </c>
    </row>
    <row r="121" spans="2:5" x14ac:dyDescent="0.3">
      <c r="B121" s="59"/>
      <c r="C121" s="71" t="s">
        <v>144</v>
      </c>
      <c r="D121" s="71" t="s">
        <v>139</v>
      </c>
      <c r="E121" s="71" t="s">
        <v>139</v>
      </c>
    </row>
    <row r="122" spans="2:5" x14ac:dyDescent="0.3">
      <c r="B122" s="63">
        <v>1</v>
      </c>
      <c r="C122" s="168">
        <f>'U95'!L39</f>
        <v>0</v>
      </c>
      <c r="D122" s="168">
        <f>'U95'!L40</f>
        <v>199100</v>
      </c>
      <c r="E122" s="168">
        <f>'U95'!M40</f>
        <v>199100</v>
      </c>
    </row>
    <row r="123" spans="2:5" x14ac:dyDescent="0.3">
      <c r="B123" s="65">
        <v>2</v>
      </c>
      <c r="C123" s="166">
        <f>'U95'!L41</f>
        <v>0</v>
      </c>
      <c r="D123" s="166">
        <f>'U95'!L42</f>
        <v>199000</v>
      </c>
      <c r="E123" s="166">
        <f>'U95'!M42</f>
        <v>199000</v>
      </c>
    </row>
    <row r="124" spans="2:5" x14ac:dyDescent="0.3">
      <c r="B124" s="65">
        <v>3</v>
      </c>
      <c r="C124" s="166">
        <f>'U95'!L43</f>
        <v>0</v>
      </c>
      <c r="D124" s="166">
        <f>'U95'!L44</f>
        <v>199100</v>
      </c>
      <c r="E124" s="166">
        <f>'U95'!M44</f>
        <v>199100</v>
      </c>
    </row>
    <row r="125" spans="2:5" x14ac:dyDescent="0.3">
      <c r="B125" s="65">
        <v>4</v>
      </c>
      <c r="C125" s="166">
        <f>'U95'!L45</f>
        <v>0</v>
      </c>
      <c r="D125" s="166">
        <f>'U95'!L46</f>
        <v>199100</v>
      </c>
      <c r="E125" s="166">
        <f>'U95'!M46</f>
        <v>199100</v>
      </c>
    </row>
    <row r="126" spans="2:5" x14ac:dyDescent="0.3">
      <c r="B126" s="65">
        <v>5</v>
      </c>
      <c r="C126" s="166">
        <f>'U95'!L47</f>
        <v>0</v>
      </c>
      <c r="D126" s="166">
        <f>'U95'!L48</f>
        <v>198900</v>
      </c>
      <c r="E126" s="166">
        <f>'U95'!M48</f>
        <v>198900</v>
      </c>
    </row>
    <row r="127" spans="2:5" x14ac:dyDescent="0.3">
      <c r="B127" s="65">
        <v>6</v>
      </c>
      <c r="C127" s="166">
        <f>'U95'!L49</f>
        <v>0</v>
      </c>
      <c r="D127" s="166">
        <f>'U95'!L50</f>
        <v>198900</v>
      </c>
      <c r="E127" s="166">
        <f>'U95'!M50</f>
        <v>198900</v>
      </c>
    </row>
    <row r="128" spans="2:5" x14ac:dyDescent="0.3">
      <c r="B128" s="65">
        <v>7</v>
      </c>
      <c r="C128" s="166">
        <f>'U95'!L51</f>
        <v>0</v>
      </c>
      <c r="D128" s="166">
        <f>'U95'!L52</f>
        <v>198800</v>
      </c>
      <c r="E128" s="166">
        <f>'U95'!M52</f>
        <v>198800</v>
      </c>
    </row>
    <row r="129" spans="2:5" x14ac:dyDescent="0.3">
      <c r="B129" s="65">
        <v>8</v>
      </c>
      <c r="C129" s="166">
        <f>'U95'!L53</f>
        <v>0</v>
      </c>
      <c r="D129" s="166">
        <f>'U95'!L54</f>
        <v>199500</v>
      </c>
      <c r="E129" s="166">
        <f>'U95'!M54</f>
        <v>199500</v>
      </c>
    </row>
    <row r="130" spans="2:5" x14ac:dyDescent="0.3">
      <c r="B130" s="65">
        <v>9</v>
      </c>
      <c r="C130" s="166">
        <f>'U95'!L55</f>
        <v>0</v>
      </c>
      <c r="D130" s="166">
        <f>'U95'!L56</f>
        <v>198700</v>
      </c>
      <c r="E130" s="166">
        <f>'U95'!M56</f>
        <v>198700</v>
      </c>
    </row>
    <row r="131" spans="2:5" x14ac:dyDescent="0.3">
      <c r="B131" s="64">
        <v>10</v>
      </c>
      <c r="C131" s="169">
        <f>'U95'!L57</f>
        <v>0</v>
      </c>
      <c r="D131" s="169">
        <f>'U95'!L58</f>
        <v>199000</v>
      </c>
      <c r="E131" s="169">
        <f>'U95'!M58</f>
        <v>199000</v>
      </c>
    </row>
    <row r="132" spans="2:5" x14ac:dyDescent="0.3">
      <c r="B132" s="72"/>
      <c r="C132" s="73"/>
      <c r="D132" s="73"/>
      <c r="E132" s="74"/>
    </row>
    <row r="133" spans="2:5" x14ac:dyDescent="0.3">
      <c r="B133" s="426" t="s">
        <v>220</v>
      </c>
      <c r="C133" s="410"/>
      <c r="D133" s="410"/>
      <c r="E133" s="170">
        <f>'U95'!M61</f>
        <v>207.12315177207978</v>
      </c>
    </row>
    <row r="134" spans="2:5" ht="15" customHeight="1" x14ac:dyDescent="0.3">
      <c r="B134" s="427" t="s">
        <v>219</v>
      </c>
      <c r="C134" s="428"/>
      <c r="D134" s="428"/>
      <c r="E134" s="74"/>
    </row>
    <row r="135" spans="2:5" x14ac:dyDescent="0.3">
      <c r="B135" s="425"/>
      <c r="C135" s="423"/>
      <c r="D135" s="423"/>
      <c r="E135" s="145">
        <v>0</v>
      </c>
    </row>
    <row r="136" spans="2:5" x14ac:dyDescent="0.3">
      <c r="B136" s="76"/>
      <c r="C136" s="77"/>
      <c r="D136" s="77"/>
      <c r="E136" s="78"/>
    </row>
  </sheetData>
  <mergeCells count="33">
    <mergeCell ref="B133:D133"/>
    <mergeCell ref="B134:D135"/>
    <mergeCell ref="A90:B90"/>
    <mergeCell ref="C90:D90"/>
    <mergeCell ref="A91:B91"/>
    <mergeCell ref="C91:D91"/>
    <mergeCell ref="B113:D113"/>
    <mergeCell ref="B114:D115"/>
    <mergeCell ref="A89:B89"/>
    <mergeCell ref="C89:D8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A84:F85"/>
    <mergeCell ref="C9:D9"/>
    <mergeCell ref="C10:D10"/>
    <mergeCell ref="E25:E28"/>
    <mergeCell ref="F25:F28"/>
    <mergeCell ref="E39:E42"/>
    <mergeCell ref="F39:F42"/>
    <mergeCell ref="C8:D8"/>
    <mergeCell ref="A1:F1"/>
    <mergeCell ref="C2:F2"/>
    <mergeCell ref="C3:F3"/>
    <mergeCell ref="C6:F6"/>
    <mergeCell ref="C7:D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>
    <tabColor rgb="FF00B050"/>
  </sheetPr>
  <dimension ref="A1:AI542"/>
  <sheetViews>
    <sheetView zoomScale="74" zoomScaleNormal="63" workbookViewId="0">
      <selection activeCell="N6" sqref="N6"/>
    </sheetView>
  </sheetViews>
  <sheetFormatPr defaultColWidth="10" defaultRowHeight="14.4" x14ac:dyDescent="0.3"/>
  <cols>
    <col min="1" max="1" width="23.6640625" customWidth="1"/>
    <col min="2" max="2" width="13.44140625" customWidth="1"/>
    <col min="3" max="3" width="20.44140625" customWidth="1"/>
    <col min="4" max="4" width="15.33203125" customWidth="1"/>
    <col min="5" max="5" width="14.88671875" customWidth="1"/>
    <col min="6" max="6" width="13.109375" bestFit="1" customWidth="1"/>
    <col min="7" max="7" width="14.44140625" customWidth="1"/>
    <col min="8" max="8" width="13.109375" customWidth="1"/>
    <col min="9" max="9" width="16.33203125" customWidth="1"/>
    <col min="10" max="10" width="16.33203125" bestFit="1" customWidth="1"/>
    <col min="11" max="11" width="17" customWidth="1"/>
    <col min="12" max="12" width="14.88671875" customWidth="1"/>
    <col min="13" max="13" width="18.88671875" customWidth="1"/>
    <col min="14" max="14" width="11.88671875" customWidth="1"/>
    <col min="15" max="15" width="14.44140625" customWidth="1"/>
    <col min="18" max="18" width="15.109375" customWidth="1"/>
    <col min="19" max="19" width="15.33203125" customWidth="1"/>
    <col min="24" max="24" width="12.88671875" customWidth="1"/>
    <col min="25" max="25" width="22.6640625" customWidth="1"/>
    <col min="26" max="26" width="14.33203125" customWidth="1"/>
    <col min="27" max="27" width="25.44140625" customWidth="1"/>
    <col min="28" max="28" width="19.88671875" customWidth="1"/>
    <col min="29" max="30" width="21.33203125" customWidth="1"/>
    <col min="33" max="34" width="15.6640625" customWidth="1"/>
    <col min="35" max="35" width="28.33203125" customWidth="1"/>
  </cols>
  <sheetData>
    <row r="1" spans="1:11" x14ac:dyDescent="0.3">
      <c r="A1" s="196" t="s">
        <v>429</v>
      </c>
    </row>
    <row r="2" spans="1:11" x14ac:dyDescent="0.3">
      <c r="B2" s="153"/>
      <c r="C2" s="43"/>
      <c r="F2" s="98"/>
    </row>
    <row r="3" spans="1:11" ht="15.6" x14ac:dyDescent="0.3">
      <c r="A3" s="128" t="s">
        <v>297</v>
      </c>
      <c r="B3" s="55" t="s">
        <v>3</v>
      </c>
      <c r="C3" s="319"/>
    </row>
    <row r="4" spans="1:11" ht="15.6" x14ac:dyDescent="0.3">
      <c r="A4" s="128" t="s">
        <v>228</v>
      </c>
      <c r="B4" s="215" t="s">
        <v>3</v>
      </c>
      <c r="C4" s="319"/>
    </row>
    <row r="5" spans="1:11" ht="15.6" x14ac:dyDescent="0.3">
      <c r="A5" s="128" t="s">
        <v>232</v>
      </c>
      <c r="B5" s="215" t="s">
        <v>3</v>
      </c>
      <c r="C5" s="319"/>
    </row>
    <row r="6" spans="1:11" ht="15.6" x14ac:dyDescent="0.3">
      <c r="A6" s="128" t="s">
        <v>427</v>
      </c>
      <c r="B6" s="215" t="s">
        <v>3</v>
      </c>
      <c r="C6" s="319" t="str">
        <f>'FORM Baru'!AG19</f>
        <v>-</v>
      </c>
      <c r="E6" s="124">
        <f>E7/1000</f>
        <v>0.01</v>
      </c>
      <c r="F6" s="128" t="s">
        <v>80</v>
      </c>
      <c r="G6" s="43" t="s">
        <v>442</v>
      </c>
    </row>
    <row r="7" spans="1:11" x14ac:dyDescent="0.3">
      <c r="A7" s="128" t="s">
        <v>470</v>
      </c>
      <c r="B7" s="55" t="s">
        <v>3</v>
      </c>
      <c r="C7" s="239">
        <v>200000</v>
      </c>
      <c r="D7" s="124" t="s">
        <v>120</v>
      </c>
      <c r="E7" s="239">
        <v>10</v>
      </c>
      <c r="F7" s="128" t="s">
        <v>30</v>
      </c>
      <c r="G7" s="124">
        <f>IFERROR(IF($C$20="kg",LEN(E6)-FIND(",",E6),LEN(E7)-FIND(",",E7)),0)</f>
        <v>2</v>
      </c>
    </row>
    <row r="8" spans="1:11" x14ac:dyDescent="0.3">
      <c r="A8" s="124" t="s">
        <v>4</v>
      </c>
      <c r="B8" s="55" t="s">
        <v>3</v>
      </c>
      <c r="C8" s="239">
        <v>28.6</v>
      </c>
      <c r="E8" s="124">
        <f>E7*1000</f>
        <v>10000</v>
      </c>
      <c r="F8" s="89" t="s">
        <v>31</v>
      </c>
    </row>
    <row r="9" spans="1:11" x14ac:dyDescent="0.3">
      <c r="A9" s="124" t="s">
        <v>6</v>
      </c>
      <c r="B9" s="55" t="s">
        <v>3</v>
      </c>
      <c r="C9" s="239">
        <v>28.6</v>
      </c>
    </row>
    <row r="10" spans="1:11" x14ac:dyDescent="0.3">
      <c r="A10" s="124" t="s">
        <v>122</v>
      </c>
      <c r="B10" s="55" t="s">
        <v>3</v>
      </c>
      <c r="C10" s="102">
        <f>(C8+C9)/2</f>
        <v>28.6</v>
      </c>
    </row>
    <row r="11" spans="1:11" x14ac:dyDescent="0.3">
      <c r="A11" s="124" t="s">
        <v>5</v>
      </c>
      <c r="B11" s="55" t="s">
        <v>3</v>
      </c>
      <c r="C11" s="239">
        <v>61.2</v>
      </c>
    </row>
    <row r="12" spans="1:11" ht="15.6" x14ac:dyDescent="0.3">
      <c r="A12" s="124" t="s">
        <v>7</v>
      </c>
      <c r="B12" s="55" t="s">
        <v>3</v>
      </c>
      <c r="C12" s="239">
        <v>61.2</v>
      </c>
      <c r="F12" s="312" t="s">
        <v>406</v>
      </c>
    </row>
    <row r="13" spans="1:11" x14ac:dyDescent="0.3">
      <c r="A13" s="124" t="s">
        <v>123</v>
      </c>
      <c r="B13" s="55" t="s">
        <v>3</v>
      </c>
      <c r="C13" s="102">
        <f>(C11+C12)/2</f>
        <v>61.2</v>
      </c>
    </row>
    <row r="14" spans="1:11" x14ac:dyDescent="0.3">
      <c r="A14" s="124" t="s">
        <v>124</v>
      </c>
      <c r="B14" s="55" t="s">
        <v>3</v>
      </c>
      <c r="C14" s="239">
        <v>922</v>
      </c>
      <c r="D14" s="124">
        <f>C14*0.75</f>
        <v>691.5</v>
      </c>
    </row>
    <row r="15" spans="1:11" x14ac:dyDescent="0.3">
      <c r="A15" s="124" t="s">
        <v>125</v>
      </c>
      <c r="B15" s="55" t="s">
        <v>3</v>
      </c>
      <c r="C15" s="239">
        <v>922</v>
      </c>
      <c r="D15" s="124">
        <f>C15*0.75</f>
        <v>691.5</v>
      </c>
      <c r="K15" s="43"/>
    </row>
    <row r="16" spans="1:11" ht="17.399999999999999" x14ac:dyDescent="0.3">
      <c r="A16" s="124" t="s">
        <v>126</v>
      </c>
      <c r="B16" s="55" t="s">
        <v>3</v>
      </c>
      <c r="C16" s="124">
        <f>(C14+C15)/2</f>
        <v>922</v>
      </c>
      <c r="D16" s="102">
        <f>(D14+D15)/2</f>
        <v>691.5</v>
      </c>
      <c r="F16" s="442" t="s">
        <v>389</v>
      </c>
      <c r="G16" s="442"/>
      <c r="H16" s="442"/>
      <c r="I16" s="442"/>
      <c r="J16" s="442"/>
    </row>
    <row r="17" spans="1:15" x14ac:dyDescent="0.3">
      <c r="A17" s="124" t="s">
        <v>8</v>
      </c>
      <c r="B17" s="55" t="s">
        <v>3</v>
      </c>
      <c r="C17" s="124" t="s">
        <v>9</v>
      </c>
      <c r="F17" s="281" t="s">
        <v>366</v>
      </c>
      <c r="G17" s="281" t="s">
        <v>367</v>
      </c>
      <c r="H17" s="281" t="s">
        <v>368</v>
      </c>
      <c r="I17" s="281" t="s">
        <v>369</v>
      </c>
      <c r="J17" s="281" t="s">
        <v>370</v>
      </c>
      <c r="K17" s="281" t="s">
        <v>371</v>
      </c>
      <c r="L17" s="281" t="s">
        <v>372</v>
      </c>
      <c r="M17" s="281" t="s">
        <v>373</v>
      </c>
      <c r="N17" s="281" t="s">
        <v>374</v>
      </c>
      <c r="O17" s="281" t="s">
        <v>375</v>
      </c>
    </row>
    <row r="18" spans="1:15" x14ac:dyDescent="0.3">
      <c r="A18" s="124" t="s">
        <v>10</v>
      </c>
      <c r="B18" s="55" t="s">
        <v>3</v>
      </c>
      <c r="C18" s="245" t="s">
        <v>178</v>
      </c>
      <c r="F18" s="282" t="s">
        <v>180</v>
      </c>
      <c r="G18" s="282" t="s">
        <v>182</v>
      </c>
      <c r="H18" s="282" t="s">
        <v>178</v>
      </c>
      <c r="I18" s="282" t="s">
        <v>188</v>
      </c>
      <c r="J18" s="282" t="s">
        <v>189</v>
      </c>
      <c r="K18" s="282" t="s">
        <v>185</v>
      </c>
      <c r="L18" s="282" t="s">
        <v>187</v>
      </c>
      <c r="M18" s="282" t="s">
        <v>183</v>
      </c>
      <c r="N18" s="282" t="s">
        <v>191</v>
      </c>
      <c r="O18" s="282" t="s">
        <v>179</v>
      </c>
    </row>
    <row r="19" spans="1:15" x14ac:dyDescent="0.3">
      <c r="A19" s="128" t="s">
        <v>390</v>
      </c>
      <c r="B19" s="215" t="s">
        <v>3</v>
      </c>
      <c r="C19" s="245" t="s">
        <v>377</v>
      </c>
    </row>
    <row r="20" spans="1:15" x14ac:dyDescent="0.3">
      <c r="A20" s="128" t="s">
        <v>441</v>
      </c>
      <c r="B20" s="215" t="s">
        <v>3</v>
      </c>
      <c r="C20" s="245" t="s">
        <v>80</v>
      </c>
    </row>
    <row r="23" spans="1:15" x14ac:dyDescent="0.3">
      <c r="B23" s="324" t="s">
        <v>18</v>
      </c>
      <c r="C23" s="2" t="s">
        <v>82</v>
      </c>
      <c r="D23" s="141"/>
      <c r="J23" s="2" t="s">
        <v>81</v>
      </c>
    </row>
    <row r="24" spans="1:15" x14ac:dyDescent="0.3">
      <c r="C24" t="s">
        <v>19</v>
      </c>
      <c r="D24">
        <f>C7</f>
        <v>200000</v>
      </c>
      <c r="E24" t="s">
        <v>29</v>
      </c>
      <c r="F24" t="s">
        <v>30</v>
      </c>
      <c r="J24" t="s">
        <v>19</v>
      </c>
      <c r="K24">
        <f>C7</f>
        <v>200000</v>
      </c>
      <c r="L24" t="s">
        <v>29</v>
      </c>
    </row>
    <row r="25" spans="1:15" x14ac:dyDescent="0.3">
      <c r="C25" t="s">
        <v>20</v>
      </c>
      <c r="D25" s="294" cm="1">
        <f t="array" ref="D25">IF(C18="M1",SUM(IFERROR(INDEX(
   Database!CB4:CD33,
   MATCH(F18:J18, Database!CB4:CB33, 0),2),0)),
SUM( IFERROR( INDEX(CHOOSE(
    MATCH(C18,Database!A8:A10,0),
   Database!BP4:BR21,
    Database!BT4:BV21,
    Database!CB4:CD33,
  Database!BX4:BZ21
   ),
   MATCH( Database!Z11:AI11, INDEX(
     CHOOSE(MATCH(C18,Database!A8:A10,0),
      Database!BP4:BR21,
    Database!BT4:BV21,
    Database!CB4:CD33,
  Database!BX4:BZ21
     ),,1  ),   0),  2 ),  0 )))</f>
        <v>100000.04399999999</v>
      </c>
      <c r="E25" s="1" t="s">
        <v>21</v>
      </c>
      <c r="G25" s="3"/>
      <c r="J25" t="s">
        <v>20</v>
      </c>
      <c r="K25" s="242">
        <f>D25</f>
        <v>100000.04399999999</v>
      </c>
      <c r="L25" s="1" t="s">
        <v>21</v>
      </c>
      <c r="N25" s="3"/>
    </row>
    <row r="26" spans="1:15" x14ac:dyDescent="0.3">
      <c r="C26" s="287" t="s">
        <v>22</v>
      </c>
      <c r="D26" s="284" t="s">
        <v>23</v>
      </c>
      <c r="E26" s="284" t="s">
        <v>24</v>
      </c>
      <c r="F26" s="284" t="s">
        <v>25</v>
      </c>
      <c r="G26" s="285" t="s">
        <v>26</v>
      </c>
      <c r="J26" s="287" t="s">
        <v>22</v>
      </c>
      <c r="K26" s="284" t="s">
        <v>23</v>
      </c>
      <c r="L26" s="284" t="s">
        <v>24</v>
      </c>
      <c r="M26" s="284" t="s">
        <v>25</v>
      </c>
      <c r="N26" s="285" t="s">
        <v>26</v>
      </c>
    </row>
    <row r="27" spans="1:15" x14ac:dyDescent="0.3">
      <c r="C27" s="288"/>
      <c r="D27" s="283"/>
      <c r="E27" s="283"/>
      <c r="F27" s="283" t="s">
        <v>27</v>
      </c>
      <c r="G27" s="286" t="s">
        <v>28</v>
      </c>
      <c r="J27" s="288"/>
      <c r="K27" s="283"/>
      <c r="L27" s="283"/>
      <c r="M27" s="283" t="s">
        <v>27</v>
      </c>
      <c r="N27" s="286" t="s">
        <v>28</v>
      </c>
    </row>
    <row r="28" spans="1:15" x14ac:dyDescent="0.3">
      <c r="C28" s="4">
        <v>0</v>
      </c>
      <c r="D28" s="246">
        <v>0</v>
      </c>
      <c r="E28" s="107"/>
      <c r="F28" s="107"/>
      <c r="G28" s="107"/>
      <c r="J28" s="4">
        <v>0</v>
      </c>
      <c r="K28" s="246">
        <v>0</v>
      </c>
      <c r="L28" s="107"/>
      <c r="M28" s="107"/>
      <c r="N28" s="107"/>
    </row>
    <row r="29" spans="1:15" x14ac:dyDescent="0.3">
      <c r="C29" s="44">
        <f>D25</f>
        <v>100000.04399999999</v>
      </c>
      <c r="D29" s="247">
        <v>200100</v>
      </c>
      <c r="E29" s="107"/>
      <c r="F29" s="107"/>
      <c r="G29" s="107"/>
      <c r="J29" s="217">
        <f>K25</f>
        <v>100000.04399999999</v>
      </c>
      <c r="K29" s="247">
        <v>200100</v>
      </c>
      <c r="L29" s="107">
        <f>(K28+K29)/2</f>
        <v>100050</v>
      </c>
      <c r="M29" s="107"/>
      <c r="N29" s="107"/>
    </row>
    <row r="30" spans="1:15" x14ac:dyDescent="0.3">
      <c r="C30" s="44">
        <f>C29</f>
        <v>100000.04399999999</v>
      </c>
      <c r="D30" s="247">
        <v>200100</v>
      </c>
      <c r="E30" s="107">
        <f>(D29+D30)/2</f>
        <v>200100</v>
      </c>
      <c r="F30" s="107">
        <f>E30-E31</f>
        <v>200100</v>
      </c>
      <c r="G30" s="330">
        <f>D25-(F30)</f>
        <v>-100099.95600000001</v>
      </c>
      <c r="J30" s="4">
        <f>J29</f>
        <v>100000.04399999999</v>
      </c>
      <c r="K30" s="247">
        <v>200100</v>
      </c>
      <c r="L30" s="107">
        <f>(K29+K30)/2</f>
        <v>200100</v>
      </c>
      <c r="M30" s="107">
        <f>L30-L31</f>
        <v>200100</v>
      </c>
      <c r="N30" s="121">
        <f>K25-(M30)</f>
        <v>-100099.95600000001</v>
      </c>
    </row>
    <row r="31" spans="1:15" x14ac:dyDescent="0.3">
      <c r="C31" s="4">
        <v>0</v>
      </c>
      <c r="D31" s="246">
        <v>0</v>
      </c>
      <c r="E31" s="107">
        <f>(D28+D31)/2</f>
        <v>0</v>
      </c>
      <c r="F31" s="107"/>
      <c r="G31" s="107"/>
      <c r="J31" s="4" t="s">
        <v>121</v>
      </c>
      <c r="K31" s="247">
        <f>D31</f>
        <v>0</v>
      </c>
      <c r="L31" s="107">
        <f>(K28+K31)/2</f>
        <v>0</v>
      </c>
      <c r="M31" s="107"/>
      <c r="N31" s="107"/>
    </row>
    <row r="34" spans="2:20" x14ac:dyDescent="0.3">
      <c r="B34" s="324" t="s">
        <v>34</v>
      </c>
      <c r="C34" s="2" t="s">
        <v>35</v>
      </c>
    </row>
    <row r="35" spans="2:20" x14ac:dyDescent="0.3">
      <c r="C35" s="2" t="s">
        <v>36</v>
      </c>
      <c r="D35" s="5">
        <f>0.82*(E7/2)</f>
        <v>4.0999999999999996</v>
      </c>
      <c r="E35" s="43" t="s">
        <v>30</v>
      </c>
      <c r="G35" s="43"/>
      <c r="H35" s="1"/>
      <c r="J35" s="2" t="s">
        <v>36</v>
      </c>
      <c r="K35" s="131">
        <f>0.82*(E7/2)</f>
        <v>4.0999999999999996</v>
      </c>
      <c r="L35" s="43" t="s">
        <v>30</v>
      </c>
      <c r="N35" s="43"/>
      <c r="P35" s="2"/>
      <c r="S35" s="53"/>
    </row>
    <row r="36" spans="2:20" x14ac:dyDescent="0.3">
      <c r="C36" t="s">
        <v>37</v>
      </c>
      <c r="D36">
        <f>C7/2</f>
        <v>100000</v>
      </c>
      <c r="E36" s="43" t="s">
        <v>30</v>
      </c>
      <c r="J36" t="s">
        <v>37</v>
      </c>
      <c r="K36">
        <f>C7</f>
        <v>200000</v>
      </c>
      <c r="L36" s="43" t="s">
        <v>30</v>
      </c>
      <c r="R36" s="43"/>
    </row>
    <row r="37" spans="2:20" x14ac:dyDescent="0.3">
      <c r="C37" s="287" t="s">
        <v>38</v>
      </c>
      <c r="D37" s="284" t="s">
        <v>39</v>
      </c>
      <c r="E37" s="284" t="s">
        <v>40</v>
      </c>
      <c r="F37" s="285" t="s">
        <v>41</v>
      </c>
      <c r="J37" s="287" t="s">
        <v>38</v>
      </c>
      <c r="K37" s="284" t="s">
        <v>39</v>
      </c>
      <c r="L37" s="284" t="s">
        <v>40</v>
      </c>
      <c r="M37" s="285" t="s">
        <v>41</v>
      </c>
    </row>
    <row r="38" spans="2:20" x14ac:dyDescent="0.3">
      <c r="C38" s="288"/>
      <c r="D38" s="283"/>
      <c r="E38" s="283"/>
      <c r="F38" s="286" t="s">
        <v>28</v>
      </c>
      <c r="J38" s="288"/>
      <c r="K38" s="283"/>
      <c r="L38" s="283"/>
      <c r="M38" s="286" t="s">
        <v>28</v>
      </c>
      <c r="T38" s="43"/>
    </row>
    <row r="39" spans="2:20" x14ac:dyDescent="0.3">
      <c r="C39" s="439">
        <v>1</v>
      </c>
      <c r="D39" s="6">
        <v>0</v>
      </c>
      <c r="E39" s="299">
        <v>0</v>
      </c>
      <c r="F39" s="217"/>
      <c r="J39" s="439">
        <v>1</v>
      </c>
      <c r="K39" s="6">
        <v>0</v>
      </c>
      <c r="L39" s="299">
        <v>0</v>
      </c>
      <c r="M39" s="217"/>
      <c r="R39" s="43"/>
    </row>
    <row r="40" spans="2:20" x14ac:dyDescent="0.3">
      <c r="C40" s="439"/>
      <c r="D40" s="6" t="s">
        <v>42</v>
      </c>
      <c r="E40" s="300">
        <v>100000</v>
      </c>
      <c r="F40" s="217">
        <f>E40-E39</f>
        <v>100000</v>
      </c>
      <c r="J40" s="439"/>
      <c r="K40" s="7" t="s">
        <v>42</v>
      </c>
      <c r="L40" s="247">
        <v>199100</v>
      </c>
      <c r="M40" s="238">
        <f>L40-L39</f>
        <v>199100</v>
      </c>
    </row>
    <row r="41" spans="2:20" x14ac:dyDescent="0.3">
      <c r="C41" s="439">
        <v>2</v>
      </c>
      <c r="D41" s="6">
        <v>0</v>
      </c>
      <c r="E41" s="299">
        <v>0</v>
      </c>
      <c r="F41" s="217"/>
      <c r="J41" s="439">
        <v>2</v>
      </c>
      <c r="K41" s="6">
        <v>0</v>
      </c>
      <c r="L41" s="299">
        <v>0</v>
      </c>
      <c r="M41" s="238"/>
    </row>
    <row r="42" spans="2:20" x14ac:dyDescent="0.3">
      <c r="C42" s="439"/>
      <c r="D42" s="6" t="s">
        <v>42</v>
      </c>
      <c r="E42" s="300">
        <v>100000</v>
      </c>
      <c r="F42" s="217">
        <f>E42-E41</f>
        <v>100000</v>
      </c>
      <c r="J42" s="439"/>
      <c r="K42" s="6" t="s">
        <v>42</v>
      </c>
      <c r="L42" s="247">
        <v>199000</v>
      </c>
      <c r="M42" s="238">
        <f>L42-L41</f>
        <v>199000</v>
      </c>
    </row>
    <row r="43" spans="2:20" x14ac:dyDescent="0.3">
      <c r="C43" s="439">
        <v>3</v>
      </c>
      <c r="D43" s="6">
        <v>0</v>
      </c>
      <c r="E43" s="299">
        <v>0</v>
      </c>
      <c r="F43" s="217"/>
      <c r="J43" s="439">
        <v>3</v>
      </c>
      <c r="K43" s="6">
        <v>0</v>
      </c>
      <c r="L43" s="299">
        <v>0</v>
      </c>
      <c r="M43" s="238"/>
    </row>
    <row r="44" spans="2:20" x14ac:dyDescent="0.3">
      <c r="C44" s="439"/>
      <c r="D44" s="6" t="s">
        <v>42</v>
      </c>
      <c r="E44" s="300">
        <v>100000</v>
      </c>
      <c r="F44" s="217">
        <f>E44-E43</f>
        <v>100000</v>
      </c>
      <c r="J44" s="439"/>
      <c r="K44" s="6" t="s">
        <v>42</v>
      </c>
      <c r="L44" s="247">
        <v>199100</v>
      </c>
      <c r="M44" s="238">
        <f>L44-L43</f>
        <v>199100</v>
      </c>
    </row>
    <row r="45" spans="2:20" x14ac:dyDescent="0.3">
      <c r="C45" s="439">
        <v>4</v>
      </c>
      <c r="D45" s="6">
        <v>0</v>
      </c>
      <c r="E45" s="299">
        <v>0</v>
      </c>
      <c r="F45" s="217"/>
      <c r="J45" s="439">
        <v>4</v>
      </c>
      <c r="K45" s="6">
        <v>0</v>
      </c>
      <c r="L45" s="299">
        <v>0</v>
      </c>
      <c r="M45" s="238"/>
    </row>
    <row r="46" spans="2:20" x14ac:dyDescent="0.3">
      <c r="C46" s="439"/>
      <c r="D46" s="6" t="s">
        <v>42</v>
      </c>
      <c r="E46" s="300">
        <v>100000</v>
      </c>
      <c r="F46" s="217">
        <f>E46-E45</f>
        <v>100000</v>
      </c>
      <c r="J46" s="439"/>
      <c r="K46" s="6" t="s">
        <v>42</v>
      </c>
      <c r="L46" s="247">
        <v>199100</v>
      </c>
      <c r="M46" s="238">
        <f>L46-L45</f>
        <v>199100</v>
      </c>
    </row>
    <row r="47" spans="2:20" x14ac:dyDescent="0.3">
      <c r="C47" s="439">
        <v>5</v>
      </c>
      <c r="D47" s="6">
        <v>0</v>
      </c>
      <c r="E47" s="299">
        <v>0</v>
      </c>
      <c r="F47" s="217"/>
      <c r="J47" s="439">
        <v>5</v>
      </c>
      <c r="K47" s="6">
        <v>0</v>
      </c>
      <c r="L47" s="299">
        <v>0</v>
      </c>
      <c r="M47" s="238"/>
    </row>
    <row r="48" spans="2:20" x14ac:dyDescent="0.3">
      <c r="C48" s="439"/>
      <c r="D48" s="6" t="s">
        <v>42</v>
      </c>
      <c r="E48" s="300">
        <v>100000</v>
      </c>
      <c r="F48" s="217">
        <f>E48-E47</f>
        <v>100000</v>
      </c>
      <c r="J48" s="439"/>
      <c r="K48" s="6" t="s">
        <v>42</v>
      </c>
      <c r="L48" s="247">
        <v>198900</v>
      </c>
      <c r="M48" s="238">
        <f>L48-L47</f>
        <v>198900</v>
      </c>
    </row>
    <row r="49" spans="2:20" x14ac:dyDescent="0.3">
      <c r="C49" s="439">
        <v>6</v>
      </c>
      <c r="D49" s="6">
        <v>0</v>
      </c>
      <c r="E49" s="299">
        <v>0</v>
      </c>
      <c r="F49" s="217"/>
      <c r="J49" s="439">
        <v>6</v>
      </c>
      <c r="K49" s="6">
        <v>0</v>
      </c>
      <c r="L49" s="299">
        <v>0</v>
      </c>
      <c r="M49" s="238"/>
    </row>
    <row r="50" spans="2:20" x14ac:dyDescent="0.3">
      <c r="C50" s="439"/>
      <c r="D50" s="6" t="s">
        <v>42</v>
      </c>
      <c r="E50" s="300">
        <v>101000</v>
      </c>
      <c r="F50" s="217">
        <f>E50-E49</f>
        <v>101000</v>
      </c>
      <c r="J50" s="439"/>
      <c r="K50" s="6" t="s">
        <v>42</v>
      </c>
      <c r="L50" s="247">
        <v>198900</v>
      </c>
      <c r="M50" s="238">
        <f>L50-L49</f>
        <v>198900</v>
      </c>
    </row>
    <row r="51" spans="2:20" x14ac:dyDescent="0.3">
      <c r="C51" s="439">
        <v>7</v>
      </c>
      <c r="D51" s="6">
        <v>0</v>
      </c>
      <c r="E51" s="299">
        <v>0</v>
      </c>
      <c r="F51" s="217"/>
      <c r="J51" s="439">
        <v>7</v>
      </c>
      <c r="K51" s="6">
        <v>0</v>
      </c>
      <c r="L51" s="299">
        <v>0</v>
      </c>
      <c r="M51" s="238"/>
    </row>
    <row r="52" spans="2:20" x14ac:dyDescent="0.3">
      <c r="C52" s="439"/>
      <c r="D52" s="6" t="s">
        <v>42</v>
      </c>
      <c r="E52" s="300">
        <v>100000</v>
      </c>
      <c r="F52" s="217">
        <f>E52-E51</f>
        <v>100000</v>
      </c>
      <c r="J52" s="439"/>
      <c r="K52" s="6" t="s">
        <v>42</v>
      </c>
      <c r="L52" s="247">
        <v>198800</v>
      </c>
      <c r="M52" s="238">
        <f>L52-L51</f>
        <v>198800</v>
      </c>
    </row>
    <row r="53" spans="2:20" x14ac:dyDescent="0.3">
      <c r="C53" s="439">
        <v>8</v>
      </c>
      <c r="D53" s="6">
        <v>0</v>
      </c>
      <c r="E53" s="299">
        <v>0</v>
      </c>
      <c r="F53" s="217"/>
      <c r="J53" s="439">
        <v>8</v>
      </c>
      <c r="K53" s="6">
        <v>0</v>
      </c>
      <c r="L53" s="299">
        <v>0</v>
      </c>
      <c r="M53" s="238"/>
    </row>
    <row r="54" spans="2:20" x14ac:dyDescent="0.3">
      <c r="C54" s="439"/>
      <c r="D54" s="6" t="s">
        <v>42</v>
      </c>
      <c r="E54" s="300">
        <v>100000</v>
      </c>
      <c r="F54" s="217">
        <f>E54-E53</f>
        <v>100000</v>
      </c>
      <c r="J54" s="439"/>
      <c r="K54" s="6" t="s">
        <v>42</v>
      </c>
      <c r="L54" s="247">
        <v>199500</v>
      </c>
      <c r="M54" s="238">
        <f>L54-L53</f>
        <v>199500</v>
      </c>
    </row>
    <row r="55" spans="2:20" x14ac:dyDescent="0.3">
      <c r="C55" s="439">
        <v>9</v>
      </c>
      <c r="D55" s="6">
        <v>0</v>
      </c>
      <c r="E55" s="299">
        <v>0</v>
      </c>
      <c r="F55" s="217"/>
      <c r="J55" s="439">
        <v>9</v>
      </c>
      <c r="K55" s="6">
        <v>0</v>
      </c>
      <c r="L55" s="299">
        <v>0</v>
      </c>
      <c r="M55" s="238"/>
    </row>
    <row r="56" spans="2:20" x14ac:dyDescent="0.3">
      <c r="C56" s="439"/>
      <c r="D56" s="6" t="s">
        <v>42</v>
      </c>
      <c r="E56" s="300">
        <v>100000</v>
      </c>
      <c r="F56" s="217">
        <f>E56-E55</f>
        <v>100000</v>
      </c>
      <c r="J56" s="439"/>
      <c r="K56" s="6" t="s">
        <v>42</v>
      </c>
      <c r="L56" s="247">
        <v>198700</v>
      </c>
      <c r="M56" s="238">
        <f>L56-L55</f>
        <v>198700</v>
      </c>
    </row>
    <row r="57" spans="2:20" x14ac:dyDescent="0.3">
      <c r="C57" s="439">
        <v>10</v>
      </c>
      <c r="D57" s="6">
        <v>0</v>
      </c>
      <c r="E57" s="299">
        <v>0</v>
      </c>
      <c r="F57" s="217"/>
      <c r="J57" s="439">
        <v>10</v>
      </c>
      <c r="K57" s="6">
        <v>0</v>
      </c>
      <c r="L57" s="299">
        <v>0</v>
      </c>
      <c r="M57" s="238"/>
    </row>
    <row r="58" spans="2:20" x14ac:dyDescent="0.3">
      <c r="C58" s="439"/>
      <c r="D58" s="6" t="s">
        <v>42</v>
      </c>
      <c r="E58" s="300">
        <v>100000</v>
      </c>
      <c r="F58" s="253">
        <f>E58-E57</f>
        <v>100000</v>
      </c>
      <c r="J58" s="439"/>
      <c r="K58" s="6" t="s">
        <v>42</v>
      </c>
      <c r="L58" s="247">
        <v>199000</v>
      </c>
      <c r="M58" s="256">
        <f>L58-L57</f>
        <v>199000</v>
      </c>
    </row>
    <row r="59" spans="2:20" x14ac:dyDescent="0.3">
      <c r="E59" s="124" t="s">
        <v>43</v>
      </c>
      <c r="F59" s="129">
        <f>STDEV(F40,F42,F44,F46,F48,F50,F52,F54,F56,F58)</f>
        <v>316.22776601683796</v>
      </c>
      <c r="G59" s="128" t="s">
        <v>30</v>
      </c>
      <c r="L59" s="124" t="s">
        <v>43</v>
      </c>
      <c r="M59" s="129">
        <f>STDEVP(M39:M58)</f>
        <v>207.12315177207978</v>
      </c>
      <c r="N59" s="128" t="s">
        <v>30</v>
      </c>
      <c r="S59" s="99"/>
      <c r="T59" s="53"/>
    </row>
    <row r="60" spans="2:20" x14ac:dyDescent="0.3">
      <c r="E60" s="124"/>
      <c r="F60" s="254">
        <f>F59*1000</f>
        <v>316227.76601683797</v>
      </c>
      <c r="G60" s="89" t="s">
        <v>31</v>
      </c>
      <c r="L60" s="124"/>
      <c r="M60" s="254">
        <f>M59*1000</f>
        <v>207123.15177207979</v>
      </c>
      <c r="N60" s="89" t="s">
        <v>31</v>
      </c>
      <c r="S60" s="100"/>
      <c r="T60" s="53"/>
    </row>
    <row r="61" spans="2:20" x14ac:dyDescent="0.3">
      <c r="E61" s="124" t="s">
        <v>44</v>
      </c>
      <c r="F61" s="255">
        <f>IF(D35&gt;F59,D35,F59)</f>
        <v>316.22776601683796</v>
      </c>
      <c r="G61" s="128" t="s">
        <v>30</v>
      </c>
      <c r="L61" s="124" t="s">
        <v>44</v>
      </c>
      <c r="M61" s="257">
        <f>IF(K35&gt;M59,K35,M59)</f>
        <v>207.12315177207978</v>
      </c>
      <c r="N61" s="128" t="s">
        <v>30</v>
      </c>
      <c r="S61" s="100"/>
      <c r="T61" s="53"/>
    </row>
    <row r="62" spans="2:20" x14ac:dyDescent="0.3">
      <c r="L62" s="53"/>
    </row>
    <row r="63" spans="2:20" x14ac:dyDescent="0.3">
      <c r="B63" s="324" t="s">
        <v>45</v>
      </c>
      <c r="C63" s="2" t="s">
        <v>46</v>
      </c>
      <c r="K63" s="43"/>
    </row>
    <row r="65" spans="1:20" ht="18" thickBot="1" x14ac:dyDescent="0.35">
      <c r="K65" s="442" t="s">
        <v>379</v>
      </c>
      <c r="L65" s="442"/>
      <c r="M65" s="442"/>
      <c r="N65" s="442"/>
      <c r="O65" s="442"/>
    </row>
    <row r="66" spans="1:20" ht="14.25" customHeight="1" x14ac:dyDescent="0.3">
      <c r="A66" s="313" t="s">
        <v>376</v>
      </c>
      <c r="B66" s="260" t="s">
        <v>32</v>
      </c>
      <c r="C66" s="440" t="s">
        <v>299</v>
      </c>
      <c r="D66" s="261" t="s">
        <v>39</v>
      </c>
      <c r="E66" s="261" t="s">
        <v>47</v>
      </c>
      <c r="F66" s="261" t="s">
        <v>48</v>
      </c>
      <c r="G66" s="261" t="s">
        <v>49</v>
      </c>
      <c r="H66" s="261" t="s">
        <v>50</v>
      </c>
      <c r="I66" s="261" t="s">
        <v>50</v>
      </c>
    </row>
    <row r="67" spans="1:20" ht="15" thickBot="1" x14ac:dyDescent="0.35">
      <c r="A67" s="262"/>
      <c r="B67" s="262" t="s">
        <v>298</v>
      </c>
      <c r="C67" s="441"/>
      <c r="D67" s="263" t="s">
        <v>298</v>
      </c>
      <c r="E67" s="350" t="s">
        <v>298</v>
      </c>
      <c r="F67" s="263" t="s">
        <v>298</v>
      </c>
      <c r="G67" s="263" t="s">
        <v>298</v>
      </c>
      <c r="H67" s="263" t="s">
        <v>298</v>
      </c>
      <c r="I67" s="263" t="s">
        <v>298</v>
      </c>
      <c r="K67" s="340">
        <f>IF(C19="10 Titik",B68,B69)</f>
        <v>20000</v>
      </c>
    </row>
    <row r="68" spans="1:20" x14ac:dyDescent="0.3">
      <c r="A68" s="433">
        <v>1</v>
      </c>
      <c r="B68" s="50">
        <f>IF(C19=Database!D8,'U95'!C7*1/10,)</f>
        <v>20000</v>
      </c>
      <c r="C68" s="220" cm="1">
        <f t="array" ref="C68">IF(C18="M1",SUM(IFERROR(INDEX(
   Database!CB4:CD33,
   MATCH(K69:O69, Database!CB4:CB33, 0),2),0)),
SUM( IFERROR( INDEX(CHOOSE(
    MATCH(C18,Database!A8:A10,0),
   Database!BP4:BR21,
    Database!BT4:BV21,
    Database!CB4:CD33,
  Database!BX4:BZ21
   ),
   MATCH( Database!Z21:AI21, INDEX(
     CHOOSE(MATCH(C18,Database!A8:A10,0),
      Database!BP4:BR21,
    Database!BT4:BV21,
    Database!CB4:CD33,
  Database!BX4:BZ21
     ),,1  ),   0),  2 ),  0 )))</f>
        <v>19999.946</v>
      </c>
      <c r="D68" s="162">
        <v>0</v>
      </c>
      <c r="E68" s="247">
        <v>0</v>
      </c>
      <c r="F68" s="162"/>
      <c r="G68" s="162"/>
      <c r="H68" s="162"/>
      <c r="I68" s="272"/>
      <c r="K68" s="281" t="s">
        <v>366</v>
      </c>
      <c r="L68" s="281" t="s">
        <v>367</v>
      </c>
      <c r="M68" s="281" t="s">
        <v>368</v>
      </c>
      <c r="N68" s="281" t="s">
        <v>369</v>
      </c>
      <c r="O68" s="281" t="s">
        <v>370</v>
      </c>
      <c r="P68" s="281" t="s">
        <v>371</v>
      </c>
      <c r="Q68" s="281" t="s">
        <v>372</v>
      </c>
      <c r="R68" s="281" t="s">
        <v>373</v>
      </c>
      <c r="S68" s="281" t="s">
        <v>374</v>
      </c>
      <c r="T68" s="281" t="s">
        <v>375</v>
      </c>
    </row>
    <row r="69" spans="1:20" x14ac:dyDescent="0.3">
      <c r="A69" s="434">
        <v>1</v>
      </c>
      <c r="B69" s="153">
        <v>5000</v>
      </c>
      <c r="C69" s="221"/>
      <c r="D69" s="163">
        <f>C68</f>
        <v>19999.946</v>
      </c>
      <c r="E69" s="247">
        <v>20020</v>
      </c>
      <c r="F69" s="163"/>
      <c r="G69" s="163"/>
      <c r="H69" s="163"/>
      <c r="I69" s="273"/>
      <c r="K69" s="282" t="s">
        <v>180</v>
      </c>
      <c r="L69" s="282">
        <v>0</v>
      </c>
      <c r="M69" s="282">
        <v>0</v>
      </c>
      <c r="N69" s="282">
        <v>0</v>
      </c>
      <c r="O69" s="282">
        <v>0</v>
      </c>
      <c r="P69" s="282">
        <v>1</v>
      </c>
      <c r="Q69" s="282">
        <v>2</v>
      </c>
      <c r="R69" s="282">
        <v>3</v>
      </c>
      <c r="S69" s="282">
        <v>4</v>
      </c>
      <c r="T69" s="282">
        <v>5</v>
      </c>
    </row>
    <row r="70" spans="1:20" x14ac:dyDescent="0.3">
      <c r="A70" s="434"/>
      <c r="C70" s="221"/>
      <c r="D70" s="163">
        <f>C68</f>
        <v>19999.946</v>
      </c>
      <c r="E70" s="247">
        <v>20000</v>
      </c>
      <c r="F70" s="163">
        <f>AVERAGE(E69:E70)</f>
        <v>20010</v>
      </c>
      <c r="G70" s="163">
        <f>(F70-F71)</f>
        <v>20010</v>
      </c>
      <c r="H70" s="163">
        <f>C68-G70</f>
        <v>-10.054000000000087</v>
      </c>
      <c r="I70" s="274">
        <f>ABS(H70)</f>
        <v>10.054000000000087</v>
      </c>
    </row>
    <row r="71" spans="1:20" ht="15" thickBot="1" x14ac:dyDescent="0.35">
      <c r="A71" s="435"/>
      <c r="B71" s="51"/>
      <c r="C71" s="222"/>
      <c r="D71" s="164">
        <v>0</v>
      </c>
      <c r="E71" s="247">
        <v>0</v>
      </c>
      <c r="F71" s="164">
        <f>AVERAGE(E68,E71)</f>
        <v>0</v>
      </c>
      <c r="G71" s="164"/>
      <c r="H71" s="164"/>
      <c r="I71" s="275"/>
      <c r="K71" s="340">
        <f>IF(C19="10 Titik",B72,B73)</f>
        <v>40000</v>
      </c>
    </row>
    <row r="72" spans="1:20" x14ac:dyDescent="0.3">
      <c r="A72" s="433">
        <v>2</v>
      </c>
      <c r="B72" s="50">
        <f>IF(C19=Database!D8,'U95'!C7*2/10,)</f>
        <v>40000</v>
      </c>
      <c r="C72" s="223" cm="1">
        <f t="array" ref="C72">IF(C18="M1",SUM(IFERROR(INDEX(
Database!CB4:CD33,
MATCH(K73:O73,Database!CB4:CB33,0),2),0)),
SUM(IFERROR(INDEX(CHOOSE(
MATCH(C18,Database!A8:A10,0),
Database!BP4:BR21,
Database!BT4:BV21,
Database!CB4:CD33,
Database!BX4:BZ21
),
MATCH(Database!Z22:AI22,INDEX(
CHOOSE(MATCH(C18,Database!A8:A10,0),
Database!BP4:BR21,
Database!BT4:BV21,
Database!CB4:CD33,
Database!BX4:BZ21
),,1),0),2),0)))</f>
        <v>39999.978000000003</v>
      </c>
      <c r="D72" s="165">
        <v>0</v>
      </c>
      <c r="E72" s="247">
        <v>0</v>
      </c>
      <c r="F72" s="165"/>
      <c r="G72" s="165"/>
      <c r="H72" s="165"/>
      <c r="I72" s="272"/>
      <c r="K72" s="281" t="s">
        <v>366</v>
      </c>
      <c r="L72" s="281" t="s">
        <v>367</v>
      </c>
      <c r="M72" s="281" t="s">
        <v>368</v>
      </c>
      <c r="N72" s="281" t="s">
        <v>369</v>
      </c>
      <c r="O72" s="281" t="s">
        <v>370</v>
      </c>
      <c r="P72" s="281" t="s">
        <v>371</v>
      </c>
      <c r="Q72" s="281" t="s">
        <v>372</v>
      </c>
      <c r="R72" s="281" t="s">
        <v>373</v>
      </c>
      <c r="S72" s="281" t="s">
        <v>374</v>
      </c>
      <c r="T72" s="281" t="s">
        <v>375</v>
      </c>
    </row>
    <row r="73" spans="1:20" x14ac:dyDescent="0.3">
      <c r="A73" s="434">
        <v>2</v>
      </c>
      <c r="B73" s="51">
        <v>10000</v>
      </c>
      <c r="C73" s="221"/>
      <c r="D73" s="163">
        <f>C72</f>
        <v>39999.978000000003</v>
      </c>
      <c r="E73" s="247">
        <v>39940</v>
      </c>
      <c r="F73" s="163"/>
      <c r="G73" s="163"/>
      <c r="H73" s="163"/>
      <c r="I73" s="273"/>
      <c r="K73" s="282" t="s">
        <v>180</v>
      </c>
      <c r="L73" s="282" t="s">
        <v>182</v>
      </c>
      <c r="M73" s="282">
        <v>0</v>
      </c>
      <c r="N73" s="282">
        <v>0</v>
      </c>
      <c r="O73" s="282">
        <v>0</v>
      </c>
      <c r="P73" s="282">
        <v>1</v>
      </c>
      <c r="Q73" s="282">
        <v>2</v>
      </c>
      <c r="R73" s="282">
        <v>3</v>
      </c>
      <c r="S73" s="282">
        <v>4</v>
      </c>
      <c r="T73" s="282">
        <v>5</v>
      </c>
    </row>
    <row r="74" spans="1:20" x14ac:dyDescent="0.3">
      <c r="A74" s="434"/>
      <c r="B74" s="51"/>
      <c r="C74" s="221"/>
      <c r="D74" s="163">
        <f>C72</f>
        <v>39999.978000000003</v>
      </c>
      <c r="E74" s="247">
        <v>39920</v>
      </c>
      <c r="F74" s="163">
        <f>AVERAGE(E73:E74)</f>
        <v>39930</v>
      </c>
      <c r="G74" s="163">
        <f>(F74-F75)</f>
        <v>39930</v>
      </c>
      <c r="H74" s="163">
        <f>C72-G74</f>
        <v>69.978000000002794</v>
      </c>
      <c r="I74" s="274">
        <f>ABS(H74)</f>
        <v>69.978000000002794</v>
      </c>
    </row>
    <row r="75" spans="1:20" ht="15" thickBot="1" x14ac:dyDescent="0.35">
      <c r="A75" s="435"/>
      <c r="B75" s="52"/>
      <c r="C75" s="222"/>
      <c r="D75" s="164">
        <v>0</v>
      </c>
      <c r="E75" s="247">
        <v>0</v>
      </c>
      <c r="F75" s="164">
        <f>AVERAGE(E72,E75)</f>
        <v>0</v>
      </c>
      <c r="G75" s="164"/>
      <c r="H75" s="164"/>
      <c r="I75" s="276"/>
      <c r="K75" s="340">
        <f>IF(C19="10 Titik",B76,B77)</f>
        <v>60000</v>
      </c>
    </row>
    <row r="76" spans="1:20" x14ac:dyDescent="0.3">
      <c r="A76" s="433">
        <v>3</v>
      </c>
      <c r="B76" s="50">
        <f>IF(C19=Database!D8,'U95'!C7*3/10,)</f>
        <v>60000</v>
      </c>
      <c r="C76" s="223" cm="1">
        <f t="array" ref="C76">IF(C18="M1",SUM(IFERROR(INDEX(
Database!CB4:CD33,
MATCH(K77:O77,Database!CB4:CB33,0),2),0)),
SUM(IFERROR(INDEX(CHOOSE(
MATCH(C18,Database!A8:A10,0),
Database!BP4:BR21,
Database!BT4:BV21,
Database!CB4:CD33,
Database!BX4:BZ21
),
MATCH(Database!Z23:AI23,INDEX(
CHOOSE(MATCH(C18,Database!A8:A10,0),
Database!BP4:BR21,
Database!BT4:BV21,
Database!CB4:CD33,
Database!BX4:BZ21
),,1),0),2),0)))</f>
        <v>60000.131999999998</v>
      </c>
      <c r="D76" s="165">
        <v>0</v>
      </c>
      <c r="E76" s="247">
        <v>0</v>
      </c>
      <c r="F76" s="165"/>
      <c r="G76" s="165"/>
      <c r="H76" s="165"/>
      <c r="I76" s="277"/>
      <c r="J76" s="43"/>
      <c r="K76" s="281" t="s">
        <v>366</v>
      </c>
      <c r="L76" s="281" t="s">
        <v>367</v>
      </c>
      <c r="M76" s="281" t="s">
        <v>368</v>
      </c>
      <c r="N76" s="281" t="s">
        <v>369</v>
      </c>
      <c r="O76" s="281" t="s">
        <v>370</v>
      </c>
      <c r="P76" s="281" t="s">
        <v>371</v>
      </c>
      <c r="Q76" s="281" t="s">
        <v>372</v>
      </c>
      <c r="R76" s="281" t="s">
        <v>373</v>
      </c>
      <c r="S76" s="281" t="s">
        <v>374</v>
      </c>
      <c r="T76" s="281" t="s">
        <v>375</v>
      </c>
    </row>
    <row r="77" spans="1:20" x14ac:dyDescent="0.3">
      <c r="A77" s="434">
        <v>3</v>
      </c>
      <c r="B77" s="51">
        <v>15000</v>
      </c>
      <c r="C77" s="221"/>
      <c r="D77" s="163">
        <f>C76</f>
        <v>60000.131999999998</v>
      </c>
      <c r="E77" s="247">
        <v>59950</v>
      </c>
      <c r="F77" s="163"/>
      <c r="G77" s="163"/>
      <c r="H77" s="163"/>
      <c r="I77" s="274"/>
      <c r="K77" s="282" t="s">
        <v>180</v>
      </c>
      <c r="L77" s="282" t="s">
        <v>182</v>
      </c>
      <c r="M77" s="282" t="s">
        <v>178</v>
      </c>
      <c r="N77" s="282">
        <v>0</v>
      </c>
      <c r="O77" s="282">
        <v>0</v>
      </c>
      <c r="P77" s="282">
        <v>1</v>
      </c>
      <c r="Q77" s="282">
        <v>2</v>
      </c>
      <c r="R77" s="282">
        <v>3</v>
      </c>
      <c r="S77" s="282">
        <v>4</v>
      </c>
      <c r="T77" s="282">
        <v>5</v>
      </c>
    </row>
    <row r="78" spans="1:20" x14ac:dyDescent="0.3">
      <c r="A78" s="434"/>
      <c r="B78" s="51"/>
      <c r="C78" s="221"/>
      <c r="D78" s="163">
        <f>C76</f>
        <v>60000.131999999998</v>
      </c>
      <c r="E78" s="247">
        <v>59950</v>
      </c>
      <c r="F78" s="163">
        <f>AVERAGE(E77:E78)</f>
        <v>59950</v>
      </c>
      <c r="G78" s="163">
        <f>(F78-F79)</f>
        <v>59950</v>
      </c>
      <c r="H78" s="163">
        <f>C76-G78</f>
        <v>50.131999999997788</v>
      </c>
      <c r="I78" s="274">
        <f>ABS(H78)</f>
        <v>50.131999999997788</v>
      </c>
    </row>
    <row r="79" spans="1:20" ht="15" thickBot="1" x14ac:dyDescent="0.35">
      <c r="A79" s="435"/>
      <c r="B79" s="52"/>
      <c r="C79" s="222"/>
      <c r="D79" s="164">
        <v>0</v>
      </c>
      <c r="E79" s="247">
        <v>0</v>
      </c>
      <c r="F79" s="164">
        <f>AVERAGE(E76,E79)</f>
        <v>0</v>
      </c>
      <c r="G79" s="164"/>
      <c r="H79" s="164"/>
      <c r="I79" s="276"/>
      <c r="K79" s="340">
        <f>IF(C19="10 Titik",B80,B81)</f>
        <v>80000</v>
      </c>
    </row>
    <row r="80" spans="1:20" x14ac:dyDescent="0.3">
      <c r="A80" s="433">
        <v>4</v>
      </c>
      <c r="B80" s="50">
        <f>IF(C19=Database!D8,'U95'!C7*4/10,)</f>
        <v>80000</v>
      </c>
      <c r="C80" s="223" cm="1">
        <f t="array" ref="C80">IF(C18="M1",SUM(IFERROR(INDEX(
Database!CB4:CD33,
MATCH(K81:O81,Database!CB4:CB33,0),2),0)),
SUM(IFERROR(INDEX(CHOOSE(
MATCH(C18,Database!A8:A10,0),
Database!BP4:BR21,
Database!BT4:BV21,
Database!CB4:CD33,
Database!BX4:BZ21
),
MATCH(Database!Z24:AI24,INDEX(
CHOOSE(MATCH(C18,Database!A8:A10,0),
Database!BP4:BR21,
Database!BT4:BV21,
Database!CB4:CD33,
Database!BX4:BZ21
),,1),0),2),0)))</f>
        <v>80000.055999999997</v>
      </c>
      <c r="D80" s="165">
        <v>0</v>
      </c>
      <c r="E80" s="247">
        <v>0</v>
      </c>
      <c r="F80" s="165"/>
      <c r="G80" s="165"/>
      <c r="H80" s="165"/>
      <c r="I80" s="277"/>
      <c r="K80" s="281" t="s">
        <v>366</v>
      </c>
      <c r="L80" s="281" t="s">
        <v>367</v>
      </c>
      <c r="M80" s="281" t="s">
        <v>368</v>
      </c>
      <c r="N80" s="281" t="s">
        <v>369</v>
      </c>
      <c r="O80" s="281" t="s">
        <v>370</v>
      </c>
      <c r="P80" s="281" t="s">
        <v>371</v>
      </c>
      <c r="Q80" s="281" t="s">
        <v>372</v>
      </c>
      <c r="R80" s="281" t="s">
        <v>373</v>
      </c>
      <c r="S80" s="281" t="s">
        <v>374</v>
      </c>
      <c r="T80" s="281" t="s">
        <v>375</v>
      </c>
    </row>
    <row r="81" spans="1:20" x14ac:dyDescent="0.3">
      <c r="A81" s="434">
        <v>4</v>
      </c>
      <c r="B81" s="51">
        <v>20000</v>
      </c>
      <c r="C81" s="221"/>
      <c r="D81" s="163">
        <f>C80</f>
        <v>80000.055999999997</v>
      </c>
      <c r="E81" s="247">
        <v>80000</v>
      </c>
      <c r="F81" s="163"/>
      <c r="G81" s="163"/>
      <c r="H81" s="163"/>
      <c r="I81" s="274"/>
      <c r="K81" s="282" t="s">
        <v>180</v>
      </c>
      <c r="L81" s="282" t="s">
        <v>182</v>
      </c>
      <c r="M81" s="282" t="s">
        <v>178</v>
      </c>
      <c r="N81" s="282" t="s">
        <v>188</v>
      </c>
      <c r="O81" s="282">
        <v>0</v>
      </c>
      <c r="P81" s="282">
        <v>1</v>
      </c>
      <c r="Q81" s="282">
        <v>2</v>
      </c>
      <c r="R81" s="282">
        <v>3</v>
      </c>
      <c r="S81" s="282">
        <v>4</v>
      </c>
      <c r="T81" s="282">
        <v>5</v>
      </c>
    </row>
    <row r="82" spans="1:20" x14ac:dyDescent="0.3">
      <c r="A82" s="434"/>
      <c r="B82" s="51"/>
      <c r="C82" s="221"/>
      <c r="D82" s="163">
        <f>C80</f>
        <v>80000.055999999997</v>
      </c>
      <c r="E82" s="247">
        <v>80000</v>
      </c>
      <c r="F82" s="163">
        <f>AVERAGE(E81:E82)</f>
        <v>80000</v>
      </c>
      <c r="G82" s="163">
        <f>(F82-F83)</f>
        <v>80000</v>
      </c>
      <c r="H82" s="163">
        <f>C80-G82</f>
        <v>5.5999999996856786E-2</v>
      </c>
      <c r="I82" s="274">
        <f>ABS(H82)</f>
        <v>5.5999999996856786E-2</v>
      </c>
    </row>
    <row r="83" spans="1:20" ht="15" thickBot="1" x14ac:dyDescent="0.35">
      <c r="A83" s="435"/>
      <c r="B83" s="52"/>
      <c r="C83" s="222"/>
      <c r="D83" s="164">
        <v>0</v>
      </c>
      <c r="E83" s="247">
        <v>0</v>
      </c>
      <c r="F83" s="164">
        <f>AVERAGE(E80,E83)</f>
        <v>0</v>
      </c>
      <c r="G83" s="164"/>
      <c r="H83" s="164"/>
      <c r="I83" s="276"/>
      <c r="K83" s="340">
        <f>IF(C19="10 Titik",B84,B85)</f>
        <v>100000</v>
      </c>
    </row>
    <row r="84" spans="1:20" x14ac:dyDescent="0.3">
      <c r="A84" s="433">
        <v>5</v>
      </c>
      <c r="B84" s="50">
        <f>IF(C19=Database!D8,'U95'!C7*5/10,)</f>
        <v>100000</v>
      </c>
      <c r="C84" s="223" cm="1">
        <f t="array" ref="C84">IF(C18="M1",SUM(IFERROR(INDEX(
Database!CB4:CD33,
MATCH(K85:O85,Database!CB4:CB33,0),2),0)),
SUM(IFERROR(INDEX(CHOOSE(
MATCH(C18,Database!A8:A10,0),
Database!BP4:BR21,
Database!BT4:BV21,
Database!CB4:CD33,
Database!BX4:BZ21
),
MATCH(Database!Z25:AI25,INDEX(
CHOOSE(MATCH(C18,Database!A8:A10,0),
Database!BP4:BR21,
Database!BT4:BV21,
Database!CB4:CD33,
Database!BX4:BZ21
),,1),0),2),0)))</f>
        <v>100000.04399999999</v>
      </c>
      <c r="D84" s="165">
        <v>0</v>
      </c>
      <c r="E84" s="247">
        <v>0</v>
      </c>
      <c r="F84" s="165"/>
      <c r="G84" s="165"/>
      <c r="H84" s="165"/>
      <c r="I84" s="277"/>
      <c r="K84" s="281" t="s">
        <v>366</v>
      </c>
      <c r="L84" s="281" t="s">
        <v>367</v>
      </c>
      <c r="M84" s="281" t="s">
        <v>368</v>
      </c>
      <c r="N84" s="281" t="s">
        <v>369</v>
      </c>
      <c r="O84" s="281" t="s">
        <v>370</v>
      </c>
      <c r="P84" s="281" t="s">
        <v>371</v>
      </c>
      <c r="Q84" s="281" t="s">
        <v>372</v>
      </c>
      <c r="R84" s="281" t="s">
        <v>373</v>
      </c>
      <c r="S84" s="281" t="s">
        <v>374</v>
      </c>
      <c r="T84" s="281" t="s">
        <v>375</v>
      </c>
    </row>
    <row r="85" spans="1:20" x14ac:dyDescent="0.3">
      <c r="A85" s="434">
        <v>5</v>
      </c>
      <c r="B85" s="135">
        <v>25000</v>
      </c>
      <c r="C85" s="221"/>
      <c r="D85" s="163">
        <f>C84</f>
        <v>100000.04399999999</v>
      </c>
      <c r="E85" s="247">
        <v>100000</v>
      </c>
      <c r="F85" s="163"/>
      <c r="G85" s="163"/>
      <c r="H85" s="163"/>
      <c r="I85" s="274"/>
      <c r="K85" s="282" t="s">
        <v>180</v>
      </c>
      <c r="L85" s="282" t="s">
        <v>182</v>
      </c>
      <c r="M85" s="282" t="s">
        <v>178</v>
      </c>
      <c r="N85" s="282" t="s">
        <v>188</v>
      </c>
      <c r="O85" s="282" t="s">
        <v>189</v>
      </c>
      <c r="P85" s="282">
        <v>1</v>
      </c>
      <c r="Q85" s="282">
        <v>2</v>
      </c>
      <c r="R85" s="282">
        <v>3</v>
      </c>
      <c r="S85" s="282">
        <v>4</v>
      </c>
      <c r="T85" s="282">
        <v>5</v>
      </c>
    </row>
    <row r="86" spans="1:20" x14ac:dyDescent="0.3">
      <c r="A86" s="434"/>
      <c r="B86" s="51"/>
      <c r="C86" s="221"/>
      <c r="D86" s="163">
        <f>C84</f>
        <v>100000.04399999999</v>
      </c>
      <c r="E86" s="247">
        <v>100000</v>
      </c>
      <c r="F86" s="163">
        <f>AVERAGE(E85:E86)</f>
        <v>100000</v>
      </c>
      <c r="G86" s="163">
        <f>(F86-F87)</f>
        <v>100000</v>
      </c>
      <c r="H86" s="163">
        <f>C84-G86</f>
        <v>4.3999999994412065E-2</v>
      </c>
      <c r="I86" s="274">
        <f>ABS(H86)</f>
        <v>4.3999999994412065E-2</v>
      </c>
    </row>
    <row r="87" spans="1:20" ht="15" thickBot="1" x14ac:dyDescent="0.35">
      <c r="A87" s="435"/>
      <c r="B87" s="52"/>
      <c r="C87" s="222"/>
      <c r="D87" s="164">
        <v>0</v>
      </c>
      <c r="E87" s="247">
        <v>0</v>
      </c>
      <c r="F87" s="164">
        <f>AVERAGE(E84,E87)</f>
        <v>0</v>
      </c>
      <c r="G87" s="164"/>
      <c r="H87" s="164"/>
      <c r="I87" s="276"/>
      <c r="K87" s="340">
        <f>IF(C19="10 Titik",B88,B89)</f>
        <v>120000</v>
      </c>
    </row>
    <row r="88" spans="1:20" x14ac:dyDescent="0.3">
      <c r="A88" s="433">
        <v>6</v>
      </c>
      <c r="B88" s="50">
        <f>IF(C19=Database!D8,'U95'!C7*6/10,)</f>
        <v>120000</v>
      </c>
      <c r="C88" s="223" cm="1">
        <f t="array" ref="C88">IF(C18="M1",SUM(IFERROR(INDEX(
Database!CB4:CD33,
MATCH(K89:O89,Database!CB4:CB33,0),2),0)),
SUM(IFERROR(INDEX(CHOOSE(
MATCH(C18,Database!A8:A10,0),
Database!BP4:BR21,
Database!BT4:BV21,
Database!CB4:CD33,
Database!BX4:BZ21
),
MATCH(Database!Z26:AI26,INDEX(
CHOOSE(MATCH(C18,Database!A8:A10,0),
Database!BP4:BR21,
Database!BT4:BV21,
Database!CB4:CD33,
Database!BX4:BZ21
),,1),0),2),0)))</f>
        <v>100000.04399999999</v>
      </c>
      <c r="D88" s="165">
        <v>0</v>
      </c>
      <c r="E88" s="247">
        <v>0</v>
      </c>
      <c r="F88" s="165"/>
      <c r="G88" s="165"/>
      <c r="H88" s="165"/>
      <c r="I88" s="277"/>
      <c r="K88" s="281" t="s">
        <v>366</v>
      </c>
      <c r="L88" s="281" t="s">
        <v>367</v>
      </c>
      <c r="M88" s="281" t="s">
        <v>368</v>
      </c>
      <c r="N88" s="281" t="s">
        <v>369</v>
      </c>
      <c r="O88" s="281" t="s">
        <v>370</v>
      </c>
      <c r="P88" s="281" t="s">
        <v>371</v>
      </c>
      <c r="Q88" s="281" t="s">
        <v>372</v>
      </c>
      <c r="R88" s="281" t="s">
        <v>373</v>
      </c>
      <c r="S88" s="281" t="s">
        <v>374</v>
      </c>
      <c r="T88" s="281" t="s">
        <v>375</v>
      </c>
    </row>
    <row r="89" spans="1:20" x14ac:dyDescent="0.3">
      <c r="A89" s="434">
        <v>6</v>
      </c>
      <c r="B89" s="135">
        <v>30000</v>
      </c>
      <c r="C89" s="221"/>
      <c r="D89" s="163">
        <f>C88</f>
        <v>100000.04399999999</v>
      </c>
      <c r="E89" s="247">
        <v>120000</v>
      </c>
      <c r="F89" s="163"/>
      <c r="G89" s="163"/>
      <c r="H89" s="163"/>
      <c r="I89" s="274"/>
      <c r="K89" s="282" t="s">
        <v>180</v>
      </c>
      <c r="L89" s="282" t="s">
        <v>182</v>
      </c>
      <c r="M89" s="282" t="s">
        <v>178</v>
      </c>
      <c r="N89" s="282" t="s">
        <v>188</v>
      </c>
      <c r="O89" s="282" t="s">
        <v>189</v>
      </c>
      <c r="P89" s="282" t="s">
        <v>185</v>
      </c>
      <c r="Q89" s="282">
        <v>2</v>
      </c>
      <c r="R89" s="282">
        <v>3</v>
      </c>
      <c r="S89" s="282">
        <v>4</v>
      </c>
      <c r="T89" s="282">
        <v>5</v>
      </c>
    </row>
    <row r="90" spans="1:20" x14ac:dyDescent="0.3">
      <c r="A90" s="434"/>
      <c r="B90" s="51"/>
      <c r="C90" s="221"/>
      <c r="D90" s="163">
        <f>C88</f>
        <v>100000.04399999999</v>
      </c>
      <c r="E90" s="247">
        <v>120000</v>
      </c>
      <c r="F90" s="163">
        <f>AVERAGE(E89:E90)</f>
        <v>120000</v>
      </c>
      <c r="G90" s="163">
        <f>(F90-F91)</f>
        <v>120000</v>
      </c>
      <c r="H90" s="163">
        <f>C88-G90</f>
        <v>-19999.956000000006</v>
      </c>
      <c r="I90" s="274">
        <f>ABS(H90)</f>
        <v>19999.956000000006</v>
      </c>
    </row>
    <row r="91" spans="1:20" ht="15" thickBot="1" x14ac:dyDescent="0.35">
      <c r="A91" s="435"/>
      <c r="B91" s="52"/>
      <c r="C91" s="222"/>
      <c r="D91" s="164">
        <v>0</v>
      </c>
      <c r="E91" s="247">
        <v>0</v>
      </c>
      <c r="F91" s="164">
        <f>AVERAGE(E87,E91)</f>
        <v>0</v>
      </c>
      <c r="G91" s="164"/>
      <c r="H91" s="164"/>
      <c r="I91" s="276"/>
      <c r="K91" s="340">
        <f>IF(C19="10 Titik",B92,B93)</f>
        <v>140000</v>
      </c>
    </row>
    <row r="92" spans="1:20" x14ac:dyDescent="0.3">
      <c r="A92" s="433">
        <v>7</v>
      </c>
      <c r="B92" s="50">
        <f>IF(C19=Database!D8,'U95'!C7*7/10,)</f>
        <v>140000</v>
      </c>
      <c r="C92" s="224" cm="1">
        <f t="array" ref="C92">IF(C18="M1",SUM(IFERROR(INDEX(
Database!CB4:CD33,
MATCH(K93:O93,Database!CB4:CB33,0),2),0)),
SUM(IFERROR(INDEX(CHOOSE(
MATCH(C18,Database!A8:A10,0),
Database!BP4:BR21,
Database!BT4:BV21,
Database!CB4:CD33,
Database!BX4:BZ21
),
MATCH(Database!Z27:AI27,INDEX(
CHOOSE(MATCH(C18,Database!A8:A10,0),
Database!BP4:BR21,
Database!BT4:BV21,
Database!CB4:CD33,
Database!BX4:BZ21
),,1),0),2),0)))</f>
        <v>100000.04399999999</v>
      </c>
      <c r="D92" s="165">
        <v>0</v>
      </c>
      <c r="E92" s="247">
        <v>0</v>
      </c>
      <c r="F92" s="165"/>
      <c r="G92" s="165"/>
      <c r="H92" s="165"/>
      <c r="I92" s="277"/>
      <c r="K92" s="281" t="s">
        <v>366</v>
      </c>
      <c r="L92" s="281" t="s">
        <v>367</v>
      </c>
      <c r="M92" s="281" t="s">
        <v>368</v>
      </c>
      <c r="N92" s="281" t="s">
        <v>369</v>
      </c>
      <c r="O92" s="281" t="s">
        <v>370</v>
      </c>
      <c r="P92" s="281" t="s">
        <v>371</v>
      </c>
      <c r="Q92" s="281" t="s">
        <v>372</v>
      </c>
      <c r="R92" s="281" t="s">
        <v>373</v>
      </c>
      <c r="S92" s="281" t="s">
        <v>374</v>
      </c>
      <c r="T92" s="281" t="s">
        <v>375</v>
      </c>
    </row>
    <row r="93" spans="1:20" x14ac:dyDescent="0.3">
      <c r="A93" s="434">
        <v>7</v>
      </c>
      <c r="B93" s="51">
        <v>35000</v>
      </c>
      <c r="C93" s="225"/>
      <c r="D93" s="163">
        <f>C92</f>
        <v>100000.04399999999</v>
      </c>
      <c r="E93" s="247">
        <v>140000</v>
      </c>
      <c r="F93" s="163"/>
      <c r="G93" s="163"/>
      <c r="H93" s="163"/>
      <c r="I93" s="274"/>
      <c r="K93" s="282" t="s">
        <v>180</v>
      </c>
      <c r="L93" s="282" t="s">
        <v>182</v>
      </c>
      <c r="M93" s="282" t="s">
        <v>178</v>
      </c>
      <c r="N93" s="282" t="s">
        <v>188</v>
      </c>
      <c r="O93" s="282" t="s">
        <v>189</v>
      </c>
      <c r="P93" s="282" t="s">
        <v>185</v>
      </c>
      <c r="Q93" s="282" t="s">
        <v>187</v>
      </c>
      <c r="R93" s="282">
        <v>3</v>
      </c>
      <c r="S93" s="282">
        <v>4</v>
      </c>
      <c r="T93" s="282">
        <v>5</v>
      </c>
    </row>
    <row r="94" spans="1:20" x14ac:dyDescent="0.3">
      <c r="A94" s="434"/>
      <c r="B94" s="51"/>
      <c r="C94" s="225"/>
      <c r="D94" s="163">
        <f>C92</f>
        <v>100000.04399999999</v>
      </c>
      <c r="E94" s="247">
        <v>140000</v>
      </c>
      <c r="F94" s="163">
        <f>AVERAGE(E93:E94)</f>
        <v>140000</v>
      </c>
      <c r="G94" s="163">
        <f>(F94-F95)</f>
        <v>140000</v>
      </c>
      <c r="H94" s="163">
        <f>C92-G94</f>
        <v>-39999.956000000006</v>
      </c>
      <c r="I94" s="274">
        <f>ABS(H94)</f>
        <v>39999.956000000006</v>
      </c>
    </row>
    <row r="95" spans="1:20" ht="15" thickBot="1" x14ac:dyDescent="0.35">
      <c r="A95" s="435"/>
      <c r="B95" s="52"/>
      <c r="C95" s="226"/>
      <c r="D95" s="164">
        <v>0</v>
      </c>
      <c r="E95" s="247">
        <v>0</v>
      </c>
      <c r="F95" s="164">
        <f>AVERAGE(E91,E95)</f>
        <v>0</v>
      </c>
      <c r="G95" s="164"/>
      <c r="H95" s="164"/>
      <c r="I95" s="276"/>
      <c r="K95" s="340">
        <f>IF(C19="10 Titik",B96,B97)</f>
        <v>160000</v>
      </c>
    </row>
    <row r="96" spans="1:20" x14ac:dyDescent="0.3">
      <c r="A96" s="433">
        <v>8</v>
      </c>
      <c r="B96" s="50">
        <f>IF(C19=Database!D8,'U95'!C7*8/10,)</f>
        <v>160000</v>
      </c>
      <c r="C96" s="224" cm="1">
        <f t="array" ref="C96">IF(C18="M1",SUM(IFERROR(INDEX(
Database!CB4:CD33,
MATCH(K97:O97,Database!CB4:CB33,0),2),0)),
SUM(IFERROR(INDEX(CHOOSE(
MATCH(C18,Database!A8:A10,0),
Database!BP4:BR21,
Database!BT4:BV21,
Database!CB4:CD33,
Database!BX4:BZ21
),
MATCH(Database!Z28:AI28,INDEX(
CHOOSE(MATCH(C18,Database!A8:A10,0),
Database!BP4:BR21,
Database!BT4:BV21,
Database!CB4:CD33,
Database!BX4:BZ21
),,1),0),2),0)))</f>
        <v>100000.04399999999</v>
      </c>
      <c r="D96" s="165">
        <v>0</v>
      </c>
      <c r="E96" s="247">
        <v>0</v>
      </c>
      <c r="F96" s="165"/>
      <c r="G96" s="165"/>
      <c r="H96" s="165"/>
      <c r="I96" s="277"/>
      <c r="K96" s="281" t="s">
        <v>366</v>
      </c>
      <c r="L96" s="281" t="s">
        <v>367</v>
      </c>
      <c r="M96" s="281" t="s">
        <v>368</v>
      </c>
      <c r="N96" s="281" t="s">
        <v>369</v>
      </c>
      <c r="O96" s="281" t="s">
        <v>370</v>
      </c>
      <c r="P96" s="281" t="s">
        <v>371</v>
      </c>
      <c r="Q96" s="281" t="s">
        <v>372</v>
      </c>
      <c r="R96" s="281" t="s">
        <v>373</v>
      </c>
      <c r="S96" s="281" t="s">
        <v>374</v>
      </c>
      <c r="T96" s="281" t="s">
        <v>375</v>
      </c>
    </row>
    <row r="97" spans="1:20" x14ac:dyDescent="0.3">
      <c r="A97" s="434">
        <v>8</v>
      </c>
      <c r="B97" s="135">
        <v>40000</v>
      </c>
      <c r="C97" s="225"/>
      <c r="D97" s="163">
        <f>C96</f>
        <v>100000.04399999999</v>
      </c>
      <c r="E97" s="247">
        <v>160000</v>
      </c>
      <c r="F97" s="163"/>
      <c r="G97" s="163"/>
      <c r="H97" s="163"/>
      <c r="I97" s="274"/>
      <c r="K97" s="282" t="s">
        <v>180</v>
      </c>
      <c r="L97" s="282" t="s">
        <v>182</v>
      </c>
      <c r="M97" s="282" t="s">
        <v>178</v>
      </c>
      <c r="N97" s="282" t="s">
        <v>188</v>
      </c>
      <c r="O97" s="282" t="s">
        <v>189</v>
      </c>
      <c r="P97" s="282" t="s">
        <v>185</v>
      </c>
      <c r="Q97" s="282" t="s">
        <v>187</v>
      </c>
      <c r="R97" s="282" t="s">
        <v>183</v>
      </c>
      <c r="S97" s="282">
        <v>4</v>
      </c>
      <c r="T97" s="282">
        <v>5</v>
      </c>
    </row>
    <row r="98" spans="1:20" x14ac:dyDescent="0.3">
      <c r="A98" s="434"/>
      <c r="B98" s="51"/>
      <c r="C98" s="225"/>
      <c r="D98" s="163">
        <f>C96</f>
        <v>100000.04399999999</v>
      </c>
      <c r="E98" s="247">
        <v>160000</v>
      </c>
      <c r="F98" s="163">
        <f>AVERAGE(E97:E98)</f>
        <v>160000</v>
      </c>
      <c r="G98" s="163">
        <f>(F98-F99)</f>
        <v>160000</v>
      </c>
      <c r="H98" s="163">
        <f>C96-G98</f>
        <v>-59999.956000000006</v>
      </c>
      <c r="I98" s="274">
        <f>ABS(H98)</f>
        <v>59999.956000000006</v>
      </c>
    </row>
    <row r="99" spans="1:20" ht="15" thickBot="1" x14ac:dyDescent="0.35">
      <c r="A99" s="435"/>
      <c r="B99" s="52"/>
      <c r="C99" s="226"/>
      <c r="D99" s="164">
        <v>0</v>
      </c>
      <c r="E99" s="247">
        <v>0</v>
      </c>
      <c r="F99" s="164">
        <f>AVERAGE(E95,E99)</f>
        <v>0</v>
      </c>
      <c r="G99" s="164"/>
      <c r="H99" s="164"/>
      <c r="I99" s="276"/>
      <c r="K99" s="340">
        <f>IF(C19="10 Titik",B100,B101)</f>
        <v>180000</v>
      </c>
    </row>
    <row r="100" spans="1:20" x14ac:dyDescent="0.3">
      <c r="A100" s="433">
        <v>9</v>
      </c>
      <c r="B100" s="50">
        <f>IF(C19=Database!D8,'U95'!C7*9/10,)</f>
        <v>180000</v>
      </c>
      <c r="C100" s="224" cm="1">
        <f t="array" ref="C100">IF(C18="M1",SUM(IFERROR(INDEX(
Database!CB4:CD33,
MATCH(K101:O101,Database!CB4:CB33,0),2),0)),
SUM(IFERROR(INDEX(CHOOSE(
MATCH(C18,Database!A8:A10,0),
Database!BP4:BR21,
Database!BT4:BV21,
Database!CB4:CD33,
Database!BX4:BZ21
),
MATCH(Database!Z29:AI29,INDEX(
CHOOSE(MATCH(C18,Database!A8:A10,0),
Database!BP4:BR21,
Database!BT4:BV21,
Database!CB4:CD33,
Database!BX4:BZ21
),,1),0),2),0)))</f>
        <v>100000.04399999999</v>
      </c>
      <c r="D100" s="165">
        <v>0</v>
      </c>
      <c r="E100" s="247">
        <v>0</v>
      </c>
      <c r="F100" s="165"/>
      <c r="G100" s="165"/>
      <c r="H100" s="165"/>
      <c r="I100" s="277"/>
      <c r="K100" s="281" t="s">
        <v>366</v>
      </c>
      <c r="L100" s="281" t="s">
        <v>367</v>
      </c>
      <c r="M100" s="281" t="s">
        <v>368</v>
      </c>
      <c r="N100" s="281" t="s">
        <v>369</v>
      </c>
      <c r="O100" s="281" t="s">
        <v>370</v>
      </c>
      <c r="P100" s="281" t="s">
        <v>371</v>
      </c>
      <c r="Q100" s="281" t="s">
        <v>372</v>
      </c>
      <c r="R100" s="281" t="s">
        <v>373</v>
      </c>
      <c r="S100" s="281" t="s">
        <v>374</v>
      </c>
      <c r="T100" s="281" t="s">
        <v>375</v>
      </c>
    </row>
    <row r="101" spans="1:20" x14ac:dyDescent="0.3">
      <c r="A101" s="434">
        <v>9</v>
      </c>
      <c r="B101" s="136">
        <v>45000</v>
      </c>
      <c r="C101" s="225"/>
      <c r="D101" s="163">
        <f>C100</f>
        <v>100000.04399999999</v>
      </c>
      <c r="E101" s="247">
        <v>180000</v>
      </c>
      <c r="F101" s="163"/>
      <c r="G101" s="163"/>
      <c r="H101" s="163"/>
      <c r="I101" s="274"/>
      <c r="K101" s="282" t="s">
        <v>180</v>
      </c>
      <c r="L101" s="282" t="s">
        <v>182</v>
      </c>
      <c r="M101" s="282" t="s">
        <v>178</v>
      </c>
      <c r="N101" s="282" t="s">
        <v>188</v>
      </c>
      <c r="O101" s="282" t="s">
        <v>189</v>
      </c>
      <c r="P101" s="282" t="s">
        <v>185</v>
      </c>
      <c r="Q101" s="282" t="s">
        <v>187</v>
      </c>
      <c r="R101" s="282" t="s">
        <v>183</v>
      </c>
      <c r="S101" s="282" t="s">
        <v>191</v>
      </c>
      <c r="T101" s="282">
        <v>5</v>
      </c>
    </row>
    <row r="102" spans="1:20" x14ac:dyDescent="0.3">
      <c r="A102" s="434"/>
      <c r="B102" s="136"/>
      <c r="C102" s="225"/>
      <c r="D102" s="163">
        <f>C100</f>
        <v>100000.04399999999</v>
      </c>
      <c r="E102" s="247">
        <v>180000</v>
      </c>
      <c r="F102" s="163">
        <f>AVERAGE(E101:E102)</f>
        <v>180000</v>
      </c>
      <c r="G102" s="163">
        <f>(F102-F103)</f>
        <v>180000</v>
      </c>
      <c r="H102" s="163">
        <f>C100-G102</f>
        <v>-79999.956000000006</v>
      </c>
      <c r="I102" s="274">
        <f>ABS(H102)</f>
        <v>79999.956000000006</v>
      </c>
      <c r="L102" s="43"/>
      <c r="M102" s="131"/>
    </row>
    <row r="103" spans="1:20" ht="15" thickBot="1" x14ac:dyDescent="0.35">
      <c r="A103" s="435"/>
      <c r="B103" s="52"/>
      <c r="C103" s="226"/>
      <c r="D103" s="164">
        <v>0</v>
      </c>
      <c r="E103" s="247">
        <v>0</v>
      </c>
      <c r="F103" s="164">
        <f>AVERAGE(E99,E103)</f>
        <v>0</v>
      </c>
      <c r="G103" s="164"/>
      <c r="H103" s="164"/>
      <c r="I103" s="276"/>
      <c r="K103" s="340">
        <f>IF(C19="10 Titik",B104,B105)</f>
        <v>200000</v>
      </c>
    </row>
    <row r="104" spans="1:20" x14ac:dyDescent="0.3">
      <c r="A104" s="433">
        <v>10</v>
      </c>
      <c r="B104" s="50">
        <f>IF(C19=Database!D8,'U95'!C7*10/10,)</f>
        <v>200000</v>
      </c>
      <c r="C104" s="224" cm="1">
        <f t="array" ref="C104">IF(C18="M1",SUM(IFERROR(INDEX(
Database!CB4:CD33,
MATCH(K105:O105,Database!CB4:CB33,0),2),0)),
SUM(IFERROR(INDEX(CHOOSE(
MATCH(C18,Database!A8:A10,0),
Database!BP4:BR21,
Database!BT4:BV21,
Database!CB4:CD33,
Database!BX4:BZ21
),
MATCH(Database!Z30:AI30,INDEX(
CHOOSE(MATCH(C18,Database!A8:A10,0),
Database!BP4:BR21,
Database!BT4:BV21,
Database!CB4:CD33,
Database!BX4:BZ21
),,1),0),2),0)))</f>
        <v>100000.04399999999</v>
      </c>
      <c r="D104" s="165">
        <v>0</v>
      </c>
      <c r="E104" s="247">
        <v>0</v>
      </c>
      <c r="F104" s="165"/>
      <c r="G104" s="165"/>
      <c r="H104" s="165"/>
      <c r="I104" s="277"/>
      <c r="K104" s="281" t="s">
        <v>366</v>
      </c>
      <c r="L104" s="281" t="s">
        <v>367</v>
      </c>
      <c r="M104" s="281" t="s">
        <v>368</v>
      </c>
      <c r="N104" s="281" t="s">
        <v>369</v>
      </c>
      <c r="O104" s="281" t="s">
        <v>370</v>
      </c>
      <c r="P104" s="281" t="s">
        <v>371</v>
      </c>
      <c r="Q104" s="281" t="s">
        <v>372</v>
      </c>
      <c r="R104" s="281" t="s">
        <v>373</v>
      </c>
      <c r="S104" s="281" t="s">
        <v>374</v>
      </c>
      <c r="T104" s="281" t="s">
        <v>375</v>
      </c>
    </row>
    <row r="105" spans="1:20" x14ac:dyDescent="0.3">
      <c r="A105" s="434">
        <v>10</v>
      </c>
      <c r="B105" s="136">
        <v>50000</v>
      </c>
      <c r="C105" s="225"/>
      <c r="D105" s="163">
        <f>C104</f>
        <v>100000.04399999999</v>
      </c>
      <c r="E105" s="247">
        <v>199100</v>
      </c>
      <c r="F105" s="163"/>
      <c r="G105" s="163"/>
      <c r="H105" s="163"/>
      <c r="I105" s="274"/>
      <c r="K105" s="282" t="s">
        <v>180</v>
      </c>
      <c r="L105" s="282" t="s">
        <v>182</v>
      </c>
      <c r="M105" s="282" t="s">
        <v>178</v>
      </c>
      <c r="N105" s="282" t="s">
        <v>188</v>
      </c>
      <c r="O105" s="282" t="s">
        <v>189</v>
      </c>
      <c r="P105" s="282" t="s">
        <v>185</v>
      </c>
      <c r="Q105" s="282" t="s">
        <v>187</v>
      </c>
      <c r="R105" s="282" t="s">
        <v>183</v>
      </c>
      <c r="S105" s="282" t="s">
        <v>191</v>
      </c>
      <c r="T105" s="282" t="s">
        <v>179</v>
      </c>
    </row>
    <row r="106" spans="1:20" x14ac:dyDescent="0.3">
      <c r="A106" s="434"/>
      <c r="B106" s="136"/>
      <c r="C106" s="225"/>
      <c r="D106" s="163">
        <f>C104</f>
        <v>100000.04399999999</v>
      </c>
      <c r="E106" s="247">
        <v>199100</v>
      </c>
      <c r="F106" s="163">
        <f>AVERAGE(E105:E106)</f>
        <v>199100</v>
      </c>
      <c r="G106" s="163">
        <f>(F106-F107)</f>
        <v>199100</v>
      </c>
      <c r="H106" s="163">
        <f>C104-G106</f>
        <v>-99099.956000000006</v>
      </c>
      <c r="I106" s="274">
        <f>ABS(H106)</f>
        <v>99099.956000000006</v>
      </c>
    </row>
    <row r="107" spans="1:20" ht="15" thickBot="1" x14ac:dyDescent="0.35">
      <c r="A107" s="435"/>
      <c r="B107" s="52"/>
      <c r="C107" s="226"/>
      <c r="D107" s="164">
        <v>0</v>
      </c>
      <c r="E107" s="247">
        <v>0</v>
      </c>
      <c r="F107" s="164">
        <f>AVERAGE(E103,E107)</f>
        <v>0</v>
      </c>
      <c r="G107" s="164"/>
      <c r="H107" s="164"/>
      <c r="I107" s="278"/>
      <c r="K107" s="340">
        <f>IF(C19="10 Titik",B108,B109)</f>
        <v>20000</v>
      </c>
    </row>
    <row r="108" spans="1:20" x14ac:dyDescent="0.3">
      <c r="A108" s="433">
        <v>11</v>
      </c>
      <c r="B108" s="50">
        <f>IF(C19=Database!D8,'U95'!C7*1/10,)</f>
        <v>20000</v>
      </c>
      <c r="C108" s="115" cm="1">
        <f t="array" ref="C108">IF(C18="M1",SUM(IFERROR(INDEX(
Database!$CB$4:$CD$33,
MATCH(K109:O109,Database!CB4:CB33,0),2),0)),
SUM(IFERROR(INDEX(CHOOSE(
MATCH(C18,Database!A8:A10,0),
Database!BP4:BR21,
Database!BT4:BV21,
Database!CB4:CD33,
Database!BX4:BZ21
),
MATCH(Database!Z31:AI31,INDEX(
CHOOSE(MATCH(C18,Database!A8:A10,0),
Database!BP4:BR21,
Database!BT4:BV21,
Database!CB4:CD33,
Database!BX4:BZ21
),,1),0),2),0)))</f>
        <v>54998.292999999998</v>
      </c>
      <c r="D108" s="45">
        <v>0</v>
      </c>
      <c r="E108" s="301">
        <v>0</v>
      </c>
      <c r="F108" s="108"/>
      <c r="G108" s="108"/>
      <c r="H108" s="147"/>
      <c r="I108" s="279"/>
      <c r="K108" s="281" t="s">
        <v>366</v>
      </c>
      <c r="L108" s="281" t="s">
        <v>367</v>
      </c>
      <c r="M108" s="281" t="s">
        <v>368</v>
      </c>
      <c r="N108" s="281" t="s">
        <v>369</v>
      </c>
      <c r="O108" s="281" t="s">
        <v>370</v>
      </c>
    </row>
    <row r="109" spans="1:20" x14ac:dyDescent="0.3">
      <c r="A109" s="434"/>
      <c r="B109" s="51">
        <v>55000</v>
      </c>
      <c r="C109" s="61"/>
      <c r="D109" s="109">
        <f>C108</f>
        <v>54998.292999999998</v>
      </c>
      <c r="E109" s="301">
        <v>5500.01</v>
      </c>
      <c r="F109" s="109"/>
      <c r="G109" s="109"/>
      <c r="H109" s="148"/>
      <c r="I109" s="280"/>
      <c r="K109" s="282" t="s">
        <v>181</v>
      </c>
      <c r="L109" s="282" t="s">
        <v>185</v>
      </c>
      <c r="M109" s="282" t="s">
        <v>198</v>
      </c>
      <c r="N109" s="282" t="s">
        <v>197</v>
      </c>
      <c r="O109" s="282">
        <v>0</v>
      </c>
    </row>
    <row r="110" spans="1:20" x14ac:dyDescent="0.3">
      <c r="A110" s="434"/>
      <c r="B110" s="51"/>
      <c r="C110" s="61"/>
      <c r="D110" s="109">
        <f>C108</f>
        <v>54998.292999999998</v>
      </c>
      <c r="E110" s="301">
        <v>5500.03</v>
      </c>
      <c r="F110" s="109">
        <f>AVERAGE(E109:E110)</f>
        <v>5500.02</v>
      </c>
      <c r="G110" s="109">
        <f>(F110-F111)</f>
        <v>5500.02</v>
      </c>
      <c r="H110" s="148">
        <f>C108-G110</f>
        <v>49498.273000000001</v>
      </c>
      <c r="I110" s="280">
        <f>ABS(H110)</f>
        <v>49498.273000000001</v>
      </c>
    </row>
    <row r="111" spans="1:20" ht="15" thickBot="1" x14ac:dyDescent="0.35">
      <c r="A111" s="435"/>
      <c r="B111" s="52"/>
      <c r="C111" s="62"/>
      <c r="D111" s="110">
        <v>0</v>
      </c>
      <c r="E111" s="301">
        <v>0</v>
      </c>
      <c r="F111" s="110">
        <f>AVERAGE(E107,E111)</f>
        <v>0</v>
      </c>
      <c r="G111" s="110"/>
      <c r="H111" s="149"/>
      <c r="I111" s="271"/>
      <c r="K111" s="340">
        <f>IF(C19="10 Titik",B112,B113)</f>
        <v>20000</v>
      </c>
    </row>
    <row r="112" spans="1:20" x14ac:dyDescent="0.3">
      <c r="A112" s="433">
        <v>12</v>
      </c>
      <c r="B112" s="50">
        <f>IF(C19=Database!D8,'U95'!C7*1/10,)</f>
        <v>20000</v>
      </c>
      <c r="C112" s="115" cm="1">
        <f t="array" ref="C112">IF(C18="M1",SUM(IFERROR(INDEX(
Database!CB4:CD33,
MATCH(K113:O113,Database!CB4:CB33,0),2),0)),
SUM(IFERROR(INDEX(CHOOSE(
MATCH(C18,Database!A8:A10,0),
Database!BP4:BR21,
Database!BT4:BV21,
Database!CB4:CD33,
Database!BX4:BZ21
),
MATCH(Database!Z32:AI32,INDEX(
CHOOSE(MATCH(C18,Database!A8:A10,0),
Database!BP4:BR21,
Database!BT4:BV21,
Database!CB4:CD33,
Database!BX4:BZ21
),,1),0),2),0)))</f>
        <v>59999.959000000003</v>
      </c>
      <c r="D112" s="45">
        <v>0</v>
      </c>
      <c r="E112" s="301">
        <v>0</v>
      </c>
      <c r="F112" s="108"/>
      <c r="G112" s="108"/>
      <c r="H112" s="147"/>
      <c r="I112" s="279"/>
      <c r="K112" s="281" t="s">
        <v>366</v>
      </c>
      <c r="L112" s="281" t="s">
        <v>367</v>
      </c>
      <c r="M112" s="281" t="s">
        <v>368</v>
      </c>
      <c r="N112" s="281" t="s">
        <v>369</v>
      </c>
      <c r="O112" s="281" t="s">
        <v>370</v>
      </c>
    </row>
    <row r="113" spans="1:15" x14ac:dyDescent="0.3">
      <c r="A113" s="434"/>
      <c r="B113" s="51">
        <v>60000</v>
      </c>
      <c r="C113" s="61"/>
      <c r="D113" s="109">
        <f>C112</f>
        <v>59999.959000000003</v>
      </c>
      <c r="E113" s="301">
        <v>5999.99</v>
      </c>
      <c r="F113" s="109"/>
      <c r="G113" s="109"/>
      <c r="H113" s="148"/>
      <c r="I113" s="280"/>
      <c r="K113" s="282" t="s">
        <v>181</v>
      </c>
      <c r="L113" s="282" t="s">
        <v>185</v>
      </c>
      <c r="M113" s="282" t="s">
        <v>189</v>
      </c>
      <c r="N113" s="282">
        <v>0</v>
      </c>
      <c r="O113" s="282">
        <v>0</v>
      </c>
    </row>
    <row r="114" spans="1:15" x14ac:dyDescent="0.3">
      <c r="A114" s="434"/>
      <c r="B114" s="51"/>
      <c r="C114" s="61"/>
      <c r="D114" s="109">
        <f>C112</f>
        <v>59999.959000000003</v>
      </c>
      <c r="E114" s="301">
        <v>5999.99</v>
      </c>
      <c r="F114" s="109">
        <f>AVERAGE(E113:E114)</f>
        <v>5999.99</v>
      </c>
      <c r="G114" s="109">
        <f>(F114-F115)</f>
        <v>5999.99</v>
      </c>
      <c r="H114" s="148">
        <f>C112-G114</f>
        <v>53999.969000000005</v>
      </c>
      <c r="I114" s="280">
        <f>ABS(H114)</f>
        <v>53999.969000000005</v>
      </c>
    </row>
    <row r="115" spans="1:15" ht="15" thickBot="1" x14ac:dyDescent="0.35">
      <c r="A115" s="435"/>
      <c r="B115" s="52"/>
      <c r="C115" s="62"/>
      <c r="D115" s="110">
        <v>0</v>
      </c>
      <c r="E115" s="301">
        <v>0</v>
      </c>
      <c r="F115" s="110">
        <f>AVERAGE(E111,E115)</f>
        <v>0</v>
      </c>
      <c r="G115" s="110"/>
      <c r="H115" s="149"/>
      <c r="I115" s="271"/>
      <c r="K115" s="340">
        <f>IF(C23="10 Titik",B116,B117)</f>
        <v>20</v>
      </c>
    </row>
    <row r="116" spans="1:15" x14ac:dyDescent="0.3">
      <c r="A116" s="433">
        <v>13</v>
      </c>
      <c r="B116" s="50">
        <f>IF(C19=Database!D8,'U95'!C7*1/10,)</f>
        <v>20000</v>
      </c>
      <c r="C116" s="115" cm="1">
        <f t="array" ref="C116">IF($C$18="M1",
   SUM(IFERROR(INDEX(Database!$CB$4:$CD$33,
                     MATCH(K117:O117, Database!$CB$4:$CB$33, 0),
                     2), 0)),
   SUM(IFERROR(INDEX(CHOOSE(MATCH($C$18, Database!$A$8:$A$10, 0),
                           Database!$BP$4:$BR$21,
                           Database!$BT$4:$BV$21,
                           Database!$CB$4:$CD$33,
                           Database!$BX$4:$BZ$21),
                     MATCH(Database!$Z$31:$AI$31,
                           INDEX(CHOOSE(MATCH($C$18, Database!$A$8:$A$10, 0),
                                       Database!$BP$4:$BR$21,
                                       Database!$BT$4:$BV$21,
                                       Database!$CB$4:$CD$33,
                                       Database!$BX$4:$BZ$21),,1),
                           0),
                     2), 0))
   )</f>
        <v>59999.838000000003</v>
      </c>
      <c r="D116" s="165">
        <v>0</v>
      </c>
      <c r="E116" s="247">
        <f>E115</f>
        <v>0</v>
      </c>
      <c r="F116" s="165"/>
      <c r="G116" s="165"/>
      <c r="H116" s="150"/>
      <c r="I116" s="279"/>
      <c r="K116" s="281" t="s">
        <v>366</v>
      </c>
      <c r="L116" s="281" t="s">
        <v>367</v>
      </c>
      <c r="M116" s="281" t="s">
        <v>368</v>
      </c>
      <c r="N116" s="281" t="s">
        <v>369</v>
      </c>
      <c r="O116" s="281" t="s">
        <v>370</v>
      </c>
    </row>
    <row r="117" spans="1:15" x14ac:dyDescent="0.3">
      <c r="A117" s="434">
        <v>9</v>
      </c>
      <c r="B117" s="136">
        <v>20</v>
      </c>
      <c r="C117" s="61"/>
      <c r="D117" s="163">
        <f>C116</f>
        <v>59999.838000000003</v>
      </c>
      <c r="E117" s="247">
        <v>1</v>
      </c>
      <c r="F117" s="163"/>
      <c r="G117" s="163"/>
      <c r="H117" s="148"/>
      <c r="I117" s="280"/>
      <c r="K117" s="282" t="s">
        <v>180</v>
      </c>
      <c r="L117" s="282" t="s">
        <v>180</v>
      </c>
      <c r="M117" s="282" t="s">
        <v>180</v>
      </c>
      <c r="N117" s="282">
        <v>0</v>
      </c>
      <c r="O117" s="282">
        <v>0</v>
      </c>
    </row>
    <row r="118" spans="1:15" x14ac:dyDescent="0.3">
      <c r="A118" s="434"/>
      <c r="B118" s="136"/>
      <c r="C118" s="61"/>
      <c r="D118" s="163">
        <f>C116</f>
        <v>59999.838000000003</v>
      </c>
      <c r="E118" s="247">
        <v>1</v>
      </c>
      <c r="F118" s="163">
        <f>AVERAGE(E117:E118)</f>
        <v>1</v>
      </c>
      <c r="G118" s="163">
        <f>(F118-F119)</f>
        <v>0.5</v>
      </c>
      <c r="H118" s="148">
        <f>C116-G118</f>
        <v>59999.338000000003</v>
      </c>
      <c r="I118" s="280">
        <f>ABS(H118)</f>
        <v>59999.338000000003</v>
      </c>
      <c r="K118" s="131"/>
      <c r="L118" s="43"/>
      <c r="M118" s="131"/>
    </row>
    <row r="119" spans="1:15" ht="15" thickBot="1" x14ac:dyDescent="0.35">
      <c r="A119" s="435"/>
      <c r="B119" s="52"/>
      <c r="C119" s="62"/>
      <c r="D119" s="164">
        <v>0</v>
      </c>
      <c r="E119" s="247">
        <v>1</v>
      </c>
      <c r="F119" s="164">
        <f>AVERAGE(E115,E119)</f>
        <v>0.5</v>
      </c>
      <c r="G119" s="164"/>
      <c r="H119" s="149"/>
      <c r="I119" s="271"/>
      <c r="K119" s="340">
        <f>IF(C27="10 Titik",B120,B121)</f>
        <v>420</v>
      </c>
    </row>
    <row r="120" spans="1:15" x14ac:dyDescent="0.3">
      <c r="A120" s="433">
        <v>14</v>
      </c>
      <c r="B120" s="50">
        <f>IF(C19=Database!D8,'U95'!C7*1/10,)</f>
        <v>20000</v>
      </c>
      <c r="C120" s="115" cm="1">
        <f t="array" ref="C120">IF($C$18="M1",
   SUM(IFERROR(INDEX(Database!$CB$4:$CD$33,
                     MATCH(K121:O121, Database!$CB$4:$CB$33, 0),
                     2), 0)),
   SUM(IFERROR(INDEX(CHOOSE(MATCH($C$18, Database!$A$8:$A$10, 0),
                           Database!$BP$4:$BR$21,
                           Database!$BT$4:$BV$21,
                           Database!$CB$4:$CD$33,
                           Database!$BX$4:$BZ$21),
                     MATCH(Database!$Z$31:$AI$31,
                           INDEX(CHOOSE(MATCH($C$18,Database!$A$8:$A$10, 0),
                                       Database!$BP$4:$BR$21,
                                       Database!$BT$4:$BV$21,
                                       Database!$CB$4:$CD$33,
                                       Database!$BX$4:$BZ$21),,1),
                           0),
                     2), 0))
   )</f>
        <v>59999.838000000003</v>
      </c>
      <c r="D120" s="111">
        <v>0</v>
      </c>
      <c r="E120" s="246">
        <f>E119</f>
        <v>1</v>
      </c>
      <c r="F120" s="111"/>
      <c r="G120" s="111"/>
      <c r="H120" s="150"/>
      <c r="I120" s="279"/>
      <c r="K120" s="281" t="s">
        <v>366</v>
      </c>
      <c r="L120" s="281" t="s">
        <v>367</v>
      </c>
      <c r="M120" s="281" t="s">
        <v>368</v>
      </c>
      <c r="N120" s="281" t="s">
        <v>369</v>
      </c>
      <c r="O120" s="281" t="s">
        <v>370</v>
      </c>
    </row>
    <row r="121" spans="1:15" x14ac:dyDescent="0.3">
      <c r="A121" s="434">
        <v>10</v>
      </c>
      <c r="B121" s="136">
        <v>420</v>
      </c>
      <c r="C121" s="61"/>
      <c r="D121" s="109">
        <f>C120</f>
        <v>59999.838000000003</v>
      </c>
      <c r="E121" s="246">
        <v>0</v>
      </c>
      <c r="F121" s="109"/>
      <c r="G121" s="109"/>
      <c r="H121" s="148"/>
      <c r="I121" s="280"/>
      <c r="K121" s="282" t="s">
        <v>180</v>
      </c>
      <c r="L121" s="282" t="s">
        <v>180</v>
      </c>
      <c r="M121" s="282" t="s">
        <v>180</v>
      </c>
      <c r="N121" s="282">
        <v>0</v>
      </c>
      <c r="O121" s="282">
        <v>0</v>
      </c>
    </row>
    <row r="122" spans="1:15" x14ac:dyDescent="0.3">
      <c r="A122" s="434"/>
      <c r="B122" s="136"/>
      <c r="C122" s="61"/>
      <c r="D122" s="109">
        <f>C120</f>
        <v>59999.838000000003</v>
      </c>
      <c r="E122" s="246">
        <v>1</v>
      </c>
      <c r="F122" s="109">
        <f>AVERAGE(E121:E122)</f>
        <v>0.5</v>
      </c>
      <c r="G122" s="109">
        <f>(F122-F123)</f>
        <v>0</v>
      </c>
      <c r="H122" s="148">
        <f>C120-G122</f>
        <v>59999.838000000003</v>
      </c>
      <c r="I122" s="280">
        <f>ABS(H122)</f>
        <v>59999.838000000003</v>
      </c>
    </row>
    <row r="123" spans="1:15" ht="15" thickBot="1" x14ac:dyDescent="0.35">
      <c r="A123" s="435"/>
      <c r="B123" s="52"/>
      <c r="C123" s="62"/>
      <c r="D123" s="110">
        <v>0</v>
      </c>
      <c r="E123" s="246">
        <v>0</v>
      </c>
      <c r="F123" s="110">
        <f>AVERAGE(E119,E123)</f>
        <v>0.5</v>
      </c>
      <c r="G123" s="110"/>
      <c r="H123" s="149"/>
      <c r="I123" s="271"/>
      <c r="K123" s="340">
        <f>IF(C31="10 Titik",B124,B125)</f>
        <v>110</v>
      </c>
    </row>
    <row r="124" spans="1:15" x14ac:dyDescent="0.3">
      <c r="A124" s="433">
        <v>15</v>
      </c>
      <c r="B124" s="50">
        <f>IF(C19=Database!D8,'U95'!C7*1/10,)</f>
        <v>20000</v>
      </c>
      <c r="C124" s="115" cm="1">
        <f t="array" ref="C124">IF($C$18="M1",
   SUM(IFERROR(INDEX(Database!$CB$4:$CD$33,
                     MATCH(K125:O125, Database!$CB$4:$CB$33, 0),
                     2), 0)),
   SUM(IFERROR(INDEX(CHOOSE(MATCH($C$18, Database!$A$8:$A$10, 0),
                           Database!$BP$4:$BR$21,
                           Database!$BT$4:$BV$21,
                           Database!$CB$4:$CD$33,
                           Database!$BX$4:$BZ$21),
                     MATCH(Database!$Z$31:$AI$31,
                           INDEX(CHOOSE(MATCH($C$18, Database!$A$8:$A$10, 0),
                                       Database!$BP$4:$BR$21,
                                       Database!$BT$4:$BV$21,
                                       Database!$CB$4:$CD$33,
                                       Database!$BX$4:$BZ$21),,1),
                           0),
                     2), 0))
   )</f>
        <v>59999.838000000003</v>
      </c>
      <c r="D124" s="45">
        <v>0</v>
      </c>
      <c r="E124" s="301">
        <v>0</v>
      </c>
      <c r="F124" s="108"/>
      <c r="G124" s="108"/>
      <c r="H124" s="147"/>
      <c r="I124" s="279"/>
      <c r="K124" s="281" t="s">
        <v>366</v>
      </c>
      <c r="L124" s="281" t="s">
        <v>367</v>
      </c>
      <c r="M124" s="281" t="s">
        <v>368</v>
      </c>
      <c r="N124" s="281" t="s">
        <v>369</v>
      </c>
      <c r="O124" s="281" t="s">
        <v>370</v>
      </c>
    </row>
    <row r="125" spans="1:15" x14ac:dyDescent="0.3">
      <c r="A125" s="434"/>
      <c r="B125" s="51">
        <v>110</v>
      </c>
      <c r="C125" s="61"/>
      <c r="D125" s="109">
        <f>C124</f>
        <v>59999.838000000003</v>
      </c>
      <c r="E125" s="301">
        <v>1</v>
      </c>
      <c r="F125" s="109"/>
      <c r="G125" s="109"/>
      <c r="H125" s="148"/>
      <c r="I125" s="280"/>
      <c r="K125" s="282" t="s">
        <v>180</v>
      </c>
      <c r="L125" s="282" t="s">
        <v>180</v>
      </c>
      <c r="M125" s="282" t="s">
        <v>180</v>
      </c>
      <c r="N125" s="282">
        <v>0</v>
      </c>
      <c r="O125" s="282">
        <v>0</v>
      </c>
    </row>
    <row r="126" spans="1:15" x14ac:dyDescent="0.3">
      <c r="A126" s="434"/>
      <c r="B126" s="51"/>
      <c r="C126" s="61"/>
      <c r="D126" s="109">
        <f>C124</f>
        <v>59999.838000000003</v>
      </c>
      <c r="E126" s="301">
        <v>1</v>
      </c>
      <c r="F126" s="109">
        <f>AVERAGE(E125:E126)</f>
        <v>1</v>
      </c>
      <c r="G126" s="109">
        <f>(F126-F127)</f>
        <v>1</v>
      </c>
      <c r="H126" s="148">
        <f>C124-G126</f>
        <v>59998.838000000003</v>
      </c>
      <c r="I126" s="280">
        <f>ABS(H126)</f>
        <v>59998.838000000003</v>
      </c>
    </row>
    <row r="127" spans="1:15" ht="15" thickBot="1" x14ac:dyDescent="0.35">
      <c r="A127" s="435"/>
      <c r="B127" s="52"/>
      <c r="C127" s="62"/>
      <c r="D127" s="110">
        <v>0</v>
      </c>
      <c r="E127" s="301">
        <v>0</v>
      </c>
      <c r="F127" s="110">
        <f>AVERAGE(E123,E127)</f>
        <v>0</v>
      </c>
      <c r="G127" s="110"/>
      <c r="H127" s="149"/>
      <c r="I127" s="271"/>
      <c r="K127" s="340">
        <f>IF(C35="10 Titik",B128,B129)</f>
        <v>320</v>
      </c>
    </row>
    <row r="128" spans="1:15" x14ac:dyDescent="0.3">
      <c r="A128" s="433">
        <v>16</v>
      </c>
      <c r="B128" s="50">
        <f>IF(C19=Database!D8,'U95'!C7*1/10,)</f>
        <v>20000</v>
      </c>
      <c r="C128" s="115" cm="1">
        <f t="array" ref="C128">IF($C$18="M1",
   SUM(IFERROR(INDEX(Database!$CB$4:$CD$33,
                     MATCH(K129:O129, Database!$CB$4:$CB$33, 0),
                     2), 0)),
   SUM(IFERROR(INDEX(CHOOSE(MATCH($C$18, Database!$A$8:$A$10, 0),
                           Database!$BP$4:$BR$21,
                           Database!$BT$4:$BV$21,
                           Database!$CB$4:$CD$33,
                           Database!$BX$4:$BZ$21),
                     MATCH(Database!$Z$31:$AI$31,
                           INDEX(CHOOSE(MATCH($C$18, Database!$A$8:$A$10, 0),
                                       Database!$BP$4:$BR$21,
                                       Database!$BT$4:$BV$21,
                                       Database!$CB$4:$CD$33,
                                       Database!$BX$4:$BZ$21),,1),
                           0),
                     2), 0))
   )</f>
        <v>59999.838000000003</v>
      </c>
      <c r="D128" s="45">
        <v>0</v>
      </c>
      <c r="E128" s="301">
        <v>0</v>
      </c>
      <c r="F128" s="108"/>
      <c r="G128" s="108"/>
      <c r="H128" s="147"/>
      <c r="I128" s="279"/>
      <c r="K128" s="281" t="s">
        <v>366</v>
      </c>
      <c r="L128" s="281" t="s">
        <v>367</v>
      </c>
      <c r="M128" s="281" t="s">
        <v>368</v>
      </c>
      <c r="N128" s="281" t="s">
        <v>369</v>
      </c>
      <c r="O128" s="281" t="s">
        <v>370</v>
      </c>
    </row>
    <row r="129" spans="1:16" x14ac:dyDescent="0.3">
      <c r="A129" s="434"/>
      <c r="B129" s="51">
        <v>320</v>
      </c>
      <c r="C129" s="61"/>
      <c r="D129" s="109">
        <f>C128</f>
        <v>59999.838000000003</v>
      </c>
      <c r="E129" s="301">
        <v>1</v>
      </c>
      <c r="F129" s="109"/>
      <c r="G129" s="109"/>
      <c r="H129" s="148"/>
      <c r="I129" s="280"/>
      <c r="K129" s="282" t="s">
        <v>180</v>
      </c>
      <c r="L129" s="282" t="s">
        <v>180</v>
      </c>
      <c r="M129" s="282" t="s">
        <v>180</v>
      </c>
      <c r="N129" s="282">
        <v>0</v>
      </c>
      <c r="O129" s="282">
        <v>0</v>
      </c>
    </row>
    <row r="130" spans="1:16" x14ac:dyDescent="0.3">
      <c r="A130" s="434"/>
      <c r="B130" s="51"/>
      <c r="C130" s="61"/>
      <c r="D130" s="109">
        <f>C128</f>
        <v>59999.838000000003</v>
      </c>
      <c r="E130" s="301">
        <v>0</v>
      </c>
      <c r="F130" s="109">
        <f>AVERAGE(E129:E130)</f>
        <v>0.5</v>
      </c>
      <c r="G130" s="109">
        <f>(F130-F131)</f>
        <v>0.5</v>
      </c>
      <c r="H130" s="148">
        <f>C128-G130</f>
        <v>59999.338000000003</v>
      </c>
      <c r="I130" s="280">
        <f>ABS(H130)</f>
        <v>59999.338000000003</v>
      </c>
    </row>
    <row r="131" spans="1:16" x14ac:dyDescent="0.3">
      <c r="A131" s="435"/>
      <c r="B131" s="52"/>
      <c r="C131" s="62"/>
      <c r="D131" s="110">
        <v>0</v>
      </c>
      <c r="E131" s="301">
        <v>0</v>
      </c>
      <c r="F131" s="110">
        <f>AVERAGE(E127,E131)</f>
        <v>0</v>
      </c>
      <c r="G131" s="110"/>
      <c r="H131" s="149"/>
      <c r="I131" s="271"/>
    </row>
    <row r="132" spans="1:16" x14ac:dyDescent="0.3">
      <c r="A132" s="185"/>
      <c r="B132" s="185"/>
      <c r="C132" s="289"/>
      <c r="D132" s="290"/>
      <c r="E132" s="291"/>
      <c r="F132" s="290"/>
      <c r="G132" s="290"/>
      <c r="H132" s="292"/>
      <c r="I132" s="293"/>
    </row>
    <row r="133" spans="1:16" x14ac:dyDescent="0.3">
      <c r="A133" s="185"/>
      <c r="B133" s="185"/>
      <c r="C133" s="289"/>
      <c r="D133" s="290"/>
      <c r="E133" s="291"/>
      <c r="F133" s="290"/>
      <c r="G133" s="290"/>
      <c r="H133" s="292"/>
      <c r="I133" s="293"/>
    </row>
    <row r="134" spans="1:16" x14ac:dyDescent="0.3">
      <c r="A134" s="185"/>
      <c r="B134" s="185"/>
      <c r="C134" s="289"/>
      <c r="D134" s="290"/>
      <c r="E134" s="291"/>
      <c r="F134" s="290"/>
      <c r="G134" s="290"/>
      <c r="H134" s="292"/>
      <c r="I134" s="293"/>
    </row>
    <row r="136" spans="1:16" x14ac:dyDescent="0.3">
      <c r="B136" s="141" t="s">
        <v>295</v>
      </c>
      <c r="C136" s="2" t="s">
        <v>51</v>
      </c>
    </row>
    <row r="137" spans="1:16" x14ac:dyDescent="0.3">
      <c r="C137" t="s">
        <v>52</v>
      </c>
      <c r="D137" s="282" t="s">
        <v>385</v>
      </c>
      <c r="E137">
        <f>IF(D137="Sepertiga",C7/3,IF(D137="Setengah",C7/2))</f>
        <v>100000</v>
      </c>
      <c r="F137" s="43" t="s">
        <v>30</v>
      </c>
      <c r="G137" s="237"/>
    </row>
    <row r="138" spans="1:16" ht="28.8" x14ac:dyDescent="0.3">
      <c r="C138" s="264" t="s">
        <v>53</v>
      </c>
      <c r="D138" s="264" t="s">
        <v>323</v>
      </c>
      <c r="E138" s="264" t="s">
        <v>324</v>
      </c>
      <c r="F138" s="264" t="s">
        <v>325</v>
      </c>
    </row>
    <row r="139" spans="1:16" x14ac:dyDescent="0.3">
      <c r="C139" s="265" t="s">
        <v>54</v>
      </c>
      <c r="D139" s="349">
        <v>14.994999999999999</v>
      </c>
      <c r="E139" s="266">
        <f>D139-D139</f>
        <v>0</v>
      </c>
      <c r="F139" s="267">
        <f>(MAX(E139:E143))-(MIN(E139:E143))</f>
        <v>2.2999999999999687E-2</v>
      </c>
    </row>
    <row r="140" spans="1:16" x14ac:dyDescent="0.3">
      <c r="C140" s="265" t="s">
        <v>55</v>
      </c>
      <c r="D140" s="338">
        <v>14.978</v>
      </c>
      <c r="E140" s="266">
        <f>D140-D139</f>
        <v>-1.699999999999946E-2</v>
      </c>
      <c r="F140" s="268"/>
      <c r="H140" s="131"/>
      <c r="M140" s="124" t="s">
        <v>59</v>
      </c>
      <c r="N140" s="124">
        <f>D141</f>
        <v>15</v>
      </c>
    </row>
    <row r="141" spans="1:16" x14ac:dyDescent="0.3">
      <c r="C141" s="265" t="s">
        <v>56</v>
      </c>
      <c r="D141" s="338">
        <v>15</v>
      </c>
      <c r="E141" s="266">
        <f>D141-D139</f>
        <v>5.0000000000007816E-3</v>
      </c>
      <c r="F141" s="268"/>
      <c r="K141" s="124" t="s">
        <v>60</v>
      </c>
      <c r="L141" s="297">
        <f>D142</f>
        <v>14.991</v>
      </c>
      <c r="M141" s="124" t="s">
        <v>61</v>
      </c>
      <c r="N141" s="124">
        <f>D139</f>
        <v>14.994999999999999</v>
      </c>
      <c r="O141" s="95" t="s">
        <v>62</v>
      </c>
      <c r="P141" s="124">
        <f>D143</f>
        <v>15.000999999999999</v>
      </c>
    </row>
    <row r="142" spans="1:16" x14ac:dyDescent="0.3">
      <c r="C142" s="265" t="s">
        <v>57</v>
      </c>
      <c r="D142" s="338">
        <v>14.991</v>
      </c>
      <c r="E142" s="266">
        <f>D142-D139</f>
        <v>-3.9999999999995595E-3</v>
      </c>
      <c r="F142" s="268"/>
      <c r="M142" s="124" t="s">
        <v>65</v>
      </c>
      <c r="N142" s="124">
        <f>D140</f>
        <v>14.978</v>
      </c>
    </row>
    <row r="143" spans="1:16" x14ac:dyDescent="0.3">
      <c r="C143" s="265" t="s">
        <v>58</v>
      </c>
      <c r="D143" s="338">
        <v>15.000999999999999</v>
      </c>
      <c r="E143" s="266">
        <f>D143-D139</f>
        <v>6.0000000000002274E-3</v>
      </c>
      <c r="F143" s="269"/>
    </row>
    <row r="144" spans="1:16" x14ac:dyDescent="0.3">
      <c r="C144" s="185"/>
      <c r="D144" s="185"/>
      <c r="E144" s="64" t="s">
        <v>63</v>
      </c>
      <c r="F144" s="298">
        <f>(MAX(N141,N140,N142,L141,P141))</f>
        <v>15.000999999999999</v>
      </c>
    </row>
    <row r="145" spans="2:7" x14ac:dyDescent="0.3">
      <c r="E145" s="124" t="s">
        <v>64</v>
      </c>
      <c r="F145" s="124">
        <f>MIN(N141,N140,N142,L141,P141)</f>
        <v>14.978</v>
      </c>
    </row>
    <row r="146" spans="2:7" x14ac:dyDescent="0.3">
      <c r="E146" s="296" t="s">
        <v>66</v>
      </c>
      <c r="F146" s="107">
        <f>F144-F145</f>
        <v>2.2999999999999687E-2</v>
      </c>
    </row>
    <row r="150" spans="2:7" x14ac:dyDescent="0.3">
      <c r="B150" s="141" t="s">
        <v>296</v>
      </c>
      <c r="C150" s="2" t="s">
        <v>300</v>
      </c>
    </row>
    <row r="152" spans="2:7" x14ac:dyDescent="0.3">
      <c r="C152" t="s">
        <v>22</v>
      </c>
      <c r="D152">
        <f>C7/2</f>
        <v>100000</v>
      </c>
      <c r="E152" s="43" t="s">
        <v>30</v>
      </c>
    </row>
    <row r="153" spans="2:7" x14ac:dyDescent="0.3">
      <c r="C153" s="436" t="s">
        <v>68</v>
      </c>
      <c r="D153" s="436" t="s">
        <v>69</v>
      </c>
      <c r="E153" s="437" t="s">
        <v>70</v>
      </c>
      <c r="F153" s="436" t="s">
        <v>71</v>
      </c>
    </row>
    <row r="154" spans="2:7" x14ac:dyDescent="0.3">
      <c r="C154" s="436"/>
      <c r="D154" s="436"/>
      <c r="E154" s="438"/>
      <c r="F154" s="436"/>
    </row>
    <row r="155" spans="2:7" x14ac:dyDescent="0.3">
      <c r="C155" s="4" t="s">
        <v>72</v>
      </c>
      <c r="D155" s="301">
        <v>14.992000000000001</v>
      </c>
      <c r="E155" s="301">
        <v>14.99</v>
      </c>
      <c r="F155" s="329">
        <f>((D155+E155+E158+D158)-(D156+D157+E156+E157))/4</f>
        <v>2.4999999999941735E-4</v>
      </c>
      <c r="G155" s="119">
        <f>F155/1000</f>
        <v>2.4999999999941734E-7</v>
      </c>
    </row>
    <row r="156" spans="2:7" x14ac:dyDescent="0.3">
      <c r="C156" s="4" t="s">
        <v>73</v>
      </c>
      <c r="D156" s="301">
        <v>14.991</v>
      </c>
      <c r="E156" s="301">
        <v>14.99</v>
      </c>
      <c r="F156" s="143"/>
    </row>
    <row r="157" spans="2:7" x14ac:dyDescent="0.3">
      <c r="C157" s="4" t="s">
        <v>74</v>
      </c>
      <c r="D157" s="301">
        <v>14.99</v>
      </c>
      <c r="E157" s="301">
        <v>14.994</v>
      </c>
      <c r="F157" s="143"/>
    </row>
    <row r="158" spans="2:7" x14ac:dyDescent="0.3">
      <c r="C158" s="4" t="s">
        <v>75</v>
      </c>
      <c r="D158" s="301">
        <v>14.99</v>
      </c>
      <c r="E158" s="301">
        <v>14.994</v>
      </c>
      <c r="F158" s="143"/>
    </row>
    <row r="162" spans="1:30" x14ac:dyDescent="0.3">
      <c r="B162" s="324" t="s">
        <v>67</v>
      </c>
      <c r="C162" t="s">
        <v>76</v>
      </c>
    </row>
    <row r="163" spans="1:30" x14ac:dyDescent="0.3">
      <c r="J163" s="2"/>
      <c r="K163" s="2"/>
    </row>
    <row r="164" spans="1:30" x14ac:dyDescent="0.3">
      <c r="C164" s="124" t="s">
        <v>332</v>
      </c>
      <c r="D164" s="124" t="s">
        <v>79</v>
      </c>
      <c r="E164" s="124" t="s">
        <v>333</v>
      </c>
      <c r="F164" s="124" t="s">
        <v>77</v>
      </c>
      <c r="G164" s="124"/>
      <c r="J164" s="1"/>
      <c r="K164" s="1"/>
    </row>
    <row r="165" spans="1:30" x14ac:dyDescent="0.3">
      <c r="C165" s="128" t="s">
        <v>30</v>
      </c>
      <c r="D165" s="128" t="s">
        <v>30</v>
      </c>
      <c r="E165" s="128" t="s">
        <v>30</v>
      </c>
      <c r="F165" s="128" t="s">
        <v>30</v>
      </c>
      <c r="G165" s="128" t="s">
        <v>80</v>
      </c>
      <c r="J165" s="1"/>
      <c r="K165" s="1"/>
    </row>
    <row r="166" spans="1:30" x14ac:dyDescent="0.3">
      <c r="C166" s="129">
        <f>MAX(F61,M61)</f>
        <v>316.22776601683796</v>
      </c>
      <c r="D166" s="129">
        <f>(MAX(I70,I74,I78,I82,I86,I90,I94,I98,I102,I106))</f>
        <v>99099.956000000006</v>
      </c>
      <c r="E166" s="129">
        <f>K333</f>
        <v>332.4241793139073</v>
      </c>
      <c r="F166" s="217">
        <f>(2.26*C166)+D166+(E166)</f>
        <v>100147.05493051196</v>
      </c>
      <c r="G166" s="119">
        <f>F166/1000</f>
        <v>100.14705493051197</v>
      </c>
      <c r="J166" s="1"/>
      <c r="K166" s="1"/>
    </row>
    <row r="167" spans="1:30" x14ac:dyDescent="0.3">
      <c r="L167" s="1"/>
      <c r="M167" s="1"/>
      <c r="N167" s="1"/>
      <c r="AA167" s="325"/>
    </row>
    <row r="168" spans="1:30" x14ac:dyDescent="0.3">
      <c r="L168" s="1"/>
      <c r="M168" s="1"/>
      <c r="N168" s="1"/>
      <c r="AC168" s="325"/>
      <c r="AD168" s="325"/>
    </row>
    <row r="170" spans="1:30" x14ac:dyDescent="0.25">
      <c r="A170" s="432" t="s">
        <v>108</v>
      </c>
      <c r="B170" s="432"/>
      <c r="C170" s="432"/>
      <c r="D170" s="432"/>
      <c r="E170" s="432"/>
    </row>
    <row r="171" spans="1:30" x14ac:dyDescent="0.3">
      <c r="AC171" s="325"/>
    </row>
    <row r="174" spans="1:30" x14ac:dyDescent="0.3">
      <c r="Q174" s="325"/>
    </row>
    <row r="176" spans="1:30" ht="21" x14ac:dyDescent="0.3">
      <c r="O176" s="327" t="s">
        <v>447</v>
      </c>
    </row>
    <row r="177" spans="1:35" ht="15.6" x14ac:dyDescent="0.3">
      <c r="A177" s="302" t="s">
        <v>111</v>
      </c>
      <c r="B177">
        <f>IF(C19="custom",B69,B68)</f>
        <v>20000</v>
      </c>
      <c r="C177" s="43" t="s">
        <v>30</v>
      </c>
    </row>
    <row r="178" spans="1:35" x14ac:dyDescent="0.3">
      <c r="B178" s="8">
        <f>B177*1000</f>
        <v>20000000</v>
      </c>
      <c r="C178" s="8" t="s">
        <v>31</v>
      </c>
      <c r="D178" s="8"/>
      <c r="E178" s="8" t="s">
        <v>33</v>
      </c>
      <c r="F178" s="47" cm="1">
        <f t="array" ref="F178">IF(C18="M1",SUM(IFERROR(INDEX(
Database!CB4:CD33,
MATCH(K69:O69,Database!CB4:CB33,0),3),0)),
SUM(IFERROR(INDEX(CHOOSE(
MATCH(C18,Database!A8:A10,0),
Database!BP4:BR21,
Database!BT4:BV21,
Database!CB4:CD33,
Database!BX4:BZ21
),
MATCH(Database!Z21:AI21,INDEX(
CHOOSE(MATCH(C18,Database!A8:A10,0),
Database!BP4:BR21,
Database!BT4:BV21,
Database!CB4:CD33,
Database!BX4:BZ21
),,1),0),3),0)))</f>
        <v>45</v>
      </c>
      <c r="G178" s="8" t="s">
        <v>31</v>
      </c>
      <c r="L178" s="8"/>
    </row>
    <row r="179" spans="1:35" x14ac:dyDescent="0.25"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X179" s="140" t="s">
        <v>473</v>
      </c>
      <c r="Z179" s="140" t="s">
        <v>467</v>
      </c>
      <c r="AF179" s="43"/>
    </row>
    <row r="180" spans="1:35" x14ac:dyDescent="0.25">
      <c r="B180" s="8"/>
      <c r="C180" s="8"/>
      <c r="D180" s="8"/>
      <c r="E180" s="9" t="s">
        <v>337</v>
      </c>
      <c r="F180" s="8" t="s">
        <v>336</v>
      </c>
      <c r="G180" s="8"/>
      <c r="H180" s="8"/>
      <c r="I180" s="8" t="s">
        <v>335</v>
      </c>
      <c r="J180" s="8"/>
      <c r="K180" s="8"/>
      <c r="L180" s="8"/>
    </row>
    <row r="181" spans="1:35" ht="15.6" x14ac:dyDescent="0.25">
      <c r="A181">
        <v>1</v>
      </c>
      <c r="B181" s="10" t="s">
        <v>85</v>
      </c>
      <c r="C181" s="10" t="s">
        <v>86</v>
      </c>
      <c r="D181" s="10" t="s">
        <v>87</v>
      </c>
      <c r="E181" s="10" t="s">
        <v>33</v>
      </c>
      <c r="F181" s="10" t="s">
        <v>88</v>
      </c>
      <c r="G181" s="10" t="s">
        <v>89</v>
      </c>
      <c r="H181" s="11" t="s">
        <v>90</v>
      </c>
      <c r="I181" s="10" t="s">
        <v>91</v>
      </c>
      <c r="J181" s="11" t="s">
        <v>92</v>
      </c>
      <c r="K181" s="11" t="s">
        <v>93</v>
      </c>
      <c r="L181" s="10" t="s">
        <v>94</v>
      </c>
      <c r="W181" s="124" t="s">
        <v>438</v>
      </c>
      <c r="X181" s="128" t="s">
        <v>471</v>
      </c>
      <c r="Y181" s="335" t="s">
        <v>472</v>
      </c>
      <c r="Z181" s="124" t="s">
        <v>439</v>
      </c>
      <c r="AA181" s="124" t="s">
        <v>313</v>
      </c>
      <c r="AB181" s="281" t="s">
        <v>446</v>
      </c>
      <c r="AC181" s="124" t="s">
        <v>465</v>
      </c>
      <c r="AD181" s="281" t="s">
        <v>466</v>
      </c>
      <c r="AF181" s="128" t="s">
        <v>38</v>
      </c>
      <c r="AG181" s="128" t="s">
        <v>444</v>
      </c>
      <c r="AH181" s="128" t="s">
        <v>459</v>
      </c>
      <c r="AI181" s="335" t="s">
        <v>443</v>
      </c>
    </row>
    <row r="182" spans="1:35" x14ac:dyDescent="0.25">
      <c r="B182" s="12">
        <v>1</v>
      </c>
      <c r="C182" s="12">
        <v>2</v>
      </c>
      <c r="D182" s="12">
        <v>3</v>
      </c>
      <c r="E182" s="12">
        <v>4</v>
      </c>
      <c r="F182" s="12">
        <v>5</v>
      </c>
      <c r="G182" s="12">
        <v>6</v>
      </c>
      <c r="H182" s="12">
        <v>7</v>
      </c>
      <c r="I182" s="12">
        <v>8</v>
      </c>
      <c r="J182" s="12">
        <v>9</v>
      </c>
      <c r="K182" s="12">
        <v>10</v>
      </c>
      <c r="L182" s="12">
        <v>11</v>
      </c>
      <c r="W182" s="124">
        <v>1</v>
      </c>
      <c r="X182" s="124">
        <f>IF(C19="10 Titik",B68,B69)</f>
        <v>20000</v>
      </c>
      <c r="Y182" s="281">
        <f>IF($C$20="kg",X182/1000,X182)</f>
        <v>20</v>
      </c>
      <c r="Z182" s="125">
        <f>IF(C20="kg",H70/1000,H70)</f>
        <v>-1.0054000000000087E-2</v>
      </c>
      <c r="AA182" s="119">
        <f>IF(C20="kg",MAX('U95'!K195,'U95'!K197)/1000,MAX('U95'!K195,'U95'!K197))</f>
        <v>507.53257383584969</v>
      </c>
      <c r="AB182" s="334" t="str">
        <f>IF('U95'!AA182=0,"0",
   IF(AND('U95'!AA182&gt;0,'U95'!AA182&lt;1),
       TEXT(
        ROUND('U95'!AA182,2-INT(LOG10(ABS('U95'!AA182)))-1),
        "0," &amp; REPT("0",2-INT(LOG10(ABS('U95'!AA182)))-1)
    ),
      IF(AND('U95'!AA182&gt;=1,'U95'!AA182&lt;10),
         TEXT('U95'!AA182,"0,0"),
         TEXT('U95'!AA182,"0")
      )
   )
)</f>
        <v>508</v>
      </c>
      <c r="AC182" s="124">
        <f>IF(VALUE(AB182)=INT(AB182),0,LEN(AB182)-FIND(",",AB182))</f>
        <v>0</v>
      </c>
      <c r="AD182" s="281" t="str">
        <f>TEXT(Z182,"0,"&amp;REPT("0",AC182+3))</f>
        <v>-0,010</v>
      </c>
      <c r="AF182" s="124">
        <v>1</v>
      </c>
      <c r="AG182" s="128" t="s">
        <v>445</v>
      </c>
      <c r="AH182" s="331">
        <f>IF($C$20="kg",G30/1000,G30)</f>
        <v>-100.09995600000001</v>
      </c>
      <c r="AI182" s="336" t="str">
        <f xml:space="preserve"> TEXT(AH182,"0,"&amp;REPT("0",$G$7))</f>
        <v>-100,10</v>
      </c>
    </row>
    <row r="183" spans="1:35" x14ac:dyDescent="0.25">
      <c r="B183" s="13" t="s">
        <v>334</v>
      </c>
      <c r="C183" s="14" t="s">
        <v>31</v>
      </c>
      <c r="D183" s="14" t="s">
        <v>96</v>
      </c>
      <c r="E183" s="15">
        <f>F178</f>
        <v>45</v>
      </c>
      <c r="F183" s="14">
        <v>2</v>
      </c>
      <c r="G183" s="14">
        <v>60</v>
      </c>
      <c r="H183" s="14">
        <f t="shared" ref="H183:H190" si="0">E183/F183</f>
        <v>22.5</v>
      </c>
      <c r="I183" s="14">
        <v>1</v>
      </c>
      <c r="J183" s="14">
        <f t="shared" ref="J183:J190" si="1">H183*I183</f>
        <v>22.5</v>
      </c>
      <c r="K183" s="14">
        <f t="shared" ref="K183:K190" si="2">J183^2</f>
        <v>506.25</v>
      </c>
      <c r="L183" s="14">
        <f t="shared" ref="L183:L190" si="3">J183^4/G183</f>
        <v>4271.484375</v>
      </c>
      <c r="W183" s="124">
        <v>2</v>
      </c>
      <c r="X183" s="124">
        <f>IF($C$19="10 Titik",B72,B73)</f>
        <v>40000</v>
      </c>
      <c r="Y183" s="281">
        <f t="shared" ref="Y183:Y197" si="4">IF($C$20="kg",X183/1000,X183)</f>
        <v>40</v>
      </c>
      <c r="Z183" s="125">
        <f>IF(C20="kg",H74/1000,H74)</f>
        <v>6.9978000000002788E-2</v>
      </c>
      <c r="AA183" s="119">
        <f>IF(C20="kg",MAX(K218,K220)/1000,MAX(K218,K220))</f>
        <v>507.53258952849819</v>
      </c>
      <c r="AB183" s="334" t="str">
        <f>IF('U95'!AA183=0,"0",
   IF(AND('U95'!AA183&gt;0,'U95'!AA183&lt;1),
       TEXT(
        ROUND('U95'!AA183,2-INT(LOG10(ABS('U95'!AA183)))-1),
        "0," &amp; REPT("0",2-INT(LOG10(ABS('U95'!AA183)))-1)
    ),
      IF(AND('U95'!AA183&gt;=1,'U95'!AA183&lt;10),
         TEXT('U95'!AA183,"0,0"),
         TEXT('U95'!AA183,"0")
      )
   )
)</f>
        <v>508</v>
      </c>
      <c r="AC183" s="124">
        <f>IF(VALUE(AB183)=INT(AB183),0,LEN(AB183)-FIND(",",AB183))</f>
        <v>0</v>
      </c>
      <c r="AD183" s="281" t="str">
        <f t="shared" ref="AD183:AD197" si="5">TEXT(Z183,"0,"&amp;REPT("0",AC183+3))</f>
        <v>0,070</v>
      </c>
      <c r="AF183" s="124">
        <v>2</v>
      </c>
      <c r="AG183" s="128" t="s">
        <v>469</v>
      </c>
      <c r="AH183" s="333">
        <f>IF($C$20="kg",D139/1000,D139)</f>
        <v>1.4995E-2</v>
      </c>
      <c r="AI183" s="336" t="str">
        <f t="shared" ref="AI183:AI195" si="6" xml:space="preserve"> TEXT(AH183,"0,"&amp;REPT("0",$G$7))</f>
        <v>0,01</v>
      </c>
    </row>
    <row r="184" spans="1:35" x14ac:dyDescent="0.25">
      <c r="B184" s="16" t="s">
        <v>97</v>
      </c>
      <c r="C184" s="14" t="s">
        <v>31</v>
      </c>
      <c r="D184" s="17" t="s">
        <v>98</v>
      </c>
      <c r="E184" s="18">
        <f>IF(T185&gt;T187,T185,T187/SQRT(2))</f>
        <v>223606.79774997898</v>
      </c>
      <c r="F184" s="17">
        <v>1</v>
      </c>
      <c r="G184" s="17">
        <f>IF(T185&gt;T187,1000,9)</f>
        <v>9</v>
      </c>
      <c r="H184" s="17">
        <f t="shared" si="0"/>
        <v>223606.79774997898</v>
      </c>
      <c r="I184" s="17">
        <v>1</v>
      </c>
      <c r="J184" s="17">
        <f t="shared" si="1"/>
        <v>223606.79774997898</v>
      </c>
      <c r="K184" s="17">
        <f t="shared" si="2"/>
        <v>50000000000.000008</v>
      </c>
      <c r="L184" s="17">
        <f t="shared" si="3"/>
        <v>2.7777777777777784E+20</v>
      </c>
      <c r="W184" s="124">
        <v>3</v>
      </c>
      <c r="X184" s="124">
        <f>IF($C$19="10 Titik",B76,B77)</f>
        <v>60000</v>
      </c>
      <c r="Y184" s="281">
        <f t="shared" si="4"/>
        <v>60</v>
      </c>
      <c r="Z184" s="125">
        <f>IF(C20="kg",H78/1000,H78)</f>
        <v>5.0131999999997789E-2</v>
      </c>
      <c r="AA184" s="119">
        <f>IF(C20="kg",MAX(K240,K242)/1000,MAX(K240,K242))</f>
        <v>507.53260722763309</v>
      </c>
      <c r="AB184" s="334" t="str">
        <f>IF('U95'!AA184=0,"0",
   IF(AND('U95'!AA184&gt;0,'U95'!AA184&lt;1),
       TEXT(
        ROUND('U95'!AA184,2-INT(LOG10(ABS('U95'!AA184)))-1),
        "0," &amp; REPT("0",2-INT(LOG10(ABS('U95'!AA184)))-1)
    ),
      IF(AND('U95'!AA184&gt;=1,'U95'!AA184&lt;10),
         TEXT('U95'!AA184,"0,0"),
         TEXT('U95'!AA184,"0")
      )
   )
)</f>
        <v>508</v>
      </c>
      <c r="AC184" s="124">
        <f>IF(VALUE(AB184)=INT(AB184),0,LEN(AB184)-FIND(",",AB184))</f>
        <v>0</v>
      </c>
      <c r="AD184" s="281" t="str">
        <f t="shared" si="5"/>
        <v>0,050</v>
      </c>
      <c r="AF184" s="124">
        <v>3</v>
      </c>
      <c r="AG184" s="128" t="s">
        <v>453</v>
      </c>
      <c r="AH184" s="333">
        <f t="shared" ref="AH184:AH187" si="7">IF($C$20="kg",D140/1000,D140)</f>
        <v>1.4978E-2</v>
      </c>
      <c r="AI184" s="336" t="str">
        <f t="shared" si="6"/>
        <v>0,01</v>
      </c>
    </row>
    <row r="185" spans="1:35" x14ac:dyDescent="0.25">
      <c r="B185" s="16" t="s">
        <v>99</v>
      </c>
      <c r="C185" s="14" t="s">
        <v>31</v>
      </c>
      <c r="D185" s="17" t="s">
        <v>100</v>
      </c>
      <c r="E185" s="18">
        <f>0.08*P185</f>
        <v>80</v>
      </c>
      <c r="F185" s="17">
        <v>1</v>
      </c>
      <c r="G185" s="17">
        <v>4</v>
      </c>
      <c r="H185" s="17">
        <f t="shared" si="0"/>
        <v>80</v>
      </c>
      <c r="I185" s="17">
        <v>1</v>
      </c>
      <c r="J185" s="17">
        <f t="shared" si="1"/>
        <v>80</v>
      </c>
      <c r="K185" s="17">
        <f t="shared" si="2"/>
        <v>6400</v>
      </c>
      <c r="L185" s="17">
        <f t="shared" si="3"/>
        <v>10240000</v>
      </c>
      <c r="N185" s="303" t="s">
        <v>109</v>
      </c>
      <c r="O185" s="303">
        <f>IF(ISNUMBER(Database!AL21),Database!AL21,VALUE(LEFT(Database!AL21,LEN(Database!AL21)-1)))</f>
        <v>20000</v>
      </c>
      <c r="P185" s="303">
        <f>IFERROR( INDEX(CHOOSE(
    MATCH($C$18,Database!$A$8:$A$11,0),
  Database!$BI$4:$BI$27,
    Database!$BJ$4:$BJ$27,
   Database!$BI$4:$BI$27,
 Database!$BL$4:$BL$27   ),
   MATCH(O185,Database!$BG$4:$BG$27,   0)),  0 )</f>
        <v>1000</v>
      </c>
      <c r="Q185" s="303" t="s">
        <v>31</v>
      </c>
      <c r="S185" t="s">
        <v>83</v>
      </c>
      <c r="T185" s="98">
        <f>D35*1000</f>
        <v>4100</v>
      </c>
      <c r="U185" t="s">
        <v>31</v>
      </c>
      <c r="W185" s="124">
        <v>4</v>
      </c>
      <c r="X185" s="124">
        <f>IF($C$19="10 Titik",B80,B81)</f>
        <v>80000</v>
      </c>
      <c r="Y185" s="281">
        <f t="shared" si="4"/>
        <v>80</v>
      </c>
      <c r="Z185" s="125">
        <f>IF(C20="kg",H82/1000,H82)</f>
        <v>5.5999999996856789E-5</v>
      </c>
      <c r="AA185" s="119">
        <f>IF(C20="kg",MAX(K262,K264)/1000,MAX(K262,K264))</f>
        <v>507.53257620151004</v>
      </c>
      <c r="AB185" s="334" t="str">
        <f>IF('U95'!AA185=0,"0",
   IF(AND('U95'!AA185&gt;0,'U95'!AA185&lt;1),
       TEXT(
        ROUND('U95'!AA185,2-INT(LOG10(ABS('U95'!AA185)))-1),
        "0," &amp; REPT("0",2-INT(LOG10(ABS('U95'!AA185)))-1)
    ),
      IF(AND('U95'!AA185&gt;=1,'U95'!AA185&lt;10),
         TEXT('U95'!AA185,"0,0"),
         TEXT('U95'!AA185,"0")
      )
   )
)</f>
        <v>508</v>
      </c>
      <c r="AC185" s="124">
        <f t="shared" ref="AC185:AC197" si="8">IF(VALUE(AB185)=INT(AB185),0,LEN(AB185)-FIND(",",AB185))</f>
        <v>0</v>
      </c>
      <c r="AD185" s="281" t="str">
        <f t="shared" si="5"/>
        <v>0,000</v>
      </c>
      <c r="AF185" s="124">
        <v>4</v>
      </c>
      <c r="AG185" s="128" t="s">
        <v>454</v>
      </c>
      <c r="AH185" s="333">
        <f t="shared" si="7"/>
        <v>1.4999999999999999E-2</v>
      </c>
      <c r="AI185" s="336" t="str">
        <f t="shared" si="6"/>
        <v>0,02</v>
      </c>
    </row>
    <row r="186" spans="1:35" x14ac:dyDescent="0.25">
      <c r="B186" s="16" t="s">
        <v>99</v>
      </c>
      <c r="C186" s="14" t="s">
        <v>31</v>
      </c>
      <c r="D186" s="17" t="s">
        <v>100</v>
      </c>
      <c r="E186" s="18">
        <f t="shared" ref="E186:E189" si="9">0.08*P186</f>
        <v>0</v>
      </c>
      <c r="F186" s="17">
        <v>1</v>
      </c>
      <c r="G186" s="17">
        <v>4</v>
      </c>
      <c r="H186" s="17">
        <f t="shared" si="0"/>
        <v>0</v>
      </c>
      <c r="I186" s="17">
        <v>1</v>
      </c>
      <c r="J186" s="17">
        <f t="shared" si="1"/>
        <v>0</v>
      </c>
      <c r="K186" s="17">
        <f t="shared" si="2"/>
        <v>0</v>
      </c>
      <c r="L186" s="17">
        <f t="shared" si="3"/>
        <v>0</v>
      </c>
      <c r="N186" s="303" t="s">
        <v>109</v>
      </c>
      <c r="O186" s="303">
        <f>IF(ISNUMBER(Database!AL22),Database!AL22,VALUE(LEFT(Database!AL22,LEN(Database!AL22)-1)))</f>
        <v>0</v>
      </c>
      <c r="P186" s="303">
        <f>IFERROR( INDEX(CHOOSE(
    MATCH($C$18,Database!$A$8:$A$11,0),
  Database!$BI$4:$BI$27,
    Database!$BJ$4:$BJ$27,
   Database!$BI$4:$BI$27,
 Database!$BL$4:$BL$27   ),
   MATCH(O186,Database!$BG$4:$BG$27,   0)),  0 )</f>
        <v>0</v>
      </c>
      <c r="Q186" s="303" t="s">
        <v>31</v>
      </c>
      <c r="T186" s="98"/>
      <c r="W186" s="124">
        <v>5</v>
      </c>
      <c r="X186" s="124">
        <f>IF($C$19="10 Titik",B84,B85)</f>
        <v>100000</v>
      </c>
      <c r="Y186" s="281">
        <f t="shared" si="4"/>
        <v>100</v>
      </c>
      <c r="Z186" s="125">
        <f>IF(C20="kg",H86/1000,H86)</f>
        <v>4.3999999994412062E-5</v>
      </c>
      <c r="AA186" s="119">
        <f>IF(C20="kg",MAX(K287,K285)/1000,MAX(K287,K285))</f>
        <v>507.53258523066461</v>
      </c>
      <c r="AB186" s="334" t="str">
        <f>IF('U95'!AA186=0,"0",
   IF(AND('U95'!AA186&gt;0,'U95'!AA186&lt;1),
       TEXT(
        ROUND('U95'!AA186,2-INT(LOG10(ABS('U95'!AA186)))-1),
        "0," &amp; REPT("0",2-INT(LOG10(ABS('U95'!AA186)))-1)
    ),
      IF(AND('U95'!AA186&gt;=1,'U95'!AA186&lt;10),
         TEXT('U95'!AA186,"0,0"),
         TEXT('U95'!AA186,"0")
      )
   )
)</f>
        <v>508</v>
      </c>
      <c r="AC186" s="124">
        <f t="shared" si="8"/>
        <v>0</v>
      </c>
      <c r="AD186" s="281" t="str">
        <f t="shared" si="5"/>
        <v>0,000</v>
      </c>
      <c r="AF186" s="124">
        <v>5</v>
      </c>
      <c r="AG186" s="128" t="s">
        <v>455</v>
      </c>
      <c r="AH186" s="333">
        <f t="shared" si="7"/>
        <v>1.4990999999999999E-2</v>
      </c>
      <c r="AI186" s="336" t="str">
        <f t="shared" si="6"/>
        <v>0,01</v>
      </c>
    </row>
    <row r="187" spans="1:35" x14ac:dyDescent="0.3">
      <c r="B187" s="16" t="s">
        <v>99</v>
      </c>
      <c r="C187" s="14" t="s">
        <v>31</v>
      </c>
      <c r="D187" s="17" t="s">
        <v>100</v>
      </c>
      <c r="E187" s="18">
        <f t="shared" si="9"/>
        <v>0</v>
      </c>
      <c r="F187" s="17">
        <v>1</v>
      </c>
      <c r="G187" s="17">
        <v>4</v>
      </c>
      <c r="H187" s="17">
        <f t="shared" si="0"/>
        <v>0</v>
      </c>
      <c r="I187" s="17">
        <v>1</v>
      </c>
      <c r="J187" s="17">
        <f t="shared" si="1"/>
        <v>0</v>
      </c>
      <c r="K187" s="17">
        <f t="shared" si="2"/>
        <v>0</v>
      </c>
      <c r="L187" s="17">
        <f t="shared" si="3"/>
        <v>0</v>
      </c>
      <c r="N187" s="303" t="s">
        <v>109</v>
      </c>
      <c r="O187" s="303">
        <f>IF(ISNUMBER(Database!AL23),Database!AL23,VALUE(LEFT(Database!AL23,LEN(Database!AL23)-1)))</f>
        <v>0</v>
      </c>
      <c r="P187" s="303">
        <f>IFERROR( INDEX(CHOOSE(
    MATCH($C$18,Database!$A$8:$A$11,0),
  Database!$BI$4:$BI$27,
    Database!$BJ$4:$BJ$27,
   Database!$BI$4:$BI$27,
 Database!$BL$4:$BL$27   ),
   MATCH(O187,Database!$BG$4:$BG$27,   0)),  0 )</f>
        <v>0</v>
      </c>
      <c r="Q187" s="303" t="s">
        <v>31</v>
      </c>
      <c r="S187" t="s">
        <v>338</v>
      </c>
      <c r="T187" s="142">
        <f>F60</f>
        <v>316227.76601683797</v>
      </c>
      <c r="U187" t="s">
        <v>31</v>
      </c>
      <c r="W187" s="124">
        <v>6</v>
      </c>
      <c r="X187" s="124">
        <f>IF($C$19="10 Titik",B88,B89)</f>
        <v>120000</v>
      </c>
      <c r="Y187" s="281">
        <f t="shared" si="4"/>
        <v>120</v>
      </c>
      <c r="Z187" s="125">
        <f>IF(C20="kg",H90/1000,H90)</f>
        <v>-19.999956000000005</v>
      </c>
      <c r="AA187" s="119">
        <f>IF(C20="kg",MAX(K355,K357)/1000,MAX(K355,K357))</f>
        <v>332.4241793139073</v>
      </c>
      <c r="AB187" s="334" t="str">
        <f>IF('U95'!AA187=0,"0",
   IF(AND('U95'!AA187&gt;0,'U95'!AA187&lt;1),
       TEXT(
        ROUND('U95'!AA187,2-INT(LOG10(ABS('U95'!AA187)))-1),
        "0," &amp; REPT("0",2-INT(LOG10(ABS('U95'!AA187)))-1)
    ),
      IF(AND('U95'!AA187&gt;=1,'U95'!AA187&lt;10),
         TEXT('U95'!AA187,"0,0"),
         TEXT('U95'!AA187,"0")
      )
   )
)</f>
        <v>332</v>
      </c>
      <c r="AC187" s="124">
        <f>IF(VALUE(AB187)=INT(AB187),0,LEN(AB187)-FIND(",",AB187))</f>
        <v>0</v>
      </c>
      <c r="AD187" s="281" t="str">
        <f t="shared" si="5"/>
        <v>-20,000</v>
      </c>
      <c r="AF187" s="124">
        <v>6</v>
      </c>
      <c r="AG187" s="128" t="s">
        <v>456</v>
      </c>
      <c r="AH187" s="333">
        <f t="shared" si="7"/>
        <v>1.5000999999999999E-2</v>
      </c>
      <c r="AI187" s="336" t="str">
        <f t="shared" si="6"/>
        <v>0,02</v>
      </c>
    </row>
    <row r="188" spans="1:35" x14ac:dyDescent="0.25">
      <c r="B188" s="16" t="s">
        <v>99</v>
      </c>
      <c r="C188" s="14" t="s">
        <v>31</v>
      </c>
      <c r="D188" s="17" t="s">
        <v>100</v>
      </c>
      <c r="E188" s="18">
        <f t="shared" si="9"/>
        <v>0</v>
      </c>
      <c r="F188" s="17">
        <v>1</v>
      </c>
      <c r="G188" s="17">
        <v>4</v>
      </c>
      <c r="H188" s="17">
        <f t="shared" si="0"/>
        <v>0</v>
      </c>
      <c r="I188" s="17">
        <v>1</v>
      </c>
      <c r="J188" s="17">
        <f t="shared" si="1"/>
        <v>0</v>
      </c>
      <c r="K188" s="17">
        <f t="shared" si="2"/>
        <v>0</v>
      </c>
      <c r="L188" s="17">
        <f t="shared" si="3"/>
        <v>0</v>
      </c>
      <c r="N188" s="303" t="s">
        <v>109</v>
      </c>
      <c r="O188" s="303">
        <f>IF(ISNUMBER(Database!AL24),Database!AL24,VALUE(LEFT(Database!AL24,LEN(Database!AL24)-1)))</f>
        <v>0</v>
      </c>
      <c r="P188" s="303">
        <f>IFERROR( INDEX(CHOOSE(
    MATCH($C$18,Database!$A$8:$A$11,0),
  Database!$BI$4:$BI$27,
    Database!$BJ$4:$BJ$27,
   Database!$BI$4:$BI$27,
 Database!$BL$4:$BL$27   ),
   MATCH(O188,Database!$BG$4:$BG$27,   0)),  0 )</f>
        <v>0</v>
      </c>
      <c r="Q188" s="303" t="s">
        <v>31</v>
      </c>
      <c r="T188" s="98"/>
      <c r="W188" s="124">
        <v>7</v>
      </c>
      <c r="X188" s="124">
        <f>IF($C$19="10 Titik",B92,B93)</f>
        <v>140000</v>
      </c>
      <c r="Y188" s="281">
        <f t="shared" si="4"/>
        <v>140</v>
      </c>
      <c r="Z188" s="125">
        <f>IF(C20="kg",H94/1000,H94)</f>
        <v>-39.999956000000005</v>
      </c>
      <c r="AA188" s="119">
        <f>IF(C20="kg",MAX(K332,K334)/1000,MAX(K332,K334))</f>
        <v>332.4241793139073</v>
      </c>
      <c r="AB188" s="334" t="str">
        <f>IF('U95'!AA188=0,"0",
   IF(AND('U95'!AA188&gt;0,'U95'!AA188&lt;1),
       TEXT(
        ROUND('U95'!AA188,2-INT(LOG10(ABS('U95'!AA188)))-1),
        "0," &amp; REPT("0",2-INT(LOG10(ABS('U95'!AA188)))-1)
    ),
      IF(AND('U95'!AA188&gt;=1,'U95'!AA188&lt;10),
         TEXT('U95'!AA188,"0,0"),
         TEXT('U95'!AA188,"0")
      )
   )
)</f>
        <v>332</v>
      </c>
      <c r="AC188" s="124">
        <f t="shared" si="8"/>
        <v>0</v>
      </c>
      <c r="AD188" s="281" t="str">
        <f t="shared" si="5"/>
        <v>-40,000</v>
      </c>
      <c r="AF188" s="124">
        <v>7</v>
      </c>
      <c r="AG188" s="128" t="s">
        <v>450</v>
      </c>
      <c r="AH188" s="331">
        <f>IF($C$20="kg",E139/1000,E139)</f>
        <v>0</v>
      </c>
      <c r="AI188" s="336" t="str">
        <f t="shared" si="6"/>
        <v>0,00</v>
      </c>
    </row>
    <row r="189" spans="1:35" x14ac:dyDescent="0.25">
      <c r="B189" s="16" t="s">
        <v>99</v>
      </c>
      <c r="C189" s="14" t="s">
        <v>31</v>
      </c>
      <c r="D189" s="17" t="s">
        <v>100</v>
      </c>
      <c r="E189" s="18">
        <f t="shared" si="9"/>
        <v>0</v>
      </c>
      <c r="F189" s="17">
        <v>1</v>
      </c>
      <c r="G189" s="17">
        <v>4</v>
      </c>
      <c r="H189" s="17">
        <f t="shared" si="0"/>
        <v>0</v>
      </c>
      <c r="I189" s="17">
        <v>1</v>
      </c>
      <c r="J189" s="17">
        <f t="shared" si="1"/>
        <v>0</v>
      </c>
      <c r="K189" s="17">
        <f t="shared" si="2"/>
        <v>0</v>
      </c>
      <c r="L189" s="17">
        <f t="shared" si="3"/>
        <v>0</v>
      </c>
      <c r="N189" s="303" t="s">
        <v>109</v>
      </c>
      <c r="O189" s="303">
        <f>IF(ISNUMBER(Database!AL25),Database!AL25,VALUE(LEFT(Database!AL25,LEN(Database!AL25)-1)))</f>
        <v>0</v>
      </c>
      <c r="P189" s="303">
        <f>IFERROR( INDEX(CHOOSE(
    MATCH($C$18,Database!$A$8:$A$11,0),
  Database!$BI$4:$BI$27,
    Database!$BJ$4:$BJ$27,
   Database!$BI$4:$BI$27,
 Database!$BL$4:$BL$27   ),
   MATCH(O189,Database!$BG$4:$BG$27,   0)),  0 )</f>
        <v>0</v>
      </c>
      <c r="Q189" s="303" t="s">
        <v>31</v>
      </c>
      <c r="S189" t="s">
        <v>84</v>
      </c>
      <c r="T189" s="144">
        <f>IF(T185&gt;T187,T185,T187)</f>
        <v>316227.76601683797</v>
      </c>
      <c r="U189" t="s">
        <v>31</v>
      </c>
      <c r="W189" s="124">
        <v>8</v>
      </c>
      <c r="X189" s="124">
        <f>IF($C$19="10 Titik",B96,B97)</f>
        <v>160000</v>
      </c>
      <c r="Y189" s="281">
        <f t="shared" si="4"/>
        <v>160</v>
      </c>
      <c r="Z189" s="125">
        <f>IF(C20="kg",H98/1000,H98)</f>
        <v>-59.999956000000005</v>
      </c>
      <c r="AA189" s="119">
        <f>IF(C20="kg",MAX(K355,K357)/1000,MAX(K355,K357))</f>
        <v>332.4241793139073</v>
      </c>
      <c r="AB189" s="334" t="str">
        <f>IF('U95'!AA189=0,"0",
   IF(AND('U95'!AA189&gt;0,'U95'!AA189&lt;1),
       TEXT(
        ROUND('U95'!AA189,2-INT(LOG10(ABS('U95'!AA189)))-1),
        "0," &amp; REPT("0",2-INT(LOG10(ABS('U95'!AA189)))-1)
    ),
      IF(AND('U95'!AA189&gt;=1,'U95'!AA189&lt;10),
         TEXT('U95'!AA189,"0,0"),
         TEXT('U95'!AA189,"0")
      )
   )
)</f>
        <v>332</v>
      </c>
      <c r="AC189" s="124">
        <f t="shared" si="8"/>
        <v>0</v>
      </c>
      <c r="AD189" s="281" t="str">
        <f t="shared" si="5"/>
        <v>-60,000</v>
      </c>
      <c r="AF189" s="124">
        <v>8</v>
      </c>
      <c r="AG189" s="128" t="s">
        <v>448</v>
      </c>
      <c r="AH189" s="331">
        <f t="shared" ref="AH189:AH192" si="10">IF($C$20="kg",E140/1000,E140)</f>
        <v>-1.6999999999999461E-5</v>
      </c>
      <c r="AI189" s="336" t="str">
        <f t="shared" si="6"/>
        <v>0,00</v>
      </c>
    </row>
    <row r="190" spans="1:35" x14ac:dyDescent="0.25">
      <c r="B190" s="19" t="s">
        <v>101</v>
      </c>
      <c r="C190" s="14" t="s">
        <v>31</v>
      </c>
      <c r="D190" s="20" t="s">
        <v>100</v>
      </c>
      <c r="E190" s="21">
        <f>1/2</f>
        <v>0.5</v>
      </c>
      <c r="F190" s="20">
        <f>SQRT(3)</f>
        <v>1.7320508075688772</v>
      </c>
      <c r="G190" s="20">
        <v>1000</v>
      </c>
      <c r="H190" s="20">
        <f t="shared" si="0"/>
        <v>0.28867513459481292</v>
      </c>
      <c r="I190" s="20">
        <v>1</v>
      </c>
      <c r="J190" s="20">
        <f t="shared" si="1"/>
        <v>0.28867513459481292</v>
      </c>
      <c r="K190" s="20">
        <f t="shared" si="2"/>
        <v>8.3333333333333356E-2</v>
      </c>
      <c r="L190" s="20">
        <f t="shared" si="3"/>
        <v>6.9444444444444482E-6</v>
      </c>
      <c r="W190" s="124">
        <v>9</v>
      </c>
      <c r="X190" s="124">
        <f>IF($C$19="10 Titik",B100,B101)</f>
        <v>180000</v>
      </c>
      <c r="Y190" s="281">
        <f t="shared" si="4"/>
        <v>180</v>
      </c>
      <c r="Z190" s="125">
        <f>IF(C20="kg",H102/1000,H102)</f>
        <v>-79.999956000000012</v>
      </c>
      <c r="AA190" s="119">
        <f>IF(C20="kg",MAX(K380,K382)/1000,MAX(K380,K382))</f>
        <v>332.4241793139073</v>
      </c>
      <c r="AB190" s="334" t="str">
        <f>IF('U95'!AA190=0,"0",
   IF(AND('U95'!AA190&gt;0,'U95'!AA190&lt;1),
       TEXT(
        ROUND('U95'!AA190,2-INT(LOG10(ABS('U95'!AA190)))-1),
        "0," &amp; REPT("0",2-INT(LOG10(ABS('U95'!AA190)))-1)
    ),
      IF(AND('U95'!AA190&gt;=1,'U95'!AA190&lt;10),
         TEXT('U95'!AA190,"0,0"),
         TEXT('U95'!AA190,"0")
      )
   )
)</f>
        <v>332</v>
      </c>
      <c r="AC190" s="124">
        <f t="shared" si="8"/>
        <v>0</v>
      </c>
      <c r="AD190" s="281" t="str">
        <f t="shared" si="5"/>
        <v>-80,000</v>
      </c>
      <c r="AF190" s="124">
        <v>9</v>
      </c>
      <c r="AG190" s="128" t="s">
        <v>449</v>
      </c>
      <c r="AH190" s="331">
        <f t="shared" si="10"/>
        <v>5.0000000000007814E-6</v>
      </c>
      <c r="AI190" s="336" t="str">
        <f t="shared" si="6"/>
        <v>0,00</v>
      </c>
    </row>
    <row r="191" spans="1:35" x14ac:dyDescent="0.25">
      <c r="B191" s="22" t="s">
        <v>102</v>
      </c>
      <c r="C191" s="23"/>
      <c r="D191" s="23"/>
      <c r="E191" s="24"/>
      <c r="F191" s="23"/>
      <c r="G191" s="23"/>
      <c r="H191" s="23"/>
      <c r="I191" s="25"/>
      <c r="J191" s="26"/>
      <c r="K191" s="14">
        <f>SUM(K183:K190)</f>
        <v>50000006906.333344</v>
      </c>
      <c r="L191" s="14">
        <f>SUM(L183:L190)</f>
        <v>2.7777777777778806E+20</v>
      </c>
      <c r="W191" s="124">
        <v>10</v>
      </c>
      <c r="X191" s="124">
        <f>IF($C$19="10 Titik",B104,B105)</f>
        <v>200000</v>
      </c>
      <c r="Y191" s="281">
        <f t="shared" si="4"/>
        <v>200</v>
      </c>
      <c r="Z191" s="125">
        <f>IF(C20="kg",H106/1000,H106)</f>
        <v>-99.099956000000006</v>
      </c>
      <c r="AA191" s="119">
        <f>IF(C20="kg",MAX(K405,K407)/1000,MAX(K405,K407))</f>
        <v>332.4241793139073</v>
      </c>
      <c r="AB191" s="334" t="str">
        <f>IF('U95'!AA191=0,"0",
   IF(AND('U95'!AA191&gt;0,'U95'!AA191&lt;1),
       TEXT(
        ROUND('U95'!AA191,2-INT(LOG10(ABS('U95'!AA191)))-1),
        "0," &amp; REPT("0",2-INT(LOG10(ABS('U95'!AA191)))-1)
    ),
      IF(AND('U95'!AA191&gt;=1,'U95'!AA191&lt;10),
         TEXT('U95'!AA191,"0,0"),
         TEXT('U95'!AA191,"0")
      )
   )
)</f>
        <v>332</v>
      </c>
      <c r="AC191" s="124">
        <f t="shared" si="8"/>
        <v>0</v>
      </c>
      <c r="AD191" s="281" t="str">
        <f t="shared" si="5"/>
        <v>-99,100</v>
      </c>
      <c r="AF191" s="124">
        <v>10</v>
      </c>
      <c r="AG191" s="128" t="s">
        <v>451</v>
      </c>
      <c r="AH191" s="331">
        <f t="shared" si="10"/>
        <v>-3.9999999999995594E-6</v>
      </c>
      <c r="AI191" s="336" t="str">
        <f t="shared" si="6"/>
        <v>0,00</v>
      </c>
    </row>
    <row r="192" spans="1:35" x14ac:dyDescent="0.25">
      <c r="B192" s="27" t="s">
        <v>103</v>
      </c>
      <c r="C192" s="28"/>
      <c r="D192" s="28"/>
      <c r="E192" s="29"/>
      <c r="F192" s="28"/>
      <c r="G192" s="28"/>
      <c r="H192" s="28"/>
      <c r="I192" s="30"/>
      <c r="J192" s="31"/>
      <c r="K192" s="17">
        <f>SQRT(K191)</f>
        <v>223606.81319300926</v>
      </c>
      <c r="L192" s="17"/>
      <c r="W192" s="124">
        <v>11</v>
      </c>
      <c r="X192" s="124">
        <f>IF($C$19="10 Titik",B108,B109)</f>
        <v>20000</v>
      </c>
      <c r="Y192" s="281">
        <f t="shared" si="4"/>
        <v>20</v>
      </c>
      <c r="Z192" s="125">
        <f>IF(C20="kg",H110/1000,H110)</f>
        <v>49.498272999999998</v>
      </c>
      <c r="AA192" s="119">
        <f>IF(C20="kg",MAX(K427,K429)/1000,MAX(K427,K429))</f>
        <v>332.42417308937212</v>
      </c>
      <c r="AB192" s="334" t="str">
        <f>IF('U95'!AA192=0,"0",
   IF(AND('U95'!AA192&gt;0,'U95'!AA192&lt;1),
       TEXT(
        ROUND('U95'!AA192,2-INT(LOG10(ABS('U95'!AA192)))-1),
        "0," &amp; REPT("0",2-INT(LOG10(ABS('U95'!AA192)))-1)
    ),
      IF(AND('U95'!AA192&gt;=1,'U95'!AA192&lt;10),
         TEXT('U95'!AA192,"0,0"),
         TEXT('U95'!AA192,"0")
      )
   )
)</f>
        <v>332</v>
      </c>
      <c r="AC192" s="124">
        <f t="shared" si="8"/>
        <v>0</v>
      </c>
      <c r="AD192" s="281" t="str">
        <f t="shared" si="5"/>
        <v>49,498</v>
      </c>
      <c r="AF192" s="124">
        <v>11</v>
      </c>
      <c r="AG192" s="128" t="s">
        <v>452</v>
      </c>
      <c r="AH192" s="331">
        <f t="shared" si="10"/>
        <v>6.0000000000002272E-6</v>
      </c>
      <c r="AI192" s="336" t="str">
        <f t="shared" si="6"/>
        <v>0,00</v>
      </c>
    </row>
    <row r="193" spans="1:35" x14ac:dyDescent="0.25">
      <c r="B193" s="27" t="s">
        <v>104</v>
      </c>
      <c r="C193" s="28"/>
      <c r="D193" s="28"/>
      <c r="E193" s="29"/>
      <c r="F193" s="28"/>
      <c r="G193" s="28"/>
      <c r="H193" s="28"/>
      <c r="I193" s="30"/>
      <c r="J193" s="31"/>
      <c r="K193" s="32">
        <f>K192^4/L191</f>
        <v>9.0000024862798416</v>
      </c>
      <c r="L193" s="17"/>
      <c r="W193" s="124">
        <v>12</v>
      </c>
      <c r="X193" s="124">
        <f>IF($C$19="10 Titik",B112,B113)</f>
        <v>20000</v>
      </c>
      <c r="Y193" s="281">
        <f t="shared" si="4"/>
        <v>20</v>
      </c>
      <c r="Z193" s="125">
        <f>IF(C20="kg",H114/1000,H114)</f>
        <v>53.999969000000007</v>
      </c>
      <c r="AA193" s="119">
        <f>IF(C20="kg",MAX(K449,K451)/1000,MAX(K449,K451))</f>
        <v>332.42416191672908</v>
      </c>
      <c r="AB193" s="334" t="str">
        <f>IF('U95'!AA193=0,"0",
   IF(AND('U95'!AA193&gt;0,'U95'!AA193&lt;1),
       TEXT(
        ROUND('U95'!AA193,2-INT(LOG10(ABS('U95'!AA193)))-1),
        "0," &amp; REPT("0",2-INT(LOG10(ABS('U95'!AA193)))-1)
    ),
      IF(AND('U95'!AA193&gt;=1,'U95'!AA193&lt;10),
         TEXT('U95'!AA193,"0,0"),
         TEXT('U95'!AA193,"0")
      )
   )
)</f>
        <v>332</v>
      </c>
      <c r="AC193" s="124">
        <f t="shared" si="8"/>
        <v>0</v>
      </c>
      <c r="AD193" s="281" t="str">
        <f t="shared" si="5"/>
        <v>54,000</v>
      </c>
      <c r="AF193" s="124">
        <v>12</v>
      </c>
      <c r="AG193" s="128" t="s">
        <v>457</v>
      </c>
      <c r="AH193" s="328">
        <f>IF($C$20="kg",F139/1000,F139)</f>
        <v>2.2999999999999688E-5</v>
      </c>
      <c r="AI193" s="336" t="str">
        <f t="shared" si="6"/>
        <v>0,00</v>
      </c>
    </row>
    <row r="194" spans="1:35" x14ac:dyDescent="0.25">
      <c r="B194" s="27" t="s">
        <v>105</v>
      </c>
      <c r="C194" s="28"/>
      <c r="D194" s="28"/>
      <c r="E194" s="29"/>
      <c r="F194" s="28"/>
      <c r="G194" s="28"/>
      <c r="H194" s="28"/>
      <c r="I194" s="30"/>
      <c r="J194" s="31"/>
      <c r="K194" s="33">
        <f>1.96+(2.5/K193)+(2.3/K193^2)+(2.2/K193^3)+(3.7/K193^4)</f>
        <v>2.2697545150279748</v>
      </c>
      <c r="L194" s="17">
        <f>TINV(0.05,K193)</f>
        <v>2.2621571627982053</v>
      </c>
      <c r="W194" s="124">
        <v>13</v>
      </c>
      <c r="X194" s="124">
        <f>IF($C$19="10 Titik",B116,B117)</f>
        <v>20000</v>
      </c>
      <c r="Y194" s="281">
        <f t="shared" si="4"/>
        <v>20</v>
      </c>
      <c r="Z194" s="125">
        <f>IF(C20="kg",H118/1000,H118)</f>
        <v>59.999338000000002</v>
      </c>
      <c r="AA194" s="119">
        <f>IF(C20="kg",MAX(K470,K472)/1000,MAX(K470,K472))</f>
        <v>0.38518374377620929</v>
      </c>
      <c r="AB194" s="348" t="str">
        <f>IF('U95'!AA194=0,"0",
   IF(AND('U95'!AA194&gt;0,'U95'!AA194&lt;1),
       TEXT(
        ROUND('U95'!AA194,2-INT(LOG10(ABS('U95'!AA194)))-1),
        "0," &amp; REPT("0",2-INT(LOG10(ABS('U95'!AA194)))-1)
    ),
      IF(AND('U95'!AA194&gt;=1,'U95'!AA194&lt;10),
         TEXT('U95'!AA194,"0,0"),
         TEXT('U95'!AA194,"0")
      )
   )
)</f>
        <v>0,39</v>
      </c>
      <c r="AC194" s="124">
        <f t="shared" si="8"/>
        <v>2</v>
      </c>
      <c r="AD194" s="281" t="str">
        <f t="shared" si="5"/>
        <v>59,99934</v>
      </c>
      <c r="AF194" s="124">
        <v>13</v>
      </c>
      <c r="AG194" s="128" t="s">
        <v>145</v>
      </c>
      <c r="AH194" s="125">
        <f>IF($C$20="kg",F155/1000,F155)</f>
        <v>2.4999999999941734E-7</v>
      </c>
      <c r="AI194" s="336" t="str">
        <f t="shared" si="6"/>
        <v>0,00</v>
      </c>
    </row>
    <row r="195" spans="1:35" x14ac:dyDescent="0.25">
      <c r="B195" s="27" t="s">
        <v>106</v>
      </c>
      <c r="C195" s="28"/>
      <c r="D195" s="28"/>
      <c r="E195" s="29"/>
      <c r="F195" s="28"/>
      <c r="G195" s="28"/>
      <c r="H195" s="28"/>
      <c r="I195" s="30"/>
      <c r="J195" s="31"/>
      <c r="K195" s="33">
        <f>K194*K192</f>
        <v>507532.5738358497</v>
      </c>
      <c r="L195" s="17"/>
      <c r="W195" s="124">
        <v>14</v>
      </c>
      <c r="X195" s="124">
        <f>IF($C$19="10 Titik",B120,B121)</f>
        <v>20000</v>
      </c>
      <c r="Y195" s="281">
        <f t="shared" si="4"/>
        <v>20</v>
      </c>
      <c r="Z195" s="125">
        <f>IF(C20="kg",H122/1000,H122)</f>
        <v>59.999838000000004</v>
      </c>
      <c r="AA195" s="119">
        <f>IF(C20="kg",MAX(K495,K493)/1000,MAX(K495,K493))</f>
        <v>0.4032717823933864</v>
      </c>
      <c r="AB195" s="348" t="str">
        <f>IF('U95'!AA195=0,"0",
   IF(AND('U95'!AA195&gt;0,'U95'!AA195&lt;1),
       TEXT(
        ROUND('U95'!AA195,2-INT(LOG10(ABS('U95'!AA195)))-1),
        "0," &amp; REPT("0",2-INT(LOG10(ABS('U95'!AA195)))-1)
    ),
      IF(AND('U95'!AA195&gt;=1,'U95'!AA195&lt;10),
         TEXT('U95'!AA195,"0,0"),
         TEXT('U95'!AA195,"0")
      )
   )
)</f>
        <v>0,40</v>
      </c>
      <c r="AC195" s="124">
        <f t="shared" si="8"/>
        <v>2</v>
      </c>
      <c r="AD195" s="281" t="str">
        <f t="shared" si="5"/>
        <v>59,99984</v>
      </c>
      <c r="AF195" s="124">
        <v>14</v>
      </c>
      <c r="AG195" s="128" t="s">
        <v>77</v>
      </c>
      <c r="AH195" s="125">
        <f>IF($C$20="kg",F166/1000,F166)</f>
        <v>100.14705493051197</v>
      </c>
      <c r="AI195" s="336" t="str">
        <f t="shared" si="6"/>
        <v>100,15</v>
      </c>
    </row>
    <row r="196" spans="1:35" x14ac:dyDescent="0.25">
      <c r="B196" s="34" t="s">
        <v>107</v>
      </c>
      <c r="C196" s="35"/>
      <c r="D196" s="35"/>
      <c r="E196" s="36"/>
      <c r="F196" s="35"/>
      <c r="G196" s="35"/>
      <c r="H196" s="35"/>
      <c r="I196" s="37"/>
      <c r="J196" s="38"/>
      <c r="K196" s="41">
        <f>K194*K192/1000</f>
        <v>507.53257383584969</v>
      </c>
      <c r="L196" s="20"/>
      <c r="N196" s="46"/>
      <c r="O196" s="49"/>
      <c r="W196" s="124">
        <v>15</v>
      </c>
      <c r="X196" s="124">
        <f>IF($C$19="10 Titik",B124,B125)</f>
        <v>20000</v>
      </c>
      <c r="Y196" s="281">
        <f t="shared" si="4"/>
        <v>20</v>
      </c>
      <c r="Z196" s="125">
        <f>IF(C20="kg",H126/1000,H126)</f>
        <v>59.998838000000006</v>
      </c>
      <c r="AA196" s="119">
        <f>IF(C20="kg",MAX(K517,K519)/1000,MAX(K517,K519))</f>
        <v>0.4032717823933864</v>
      </c>
      <c r="AB196" s="348" t="str">
        <f>IF('U95'!AA196=0,"0",
   IF(AND('U95'!AA196&gt;0,'U95'!AA196&lt;1),
       TEXT(
        ROUND('U95'!AA196,2-INT(LOG10(ABS('U95'!AA196)))-1),
        "0," &amp; REPT("0",2-INT(LOG10(ABS('U95'!AA196)))-1)
    ),
      IF(AND('U95'!AA196&gt;=1,'U95'!AA196&lt;10),
         TEXT('U95'!AA196,"0,0"),
         TEXT('U95'!AA196,"0")
      )
   )
)</f>
        <v>0,40</v>
      </c>
      <c r="AC196" s="124">
        <f t="shared" si="8"/>
        <v>2</v>
      </c>
      <c r="AD196" s="281" t="str">
        <f t="shared" si="5"/>
        <v>59,99884</v>
      </c>
    </row>
    <row r="197" spans="1:35" x14ac:dyDescent="0.25">
      <c r="B197" s="314" t="s">
        <v>110</v>
      </c>
      <c r="C197" s="94"/>
      <c r="D197" s="94"/>
      <c r="E197" s="94"/>
      <c r="F197" s="94"/>
      <c r="G197" s="94"/>
      <c r="H197" s="94"/>
      <c r="I197" s="94"/>
      <c r="J197" s="94"/>
      <c r="K197" s="258">
        <f t="array" ref="K197">IFERROR(INDEX(Database!$BE$4:$BE$11, MATCH(1, (B177&gt;=Database!$BC$4:$BC$11)*(B177&lt;=Database!$BD$4:$BD$11), 0)),0)</f>
        <v>22</v>
      </c>
      <c r="L197" s="124">
        <f>K197/1000</f>
        <v>2.1999999999999999E-2</v>
      </c>
      <c r="T197" s="43" t="s">
        <v>485</v>
      </c>
      <c r="W197" s="124">
        <v>16</v>
      </c>
      <c r="X197" s="124">
        <f>IF($C$19="10 Titik",B128,B129)</f>
        <v>20000</v>
      </c>
      <c r="Y197" s="281">
        <f t="shared" si="4"/>
        <v>20</v>
      </c>
      <c r="Z197" s="125">
        <f>IF(C20="kg",H130/1000,H130)</f>
        <v>59.999338000000002</v>
      </c>
      <c r="AA197" s="119">
        <f>IF(C20="kg",MAX(K540,K542)/1000,MAX(K540,K542))</f>
        <v>0.4032717823933864</v>
      </c>
      <c r="AB197" s="348" t="str">
        <f>IF('U95'!AA197=0,"0",
   IF(AND('U95'!AA197&gt;0,'U95'!AA197&lt;1),
       TEXT(
        ROUND('U95'!AA197,2-INT(LOG10(ABS('U95'!AA197)))-1),
        "0," &amp; REPT("0",2-INT(LOG10(ABS('U95'!AA197)))-1)
    ),
      IF(AND('U95'!AA197&gt;=1,'U95'!AA197&lt;10),
         TEXT('U95'!AA197,"0,0"),
         TEXT('U95'!AA197,"0")
      )
   )
)</f>
        <v>0,40</v>
      </c>
      <c r="AC197" s="124">
        <f t="shared" si="8"/>
        <v>2</v>
      </c>
      <c r="AD197" s="281" t="str">
        <f t="shared" si="5"/>
        <v>59,99934</v>
      </c>
    </row>
    <row r="200" spans="1:35" x14ac:dyDescent="0.3">
      <c r="S200" s="98"/>
      <c r="Y200" t="s">
        <v>462</v>
      </c>
    </row>
    <row r="201" spans="1:35" x14ac:dyDescent="0.3">
      <c r="A201" s="130" t="s">
        <v>112</v>
      </c>
      <c r="B201">
        <f>IF(C19="custom",B73,B72)</f>
        <v>40000</v>
      </c>
      <c r="C201" s="43" t="str">
        <f>C177</f>
        <v>g</v>
      </c>
      <c r="X201" s="124" t="s">
        <v>38</v>
      </c>
      <c r="Y201" s="124" t="s">
        <v>444</v>
      </c>
      <c r="Z201" s="335" t="s">
        <v>32</v>
      </c>
      <c r="AA201" s="124" t="s">
        <v>464</v>
      </c>
      <c r="AB201" s="281" t="s">
        <v>463</v>
      </c>
      <c r="AC201" s="124" t="s">
        <v>476</v>
      </c>
      <c r="AD201" s="128" t="s">
        <v>426</v>
      </c>
    </row>
    <row r="202" spans="1:35" x14ac:dyDescent="0.3">
      <c r="B202" s="8">
        <f>B201*1000</f>
        <v>40000000</v>
      </c>
      <c r="C202" s="8" t="s">
        <v>31</v>
      </c>
      <c r="D202" s="8"/>
      <c r="E202" s="8" t="s">
        <v>33</v>
      </c>
      <c r="F202" s="47" cm="1">
        <f t="array" ref="F202">IF(C18="M1",SUM(IFERROR(INDEX(
Database!CB4:CD33,
MATCH(K73:O73,Database!CB4:CB33,0),3),0)),
SUM(IFERROR(INDEX(CHOOSE(
MATCH(C18,Database!A8:A10,0),
Database!BP4:BR21,
Database!BT4:BV21,
Database!CB4:CD33,
Database!BX4:BZ21
),
MATCH(Database!Z22:AI22,INDEX(
CHOOSE(MATCH(C18,Database!A8:A10,0),
Database!BP4:BR21,
Database!BT4:BV21,
Database!CB4:CD33,
Database!BX4:BZ21
),,1),0),3),0)))</f>
        <v>90</v>
      </c>
      <c r="G202" s="8" t="s">
        <v>31</v>
      </c>
      <c r="H202" s="8"/>
      <c r="I202" s="8"/>
      <c r="J202" s="8"/>
      <c r="K202" s="8"/>
      <c r="L202" s="8"/>
      <c r="X202" s="124">
        <v>1</v>
      </c>
      <c r="Y202" s="128" t="s">
        <v>460</v>
      </c>
      <c r="Z202" s="281">
        <f>IF($C$20="kg",D36/1000,D36)</f>
        <v>100</v>
      </c>
      <c r="AA202" s="254">
        <f>IF($C$20="kg",F61/1000,F61)</f>
        <v>0.31622776601683794</v>
      </c>
      <c r="AB202" s="334" t="str">
        <f>IF('U95'!AA202=0,"0",
   IF(AND('U95'!AA202&gt;0,'U95'!AA202&lt;1),
       TEXT(
        ROUND('U95'!AA202,2-INT(LOG10(ABS('U95'!AA202)))-1),
        "0," &amp; REPT("0",2-INT(LOG10(ABS('U95'!AA202)))-1)
    ),
      IF(AND('U95'!AA202&gt;=1,'U95'!AA202&lt;10),
         TEXT('U95'!AA202,"0,0"),
         TEXT('U95'!AA202,"0")
      )
   )
)</f>
        <v>0,32</v>
      </c>
      <c r="AC202" s="332" cm="1">
        <f t="array" ref="AC202">IF($C$20="kg",MAX(('U95'!F39:F58)-MIN('U95'!F39:F58))/1000,MAX(('U95'!F39:F58)-MIN('U95'!F39:F58)))</f>
        <v>1</v>
      </c>
      <c r="AD202" s="336" t="str">
        <f xml:space="preserve"> TEXT(AC202,"0,"&amp;REPT("0",$G$7))</f>
        <v>1,00</v>
      </c>
    </row>
    <row r="203" spans="1:35" x14ac:dyDescent="0.3">
      <c r="B203" s="8"/>
      <c r="C203" s="8"/>
      <c r="D203" s="8"/>
      <c r="E203" s="8"/>
      <c r="F203" s="126" t="s">
        <v>121</v>
      </c>
      <c r="G203" s="8"/>
      <c r="H203" s="8"/>
      <c r="I203" s="8"/>
      <c r="J203" s="8"/>
      <c r="K203" s="8"/>
      <c r="L203" s="8"/>
      <c r="X203" s="124">
        <v>2</v>
      </c>
      <c r="Y203" s="124" t="s">
        <v>461</v>
      </c>
      <c r="Z203" s="281">
        <f>IF($C$20="kg",K36/1000,K36)</f>
        <v>200</v>
      </c>
      <c r="AA203" s="254">
        <f>IF($C$20="kg",M61/1000,M61)</f>
        <v>0.20712315177207977</v>
      </c>
      <c r="AB203" s="334" t="str">
        <f>IF('U95'!AA203=0,"0",
   IF(AND('U95'!AA203&gt;0,'U95'!AA203&lt;1),
       TEXT(
        ROUND('U95'!AA203,2-INT(LOG10(ABS('U95'!AA203)))-1),
        "0," &amp; REPT("0",2-INT(LOG10(ABS('U95'!AA203)))-1)
    ),
      IF(AND('U95'!AA203&gt;=1,'U95'!AA203&lt;10),
         TEXT('U95'!AA203,"0,0"),
         TEXT('U95'!AA203,"0")
      )
   )
)</f>
        <v>0,21</v>
      </c>
      <c r="AC203" s="332" cm="1">
        <f t="array" ref="AC203">IF($C$20="kg",MAX(('U95'!M39:M58)-MIN('U95'!M39:M58))/1000,MAX(('U95'!M39:M58)-MIN('U95'!M39:M58)))</f>
        <v>0.8</v>
      </c>
      <c r="AD203" s="336" t="str">
        <f xml:space="preserve"> TEXT(AC203,"0,"&amp;REPT("0",$G$7))</f>
        <v>0,80</v>
      </c>
    </row>
    <row r="204" spans="1:35" ht="15.6" x14ac:dyDescent="0.25">
      <c r="A204">
        <v>1</v>
      </c>
      <c r="B204" s="10" t="s">
        <v>85</v>
      </c>
      <c r="C204" s="10" t="s">
        <v>86</v>
      </c>
      <c r="D204" s="10" t="s">
        <v>87</v>
      </c>
      <c r="E204" s="10" t="s">
        <v>33</v>
      </c>
      <c r="F204" s="10" t="s">
        <v>88</v>
      </c>
      <c r="G204" s="10" t="s">
        <v>89</v>
      </c>
      <c r="H204" s="11" t="s">
        <v>90</v>
      </c>
      <c r="I204" s="10" t="s">
        <v>91</v>
      </c>
      <c r="J204" s="11" t="s">
        <v>92</v>
      </c>
      <c r="K204" s="11" t="s">
        <v>93</v>
      </c>
      <c r="L204" s="10" t="s">
        <v>94</v>
      </c>
    </row>
    <row r="205" spans="1:35" x14ac:dyDescent="0.25">
      <c r="B205" s="12">
        <v>1</v>
      </c>
      <c r="C205" s="12">
        <v>2</v>
      </c>
      <c r="D205" s="12">
        <v>3</v>
      </c>
      <c r="E205" s="12">
        <v>4</v>
      </c>
      <c r="F205" s="12">
        <v>5</v>
      </c>
      <c r="G205" s="12">
        <v>6</v>
      </c>
      <c r="H205" s="12">
        <v>7</v>
      </c>
      <c r="I205" s="12">
        <v>8</v>
      </c>
      <c r="J205" s="12">
        <v>9</v>
      </c>
      <c r="K205" s="12">
        <v>10</v>
      </c>
      <c r="L205" s="12">
        <v>11</v>
      </c>
    </row>
    <row r="206" spans="1:35" x14ac:dyDescent="0.25">
      <c r="B206" s="13" t="s">
        <v>95</v>
      </c>
      <c r="C206" s="14" t="s">
        <v>31</v>
      </c>
      <c r="D206" s="14" t="s">
        <v>96</v>
      </c>
      <c r="E206" s="15">
        <f>F202</f>
        <v>90</v>
      </c>
      <c r="F206" s="14">
        <v>2</v>
      </c>
      <c r="G206" s="14">
        <v>60</v>
      </c>
      <c r="H206" s="14">
        <f t="shared" ref="H206:H213" si="11">E206/F206</f>
        <v>45</v>
      </c>
      <c r="I206" s="14">
        <v>1</v>
      </c>
      <c r="J206" s="14">
        <f t="shared" ref="J206:J213" si="12">H206*I206</f>
        <v>45</v>
      </c>
      <c r="K206" s="14">
        <f t="shared" ref="K206:K213" si="13">J206^2</f>
        <v>2025</v>
      </c>
      <c r="L206" s="14">
        <f t="shared" ref="L206:L213" si="14">J206^4/G206</f>
        <v>68343.75</v>
      </c>
    </row>
    <row r="207" spans="1:35" x14ac:dyDescent="0.25">
      <c r="B207" s="16" t="s">
        <v>97</v>
      </c>
      <c r="C207" s="14" t="s">
        <v>31</v>
      </c>
      <c r="D207" s="17" t="s">
        <v>98</v>
      </c>
      <c r="E207" s="18">
        <f>IF(T185&gt;T187,T185,T187/SQRT(2))</f>
        <v>223606.79774997898</v>
      </c>
      <c r="F207" s="17">
        <v>1</v>
      </c>
      <c r="G207" s="17">
        <f>IF(T185&gt;T187,1000,9)</f>
        <v>9</v>
      </c>
      <c r="H207" s="17">
        <f t="shared" si="11"/>
        <v>223606.79774997898</v>
      </c>
      <c r="I207" s="17">
        <v>1</v>
      </c>
      <c r="J207" s="17">
        <f t="shared" si="12"/>
        <v>223606.79774997898</v>
      </c>
      <c r="K207" s="17">
        <f t="shared" si="13"/>
        <v>50000000000.000008</v>
      </c>
      <c r="L207" s="17">
        <f t="shared" si="14"/>
        <v>2.7777777777777784E+20</v>
      </c>
    </row>
    <row r="208" spans="1:35" x14ac:dyDescent="0.25">
      <c r="B208" s="16" t="s">
        <v>99</v>
      </c>
      <c r="C208" s="14" t="s">
        <v>31</v>
      </c>
      <c r="D208" s="17" t="s">
        <v>100</v>
      </c>
      <c r="E208" s="18">
        <f>0.08*P208</f>
        <v>80</v>
      </c>
      <c r="F208" s="17">
        <v>1</v>
      </c>
      <c r="G208" s="17">
        <v>4</v>
      </c>
      <c r="H208" s="17">
        <f t="shared" si="11"/>
        <v>80</v>
      </c>
      <c r="I208" s="17">
        <v>1</v>
      </c>
      <c r="J208" s="17">
        <f t="shared" si="12"/>
        <v>80</v>
      </c>
      <c r="K208" s="17">
        <f t="shared" si="13"/>
        <v>6400</v>
      </c>
      <c r="L208" s="17">
        <f t="shared" si="14"/>
        <v>10240000</v>
      </c>
      <c r="N208" s="303" t="s">
        <v>109</v>
      </c>
      <c r="O208" s="303">
        <f>IF(ISNUMBER(Database!AM21),Database!AM21,VALUE(LEFT(Database!AM21,LEN(Database!AM21)-1)))</f>
        <v>20000</v>
      </c>
      <c r="P208" s="303">
        <f>IFERROR( INDEX(CHOOSE(
    MATCH($C$18,Database!$A$8:$A$11,0),
  Database!$BI$4:$BI$27,
    Database!$BJ$4:$BJ$27,
   Database!$BI$4:$BI$27,
 Database!$BL$4:$BL$27   ),
   MATCH(O208,Database!$BG$4:$BG$27,   0)),  0 )</f>
        <v>1000</v>
      </c>
      <c r="Q208" s="303" t="s">
        <v>31</v>
      </c>
    </row>
    <row r="209" spans="1:17" x14ac:dyDescent="0.25">
      <c r="B209" s="16" t="s">
        <v>99</v>
      </c>
      <c r="C209" s="14" t="s">
        <v>31</v>
      </c>
      <c r="D209" s="17" t="s">
        <v>100</v>
      </c>
      <c r="E209" s="18">
        <f t="shared" ref="E209:E212" si="15">0.08*P209</f>
        <v>80</v>
      </c>
      <c r="F209" s="17">
        <v>1</v>
      </c>
      <c r="G209" s="17">
        <v>4</v>
      </c>
      <c r="H209" s="17">
        <f t="shared" si="11"/>
        <v>80</v>
      </c>
      <c r="I209" s="17">
        <v>1</v>
      </c>
      <c r="J209" s="17">
        <f t="shared" si="12"/>
        <v>80</v>
      </c>
      <c r="K209" s="17">
        <f t="shared" si="13"/>
        <v>6400</v>
      </c>
      <c r="L209" s="17">
        <f t="shared" si="14"/>
        <v>10240000</v>
      </c>
      <c r="N209" s="303" t="s">
        <v>109</v>
      </c>
      <c r="O209" s="303">
        <f>IF(ISNUMBER(Database!AM22),Database!AM22,VALUE(LEFT(Database!AM22,LEN(Database!AM22)-1)))</f>
        <v>20000</v>
      </c>
      <c r="P209" s="303">
        <f>IFERROR( INDEX(CHOOSE(
    MATCH($C$18,Database!$A$8:$A$11,0),
  Database!$BI$4:$BI$27,
    Database!$BJ$4:$BJ$27,
   Database!$BI$4:$BI$27,
 Database!$BL$4:$BL$27   ),
   MATCH(O209,Database!$BG$4:$BG$27,   0)),  0 )</f>
        <v>1000</v>
      </c>
      <c r="Q209" s="303" t="s">
        <v>31</v>
      </c>
    </row>
    <row r="210" spans="1:17" x14ac:dyDescent="0.25">
      <c r="B210" s="16" t="s">
        <v>99</v>
      </c>
      <c r="C210" s="14" t="s">
        <v>31</v>
      </c>
      <c r="D210" s="17" t="s">
        <v>100</v>
      </c>
      <c r="E210" s="18">
        <f t="shared" si="15"/>
        <v>0</v>
      </c>
      <c r="F210" s="17">
        <v>1</v>
      </c>
      <c r="G210" s="17">
        <v>4</v>
      </c>
      <c r="H210" s="17">
        <f t="shared" si="11"/>
        <v>0</v>
      </c>
      <c r="I210" s="17">
        <v>1</v>
      </c>
      <c r="J210" s="17">
        <f t="shared" si="12"/>
        <v>0</v>
      </c>
      <c r="K210" s="17">
        <f t="shared" si="13"/>
        <v>0</v>
      </c>
      <c r="L210" s="17">
        <f t="shared" si="14"/>
        <v>0</v>
      </c>
      <c r="N210" s="303" t="s">
        <v>109</v>
      </c>
      <c r="O210" s="303">
        <f>IF(ISNUMBER(Database!AM23),Database!AM23,VALUE(LEFT(Database!AM23,LEN(Database!AM23)-1)))</f>
        <v>0</v>
      </c>
      <c r="P210" s="303">
        <f>IFERROR( INDEX(CHOOSE(
    MATCH($C$18,Database!$A$8:$A$11,0),
  Database!$BI$4:$BI$27,
    Database!$BJ$4:$BJ$27,
   Database!$BI$4:$BI$27,
 Database!$BL$4:$BL$27   ),
   MATCH(O210,Database!$BG$4:$BG$27,   0)),  0 )</f>
        <v>0</v>
      </c>
      <c r="Q210" s="303" t="s">
        <v>31</v>
      </c>
    </row>
    <row r="211" spans="1:17" x14ac:dyDescent="0.25">
      <c r="B211" s="16" t="s">
        <v>99</v>
      </c>
      <c r="C211" s="14" t="s">
        <v>31</v>
      </c>
      <c r="D211" s="17" t="s">
        <v>100</v>
      </c>
      <c r="E211" s="18">
        <f t="shared" si="15"/>
        <v>0</v>
      </c>
      <c r="F211" s="17">
        <v>1</v>
      </c>
      <c r="G211" s="17">
        <v>4</v>
      </c>
      <c r="H211" s="17">
        <f t="shared" si="11"/>
        <v>0</v>
      </c>
      <c r="I211" s="17">
        <v>1</v>
      </c>
      <c r="J211" s="17">
        <f t="shared" si="12"/>
        <v>0</v>
      </c>
      <c r="K211" s="17">
        <f t="shared" si="13"/>
        <v>0</v>
      </c>
      <c r="L211" s="17">
        <f t="shared" si="14"/>
        <v>0</v>
      </c>
      <c r="N211" s="303" t="s">
        <v>109</v>
      </c>
      <c r="O211" s="303">
        <f>IF(ISNUMBER(Database!AM24),Database!AM24,VALUE(LEFT(Database!AM24,LEN(Database!AM24)-1)))</f>
        <v>0</v>
      </c>
      <c r="P211" s="303">
        <f>IFERROR( INDEX(CHOOSE(
    MATCH($C$18,Database!$A$8:$A$11,0),
  Database!$BI$4:$BI$27,
    Database!$BJ$4:$BJ$27,
   Database!$BI$4:$BI$27,
 Database!$BL$4:$BL$27   ),
   MATCH(O211,Database!$BG$4:$BG$27,   0)),  0 )</f>
        <v>0</v>
      </c>
      <c r="Q211" s="303" t="s">
        <v>31</v>
      </c>
    </row>
    <row r="212" spans="1:17" x14ac:dyDescent="0.25">
      <c r="B212" s="16" t="s">
        <v>99</v>
      </c>
      <c r="C212" s="14" t="s">
        <v>31</v>
      </c>
      <c r="D212" s="17" t="s">
        <v>100</v>
      </c>
      <c r="E212" s="18">
        <f t="shared" si="15"/>
        <v>0</v>
      </c>
      <c r="F212" s="17">
        <v>1</v>
      </c>
      <c r="G212" s="17">
        <v>4</v>
      </c>
      <c r="H212" s="17">
        <f t="shared" si="11"/>
        <v>0</v>
      </c>
      <c r="I212" s="17">
        <v>1</v>
      </c>
      <c r="J212" s="17">
        <f t="shared" si="12"/>
        <v>0</v>
      </c>
      <c r="K212" s="17">
        <f t="shared" si="13"/>
        <v>0</v>
      </c>
      <c r="L212" s="17">
        <f t="shared" si="14"/>
        <v>0</v>
      </c>
      <c r="N212" s="303" t="s">
        <v>109</v>
      </c>
      <c r="O212" s="303">
        <f>IF(ISNUMBER(Database!AM25),Database!AM25,VALUE(LEFT(Database!AM25,LEN(Database!AM25)-1)))</f>
        <v>0</v>
      </c>
      <c r="P212" s="303">
        <f>IFERROR( INDEX(CHOOSE(
    MATCH($C$18,Database!$A$8:$A$11,0),
  Database!$BI$4:$BI$27,
    Database!$BJ$4:$BJ$27,
   Database!$BI$4:$BI$27,
 Database!$BL$4:$BL$27   ),
   MATCH(O212,Database!$BG$4:$BG$27,   0)),  0 )</f>
        <v>0</v>
      </c>
      <c r="Q212" s="303" t="s">
        <v>31</v>
      </c>
    </row>
    <row r="213" spans="1:17" x14ac:dyDescent="0.25">
      <c r="B213" s="19" t="s">
        <v>101</v>
      </c>
      <c r="C213" s="14" t="s">
        <v>31</v>
      </c>
      <c r="D213" s="20" t="s">
        <v>100</v>
      </c>
      <c r="E213" s="21">
        <f>1/2</f>
        <v>0.5</v>
      </c>
      <c r="F213" s="20">
        <f>SQRT(3)</f>
        <v>1.7320508075688772</v>
      </c>
      <c r="G213" s="20">
        <v>1000</v>
      </c>
      <c r="H213" s="20">
        <f t="shared" si="11"/>
        <v>0.28867513459481292</v>
      </c>
      <c r="I213" s="20">
        <v>1</v>
      </c>
      <c r="J213" s="20">
        <f t="shared" si="12"/>
        <v>0.28867513459481292</v>
      </c>
      <c r="K213" s="20">
        <f t="shared" si="13"/>
        <v>8.3333333333333356E-2</v>
      </c>
      <c r="L213" s="20">
        <f t="shared" si="14"/>
        <v>6.9444444444444482E-6</v>
      </c>
    </row>
    <row r="214" spans="1:17" x14ac:dyDescent="0.25">
      <c r="B214" s="22" t="s">
        <v>102</v>
      </c>
      <c r="C214" s="23"/>
      <c r="D214" s="23"/>
      <c r="E214" s="24"/>
      <c r="F214" s="23"/>
      <c r="G214" s="23"/>
      <c r="H214" s="23"/>
      <c r="I214" s="25"/>
      <c r="J214" s="26"/>
      <c r="K214" s="14">
        <f>SUM(K206:K213)</f>
        <v>50000014825.083344</v>
      </c>
      <c r="L214" s="14">
        <f>SUM(L206:L213)</f>
        <v>2.7777777777779835E+20</v>
      </c>
    </row>
    <row r="215" spans="1:17" x14ac:dyDescent="0.25">
      <c r="B215" s="27" t="s">
        <v>103</v>
      </c>
      <c r="C215" s="28"/>
      <c r="D215" s="28"/>
      <c r="E215" s="29"/>
      <c r="F215" s="28"/>
      <c r="G215" s="28"/>
      <c r="H215" s="28"/>
      <c r="I215" s="30"/>
      <c r="J215" s="31"/>
      <c r="K215" s="17">
        <f>SQRT(K214)</f>
        <v>223606.83089987063</v>
      </c>
      <c r="L215" s="17"/>
    </row>
    <row r="216" spans="1:17" x14ac:dyDescent="0.25">
      <c r="B216" s="27" t="s">
        <v>104</v>
      </c>
      <c r="C216" s="28"/>
      <c r="D216" s="28"/>
      <c r="E216" s="29"/>
      <c r="F216" s="28"/>
      <c r="G216" s="28"/>
      <c r="H216" s="28"/>
      <c r="I216" s="30"/>
      <c r="J216" s="31"/>
      <c r="K216" s="32">
        <f>K215^4/L214</f>
        <v>9.0000053370301281</v>
      </c>
      <c r="L216" s="17"/>
    </row>
    <row r="217" spans="1:17" x14ac:dyDescent="0.25">
      <c r="B217" s="27" t="s">
        <v>105</v>
      </c>
      <c r="C217" s="28"/>
      <c r="D217" s="28"/>
      <c r="E217" s="29"/>
      <c r="F217" s="28"/>
      <c r="G217" s="28"/>
      <c r="H217" s="28"/>
      <c r="I217" s="30"/>
      <c r="J217" s="31"/>
      <c r="K217" s="33">
        <f>1.96+(2.5/K216)+(2.3/K216^2)+(2.2/K216^3)+(3.7/K216^4)</f>
        <v>2.2697544054714824</v>
      </c>
      <c r="L217" s="17"/>
    </row>
    <row r="218" spans="1:17" x14ac:dyDescent="0.25">
      <c r="B218" s="27" t="s">
        <v>106</v>
      </c>
      <c r="C218" s="28"/>
      <c r="D218" s="28"/>
      <c r="E218" s="29"/>
      <c r="F218" s="28"/>
      <c r="G218" s="28"/>
      <c r="H218" s="28"/>
      <c r="I218" s="30"/>
      <c r="J218" s="31"/>
      <c r="K218" s="48">
        <f>K217*K215</f>
        <v>507532.58952849818</v>
      </c>
      <c r="L218" s="17"/>
    </row>
    <row r="219" spans="1:17" x14ac:dyDescent="0.25">
      <c r="B219" s="34" t="s">
        <v>107</v>
      </c>
      <c r="C219" s="35"/>
      <c r="D219" s="35"/>
      <c r="E219" s="36"/>
      <c r="F219" s="35"/>
      <c r="G219" s="35"/>
      <c r="H219" s="35"/>
      <c r="I219" s="37"/>
      <c r="J219" s="38"/>
      <c r="K219" s="112">
        <f>K217*K215/1000</f>
        <v>507.53258952849819</v>
      </c>
      <c r="L219" s="20"/>
    </row>
    <row r="220" spans="1:17" x14ac:dyDescent="0.25">
      <c r="B220" s="39" t="s">
        <v>110</v>
      </c>
      <c r="K220" s="258" cm="1">
        <f t="array" ref="K220">IFERROR(INDEX(Database!$BE$4:$BE$11, MATCH(1, (B201&gt;=Database!$BC$4:$BC$11)*(B201&lt;=Database!$BD$4:$BD$11), 0)),0)</f>
        <v>8100</v>
      </c>
    </row>
    <row r="221" spans="1:17" x14ac:dyDescent="0.25">
      <c r="B221" s="8"/>
    </row>
    <row r="223" spans="1:17" x14ac:dyDescent="0.3">
      <c r="A223" s="130" t="s">
        <v>113</v>
      </c>
      <c r="B223">
        <f>IF(C19="custom",B77,B76)</f>
        <v>60000</v>
      </c>
      <c r="C223" s="43" t="str">
        <f>C201</f>
        <v>g</v>
      </c>
    </row>
    <row r="224" spans="1:17" x14ac:dyDescent="0.3">
      <c r="B224" s="8">
        <f>B223*1000</f>
        <v>60000000</v>
      </c>
      <c r="C224" s="8" t="s">
        <v>31</v>
      </c>
      <c r="D224" s="8"/>
      <c r="E224" s="8" t="s">
        <v>33</v>
      </c>
      <c r="F224" s="47" cm="1">
        <f t="array" ref="F224">IF(C18="M1",SUM(IFERROR(INDEX(
Database!CB4:CD33,
MATCH(K77:O77,Database!CB4:CB33,0),3),0)),
SUM(IFERROR(INDEX(CHOOSE(
MATCH(C18,Database!A8:A10,0),
Database!BP4:BR21,
Database!BT4:BV21,
Database!CB4:CD33,
Database!BX4:BZ21
),
MATCH(Database!Z23:AI23,INDEX(
CHOOSE(MATCH(C18,Database!A8:A10,0),
Database!BP4:BR21,
Database!BT4:BV21,
Database!CB4:CD33,
Database!BX4:BZ21
),,1),0),3),0)))</f>
        <v>135</v>
      </c>
      <c r="G224" s="8" t="s">
        <v>31</v>
      </c>
      <c r="H224" s="8"/>
      <c r="I224" s="8"/>
      <c r="J224" s="8"/>
      <c r="K224" s="8"/>
      <c r="L224" s="8"/>
    </row>
    <row r="225" spans="2:17" x14ac:dyDescent="0.25"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</row>
    <row r="226" spans="2:17" ht="15.6" x14ac:dyDescent="0.25">
      <c r="B226" s="10" t="s">
        <v>85</v>
      </c>
      <c r="C226" s="10" t="s">
        <v>86</v>
      </c>
      <c r="D226" s="10" t="s">
        <v>87</v>
      </c>
      <c r="E226" s="10" t="s">
        <v>33</v>
      </c>
      <c r="F226" s="10" t="s">
        <v>88</v>
      </c>
      <c r="G226" s="10" t="s">
        <v>89</v>
      </c>
      <c r="H226" s="11" t="s">
        <v>90</v>
      </c>
      <c r="I226" s="10" t="s">
        <v>91</v>
      </c>
      <c r="J226" s="11" t="s">
        <v>92</v>
      </c>
      <c r="K226" s="11" t="s">
        <v>93</v>
      </c>
      <c r="L226" s="10" t="s">
        <v>94</v>
      </c>
    </row>
    <row r="227" spans="2:17" x14ac:dyDescent="0.25">
      <c r="B227" s="12">
        <v>1</v>
      </c>
      <c r="C227" s="12">
        <v>2</v>
      </c>
      <c r="D227" s="12">
        <v>3</v>
      </c>
      <c r="E227" s="12">
        <v>4</v>
      </c>
      <c r="F227" s="12">
        <v>5</v>
      </c>
      <c r="G227" s="12">
        <v>6</v>
      </c>
      <c r="H227" s="12">
        <v>7</v>
      </c>
      <c r="I227" s="12">
        <v>8</v>
      </c>
      <c r="J227" s="12">
        <v>9</v>
      </c>
      <c r="K227" s="12">
        <v>10</v>
      </c>
      <c r="L227" s="12">
        <v>11</v>
      </c>
    </row>
    <row r="228" spans="2:17" x14ac:dyDescent="0.25">
      <c r="B228" s="13" t="s">
        <v>95</v>
      </c>
      <c r="C228" s="14" t="s">
        <v>31</v>
      </c>
      <c r="D228" s="14" t="s">
        <v>96</v>
      </c>
      <c r="E228" s="15">
        <f>F224</f>
        <v>135</v>
      </c>
      <c r="F228" s="14">
        <v>2</v>
      </c>
      <c r="G228" s="14">
        <v>60</v>
      </c>
      <c r="H228" s="14">
        <f t="shared" ref="H228:H235" si="16">E228/F228</f>
        <v>67.5</v>
      </c>
      <c r="I228" s="14">
        <v>1</v>
      </c>
      <c r="J228" s="14">
        <f t="shared" ref="J228:J235" si="17">H228*I228</f>
        <v>67.5</v>
      </c>
      <c r="K228" s="14">
        <f t="shared" ref="K228:K235" si="18">J228^2</f>
        <v>4556.25</v>
      </c>
      <c r="L228" s="14">
        <f t="shared" ref="L228:L235" si="19">J228^4/G228</f>
        <v>345990.234375</v>
      </c>
    </row>
    <row r="229" spans="2:17" x14ac:dyDescent="0.25">
      <c r="B229" s="16" t="s">
        <v>97</v>
      </c>
      <c r="C229" s="14" t="s">
        <v>31</v>
      </c>
      <c r="D229" s="17" t="s">
        <v>98</v>
      </c>
      <c r="E229" s="18">
        <f>IF(T185&gt;T187,T185,T187/SQRT(2))</f>
        <v>223606.79774997898</v>
      </c>
      <c r="F229" s="17">
        <v>1</v>
      </c>
      <c r="G229" s="17">
        <f>IF(T185&gt;T187,1000,9)</f>
        <v>9</v>
      </c>
      <c r="H229" s="17">
        <f t="shared" si="16"/>
        <v>223606.79774997898</v>
      </c>
      <c r="I229" s="17">
        <v>1</v>
      </c>
      <c r="J229" s="17">
        <f t="shared" si="17"/>
        <v>223606.79774997898</v>
      </c>
      <c r="K229" s="17">
        <f t="shared" si="18"/>
        <v>50000000000.000008</v>
      </c>
      <c r="L229" s="17">
        <f t="shared" si="19"/>
        <v>2.7777777777777784E+20</v>
      </c>
    </row>
    <row r="230" spans="2:17" x14ac:dyDescent="0.25">
      <c r="B230" s="16" t="s">
        <v>99</v>
      </c>
      <c r="C230" s="14" t="s">
        <v>31</v>
      </c>
      <c r="D230" s="17" t="s">
        <v>100</v>
      </c>
      <c r="E230" s="18">
        <f>0.08*P230</f>
        <v>80</v>
      </c>
      <c r="F230" s="17">
        <v>1</v>
      </c>
      <c r="G230" s="17">
        <v>4</v>
      </c>
      <c r="H230" s="17">
        <f t="shared" ref="H230:H231" si="20">E230/F230</f>
        <v>80</v>
      </c>
      <c r="I230" s="17">
        <v>1</v>
      </c>
      <c r="J230" s="17">
        <f t="shared" ref="J230:J231" si="21">H230*I230</f>
        <v>80</v>
      </c>
      <c r="K230" s="17">
        <f t="shared" ref="K230:K231" si="22">J230^2</f>
        <v>6400</v>
      </c>
      <c r="L230" s="17">
        <f t="shared" ref="L230:L231" si="23">J230^4/G230</f>
        <v>10240000</v>
      </c>
      <c r="N230" s="303" t="s">
        <v>109</v>
      </c>
      <c r="O230" s="303">
        <f>IF(ISNUMBER(Database!AN21),Database!AN21,VALUE(LEFT(Database!AN21,LEN(Database!AN21)-1)))</f>
        <v>20000</v>
      </c>
      <c r="P230" s="303">
        <f>IFERROR( INDEX(CHOOSE(
    MATCH($C$18,Database!$A$8:$A$11,0),
  Database!$BI$4:$BI$27,
    Database!$BJ$4:$BJ$27,
   Database!$BI$4:$BI$27,
 Database!$BL$4:$BL$27   ),
   MATCH(O230,Database!$BG$4:$BG$27,   0)),  0 )</f>
        <v>1000</v>
      </c>
      <c r="Q230" s="303" t="s">
        <v>31</v>
      </c>
    </row>
    <row r="231" spans="2:17" x14ac:dyDescent="0.25">
      <c r="B231" s="16" t="s">
        <v>99</v>
      </c>
      <c r="C231" s="14" t="s">
        <v>31</v>
      </c>
      <c r="D231" s="17" t="s">
        <v>100</v>
      </c>
      <c r="E231" s="18">
        <f t="shared" ref="E231:E234" si="24">0.08*P231</f>
        <v>80</v>
      </c>
      <c r="F231" s="17">
        <v>1</v>
      </c>
      <c r="G231" s="17">
        <v>4</v>
      </c>
      <c r="H231" s="17">
        <f t="shared" si="20"/>
        <v>80</v>
      </c>
      <c r="I231" s="17">
        <v>1</v>
      </c>
      <c r="J231" s="17">
        <f t="shared" si="21"/>
        <v>80</v>
      </c>
      <c r="K231" s="17">
        <f t="shared" si="22"/>
        <v>6400</v>
      </c>
      <c r="L231" s="17">
        <f t="shared" si="23"/>
        <v>10240000</v>
      </c>
      <c r="N231" s="303" t="s">
        <v>109</v>
      </c>
      <c r="O231" s="303">
        <f>IF(ISNUMBER(Database!AN22),Database!AN22,VALUE(LEFT(Database!AN22,LEN(Database!AN22)-1)))</f>
        <v>20000</v>
      </c>
      <c r="P231" s="303">
        <f>IFERROR( INDEX(CHOOSE(
    MATCH($C$18,Database!$A$8:$A$11,0),
  Database!$BI$4:$BI$27,
    Database!$BJ$4:$BJ$27,
   Database!$BI$4:$BI$27,
 Database!$BL$4:$BL$27   ),
   MATCH(O231,Database!$BG$4:$BG$27,   0)),  0 )</f>
        <v>1000</v>
      </c>
      <c r="Q231" s="303" t="s">
        <v>31</v>
      </c>
    </row>
    <row r="232" spans="2:17" x14ac:dyDescent="0.25">
      <c r="B232" s="16" t="s">
        <v>99</v>
      </c>
      <c r="C232" s="14" t="s">
        <v>31</v>
      </c>
      <c r="D232" s="17" t="s">
        <v>100</v>
      </c>
      <c r="E232" s="18">
        <f t="shared" si="24"/>
        <v>80</v>
      </c>
      <c r="F232" s="17">
        <v>1</v>
      </c>
      <c r="G232" s="17">
        <v>4</v>
      </c>
      <c r="H232" s="17">
        <f t="shared" si="16"/>
        <v>80</v>
      </c>
      <c r="I232" s="17">
        <v>1</v>
      </c>
      <c r="J232" s="17">
        <f t="shared" si="17"/>
        <v>80</v>
      </c>
      <c r="K232" s="17">
        <f t="shared" si="18"/>
        <v>6400</v>
      </c>
      <c r="L232" s="17">
        <f t="shared" si="19"/>
        <v>10240000</v>
      </c>
      <c r="N232" s="303" t="s">
        <v>109</v>
      </c>
      <c r="O232" s="303">
        <f>IF(ISNUMBER(Database!AN23),Database!AN23,VALUE(LEFT(Database!AN23,LEN(Database!AN23)-1)))</f>
        <v>20000</v>
      </c>
      <c r="P232" s="303">
        <f>IFERROR( INDEX(CHOOSE(
    MATCH($C$18,Database!$A$8:$A$11,0),
  Database!$BI$4:$BI$27,
    Database!$BJ$4:$BJ$27,
   Database!$BI$4:$BI$27,
 Database!$BL$4:$BL$27   ),
   MATCH(O232,Database!$BG$4:$BG$27,   0)),  0 )</f>
        <v>1000</v>
      </c>
      <c r="Q232" s="303" t="s">
        <v>31</v>
      </c>
    </row>
    <row r="233" spans="2:17" x14ac:dyDescent="0.25">
      <c r="B233" s="16" t="s">
        <v>99</v>
      </c>
      <c r="C233" s="14" t="s">
        <v>31</v>
      </c>
      <c r="D233" s="17" t="s">
        <v>100</v>
      </c>
      <c r="E233" s="18">
        <f t="shared" si="24"/>
        <v>0</v>
      </c>
      <c r="F233" s="17">
        <v>1</v>
      </c>
      <c r="G233" s="17">
        <v>4</v>
      </c>
      <c r="H233" s="17">
        <f t="shared" si="16"/>
        <v>0</v>
      </c>
      <c r="I233" s="17">
        <v>1</v>
      </c>
      <c r="J233" s="17">
        <f t="shared" si="17"/>
        <v>0</v>
      </c>
      <c r="K233" s="17">
        <f t="shared" si="18"/>
        <v>0</v>
      </c>
      <c r="L233" s="17">
        <f t="shared" si="19"/>
        <v>0</v>
      </c>
      <c r="N233" s="303" t="s">
        <v>109</v>
      </c>
      <c r="O233" s="303">
        <f>IF(ISNUMBER(Database!AN24),Database!AN24,VALUE(LEFT(Database!AN24,LEN(Database!AN24)-1)))</f>
        <v>0</v>
      </c>
      <c r="P233" s="303">
        <f>IFERROR( INDEX(CHOOSE(
    MATCH($C$18,Database!$A$8:$A$11,0),
  Database!$BI$4:$BI$27,
    Database!$BJ$4:$BJ$27,
   Database!$BI$4:$BI$27,
 Database!$BL$4:$BL$27   ),
   MATCH(O233,Database!$BG$4:$BG$27,   0)),  0 )</f>
        <v>0</v>
      </c>
      <c r="Q233" s="303" t="s">
        <v>31</v>
      </c>
    </row>
    <row r="234" spans="2:17" x14ac:dyDescent="0.25">
      <c r="B234" s="16" t="s">
        <v>99</v>
      </c>
      <c r="C234" s="14" t="s">
        <v>31</v>
      </c>
      <c r="D234" s="17" t="s">
        <v>100</v>
      </c>
      <c r="E234" s="18">
        <f t="shared" si="24"/>
        <v>0</v>
      </c>
      <c r="F234" s="17">
        <v>1</v>
      </c>
      <c r="G234" s="17">
        <v>4</v>
      </c>
      <c r="H234" s="17">
        <f t="shared" si="16"/>
        <v>0</v>
      </c>
      <c r="I234" s="17">
        <v>1</v>
      </c>
      <c r="J234" s="17">
        <f t="shared" si="17"/>
        <v>0</v>
      </c>
      <c r="K234" s="17">
        <f t="shared" si="18"/>
        <v>0</v>
      </c>
      <c r="L234" s="17">
        <f t="shared" si="19"/>
        <v>0</v>
      </c>
      <c r="N234" s="303" t="s">
        <v>109</v>
      </c>
      <c r="O234" s="303">
        <f>IF(ISNUMBER(Database!AN25),Database!AN25,VALUE(LEFT(Database!AN25,LEN(Database!AN25)-1)))</f>
        <v>0</v>
      </c>
      <c r="P234" s="303">
        <f>IFERROR( INDEX(CHOOSE(
    MATCH($C$18,Database!$A$8:$A$11,0),
  Database!$BI$4:$BI$27,
    Database!$BJ$4:$BJ$27,
   Database!$BI$4:$BI$27,
 Database!$BL$4:$BL$27   ),
   MATCH(O234,Database!$BG$4:$BG$27,   0)),  0 )</f>
        <v>0</v>
      </c>
      <c r="Q234" s="303" t="s">
        <v>31</v>
      </c>
    </row>
    <row r="235" spans="2:17" x14ac:dyDescent="0.25">
      <c r="B235" s="19" t="s">
        <v>101</v>
      </c>
      <c r="C235" s="14" t="s">
        <v>31</v>
      </c>
      <c r="D235" s="20" t="s">
        <v>100</v>
      </c>
      <c r="E235" s="21">
        <f>1/2</f>
        <v>0.5</v>
      </c>
      <c r="F235" s="20">
        <f>SQRT(3)</f>
        <v>1.7320508075688772</v>
      </c>
      <c r="G235" s="20">
        <v>1000</v>
      </c>
      <c r="H235" s="20">
        <f t="shared" si="16"/>
        <v>0.28867513459481292</v>
      </c>
      <c r="I235" s="20">
        <v>1</v>
      </c>
      <c r="J235" s="20">
        <f t="shared" si="17"/>
        <v>0.28867513459481292</v>
      </c>
      <c r="K235" s="20">
        <f t="shared" si="18"/>
        <v>8.3333333333333356E-2</v>
      </c>
      <c r="L235" s="20">
        <f t="shared" si="19"/>
        <v>6.9444444444444482E-6</v>
      </c>
    </row>
    <row r="236" spans="2:17" x14ac:dyDescent="0.25">
      <c r="B236" s="22" t="s">
        <v>102</v>
      </c>
      <c r="C236" s="23"/>
      <c r="D236" s="23"/>
      <c r="E236" s="24"/>
      <c r="F236" s="23"/>
      <c r="G236" s="23"/>
      <c r="H236" s="23"/>
      <c r="I236" s="25"/>
      <c r="J236" s="26"/>
      <c r="K236" s="14">
        <f>SUM(K228:K235)</f>
        <v>50000023756.333344</v>
      </c>
      <c r="L236" s="14">
        <f>SUM(L228:L235)</f>
        <v>2.777777777778089E+20</v>
      </c>
    </row>
    <row r="237" spans="2:17" x14ac:dyDescent="0.25">
      <c r="B237" s="27" t="s">
        <v>103</v>
      </c>
      <c r="C237" s="28"/>
      <c r="D237" s="28"/>
      <c r="E237" s="29"/>
      <c r="F237" s="28"/>
      <c r="G237" s="28"/>
      <c r="H237" s="28"/>
      <c r="I237" s="30"/>
      <c r="J237" s="31"/>
      <c r="K237" s="17">
        <f>SQRT(K236)</f>
        <v>223606.85087074892</v>
      </c>
      <c r="L237" s="17"/>
    </row>
    <row r="238" spans="2:17" x14ac:dyDescent="0.25">
      <c r="B238" s="27" t="s">
        <v>104</v>
      </c>
      <c r="C238" s="28"/>
      <c r="D238" s="28"/>
      <c r="E238" s="29"/>
      <c r="F238" s="28"/>
      <c r="G238" s="28"/>
      <c r="H238" s="28"/>
      <c r="I238" s="30"/>
      <c r="J238" s="31"/>
      <c r="K238" s="32">
        <f>K237^4/L236</f>
        <v>9.0000085522810291</v>
      </c>
      <c r="L238" s="17"/>
    </row>
    <row r="239" spans="2:17" x14ac:dyDescent="0.25">
      <c r="B239" s="27" t="s">
        <v>105</v>
      </c>
      <c r="C239" s="28"/>
      <c r="D239" s="28"/>
      <c r="E239" s="29"/>
      <c r="F239" s="28"/>
      <c r="G239" s="28"/>
      <c r="H239" s="28"/>
      <c r="I239" s="30"/>
      <c r="J239" s="31"/>
      <c r="K239" s="33">
        <f>1.96+(2.5/K238)+(2.3/K238^2)+(2.2/K238^3)+(3.7/K238^4)</f>
        <v>2.2697542819070478</v>
      </c>
      <c r="L239" s="17"/>
    </row>
    <row r="240" spans="2:17" x14ac:dyDescent="0.25">
      <c r="B240" s="27" t="s">
        <v>106</v>
      </c>
      <c r="C240" s="28"/>
      <c r="D240" s="28"/>
      <c r="E240" s="29"/>
      <c r="F240" s="28"/>
      <c r="G240" s="28"/>
      <c r="H240" s="28"/>
      <c r="I240" s="30"/>
      <c r="J240" s="31"/>
      <c r="K240" s="48">
        <f>K239*K237</f>
        <v>507532.60722763307</v>
      </c>
      <c r="L240" s="17"/>
    </row>
    <row r="241" spans="1:17" x14ac:dyDescent="0.25">
      <c r="B241" s="34" t="s">
        <v>107</v>
      </c>
      <c r="C241" s="35"/>
      <c r="D241" s="35"/>
      <c r="E241" s="36"/>
      <c r="F241" s="35"/>
      <c r="G241" s="35"/>
      <c r="H241" s="35"/>
      <c r="I241" s="37"/>
      <c r="J241" s="38"/>
      <c r="K241" s="40">
        <f>K239*K237/1000</f>
        <v>507.53260722763309</v>
      </c>
      <c r="L241" s="20"/>
    </row>
    <row r="242" spans="1:17" x14ac:dyDescent="0.25">
      <c r="B242" s="39" t="s">
        <v>110</v>
      </c>
      <c r="K242" s="258">
        <f t="array" ref="K242">IFERROR(INDEX(Database!$BE$4:$BE$11, MATCH(1, (B223&gt;=Database!$BC$4:$BC$11)*(B223&lt;=Database!$BD$4:$BD$11), 0)),0)</f>
        <v>80000</v>
      </c>
    </row>
    <row r="243" spans="1:17" x14ac:dyDescent="0.25">
      <c r="B243" s="8"/>
    </row>
    <row r="245" spans="1:17" x14ac:dyDescent="0.3">
      <c r="A245" s="130" t="s">
        <v>114</v>
      </c>
      <c r="B245">
        <f>IF(C19="custom",B81,B80)</f>
        <v>80000</v>
      </c>
      <c r="C245" s="43" t="str">
        <f>C223</f>
        <v>g</v>
      </c>
    </row>
    <row r="246" spans="1:17" x14ac:dyDescent="0.3">
      <c r="A246">
        <f>B81</f>
        <v>20000</v>
      </c>
      <c r="B246" s="8">
        <f>B245*1000</f>
        <v>80000000</v>
      </c>
      <c r="C246" s="8" t="s">
        <v>31</v>
      </c>
      <c r="D246" s="8"/>
      <c r="E246" s="8" t="s">
        <v>33</v>
      </c>
      <c r="F246" s="47" cm="1">
        <f t="array" ref="F246">IF(C18="M1",SUM(IFERROR(INDEX(
Database!CB4:CD33,
MATCH(K81:O81,Database!CB4:CB33,0),3),0)),
SUM(IFERROR(INDEX(CHOOSE(
MATCH(C18,Database!A8:A10,0),
Database!BP4:BR21,
Database!BT4:BV21,
Database!CB4:CD33,
Database!BX4:BZ21
),
MATCH(Database!Z24:AI24,INDEX(
CHOOSE(MATCH(C18,Database!A8:A10,0),
Database!BP4:BR21,
Database!BT4:BV21,
Database!CB4:CD33,
Database!BX4:BZ21
),,1),0),3),0)))</f>
        <v>180</v>
      </c>
      <c r="G246" s="8" t="s">
        <v>31</v>
      </c>
      <c r="H246" s="8"/>
      <c r="I246" s="8"/>
      <c r="J246" s="8"/>
      <c r="K246" s="8"/>
      <c r="L246" s="8"/>
    </row>
    <row r="247" spans="1:17" x14ac:dyDescent="0.3">
      <c r="B247" s="8"/>
      <c r="C247" s="8"/>
      <c r="D247" s="8"/>
      <c r="E247" s="8"/>
      <c r="F247" s="127"/>
      <c r="G247" s="8"/>
      <c r="H247" s="8"/>
      <c r="I247" s="8"/>
      <c r="J247" s="8"/>
      <c r="K247" s="8"/>
      <c r="L247" s="8"/>
    </row>
    <row r="248" spans="1:17" ht="15.6" x14ac:dyDescent="0.25">
      <c r="B248" s="10" t="s">
        <v>85</v>
      </c>
      <c r="C248" s="10" t="s">
        <v>86</v>
      </c>
      <c r="D248" s="10" t="s">
        <v>87</v>
      </c>
      <c r="E248" s="10" t="s">
        <v>33</v>
      </c>
      <c r="F248" s="10" t="s">
        <v>88</v>
      </c>
      <c r="G248" s="10" t="s">
        <v>89</v>
      </c>
      <c r="H248" s="11" t="s">
        <v>90</v>
      </c>
      <c r="I248" s="10" t="s">
        <v>91</v>
      </c>
      <c r="J248" s="11" t="s">
        <v>92</v>
      </c>
      <c r="K248" s="11" t="s">
        <v>93</v>
      </c>
      <c r="L248" s="10" t="s">
        <v>94</v>
      </c>
    </row>
    <row r="249" spans="1:17" x14ac:dyDescent="0.25">
      <c r="B249" s="12">
        <v>1</v>
      </c>
      <c r="C249" s="12">
        <v>2</v>
      </c>
      <c r="D249" s="12">
        <v>3</v>
      </c>
      <c r="E249" s="12">
        <v>4</v>
      </c>
      <c r="F249" s="12">
        <v>5</v>
      </c>
      <c r="G249" s="12">
        <v>6</v>
      </c>
      <c r="H249" s="12">
        <v>7</v>
      </c>
      <c r="I249" s="12">
        <v>8</v>
      </c>
      <c r="J249" s="12">
        <v>9</v>
      </c>
      <c r="K249" s="12">
        <v>10</v>
      </c>
      <c r="L249" s="12">
        <v>11</v>
      </c>
    </row>
    <row r="250" spans="1:17" x14ac:dyDescent="0.25">
      <c r="B250" s="13" t="s">
        <v>95</v>
      </c>
      <c r="C250" s="14" t="s">
        <v>31</v>
      </c>
      <c r="D250" s="14" t="s">
        <v>96</v>
      </c>
      <c r="E250" s="15">
        <f>F246</f>
        <v>180</v>
      </c>
      <c r="F250" s="14">
        <v>2</v>
      </c>
      <c r="G250" s="14">
        <v>60</v>
      </c>
      <c r="H250" s="14">
        <f t="shared" ref="H250:H257" si="25">E250/F250</f>
        <v>90</v>
      </c>
      <c r="I250" s="14">
        <v>1</v>
      </c>
      <c r="J250" s="14">
        <f t="shared" ref="J250:J257" si="26">H250*I250</f>
        <v>90</v>
      </c>
      <c r="K250" s="14">
        <f t="shared" ref="K250:K257" si="27">J250^2</f>
        <v>8100</v>
      </c>
      <c r="L250" s="14">
        <f t="shared" ref="L250:L257" si="28">J250^4/G250</f>
        <v>1093500</v>
      </c>
    </row>
    <row r="251" spans="1:17" x14ac:dyDescent="0.25">
      <c r="B251" s="16" t="s">
        <v>97</v>
      </c>
      <c r="C251" s="14" t="s">
        <v>31</v>
      </c>
      <c r="D251" s="17" t="s">
        <v>98</v>
      </c>
      <c r="E251" s="18">
        <f>IF(T185&gt;T187,T185,T187/SQRT(2))</f>
        <v>223606.79774997898</v>
      </c>
      <c r="F251" s="17">
        <v>1</v>
      </c>
      <c r="G251" s="17">
        <f>IF(T185&gt;T187,1000,9)</f>
        <v>9</v>
      </c>
      <c r="H251" s="17">
        <f t="shared" si="25"/>
        <v>223606.79774997898</v>
      </c>
      <c r="I251" s="17">
        <v>1</v>
      </c>
      <c r="J251" s="17">
        <f t="shared" si="26"/>
        <v>223606.79774997898</v>
      </c>
      <c r="K251" s="17">
        <f t="shared" si="27"/>
        <v>50000000000.000008</v>
      </c>
      <c r="L251" s="17">
        <f t="shared" si="28"/>
        <v>2.7777777777777784E+20</v>
      </c>
    </row>
    <row r="252" spans="1:17" x14ac:dyDescent="0.25">
      <c r="B252" s="16" t="s">
        <v>99</v>
      </c>
      <c r="C252" s="14" t="s">
        <v>31</v>
      </c>
      <c r="D252" s="17" t="s">
        <v>100</v>
      </c>
      <c r="E252" s="18">
        <f>0.08*P252</f>
        <v>0</v>
      </c>
      <c r="F252" s="17">
        <v>1</v>
      </c>
      <c r="G252" s="17">
        <v>4</v>
      </c>
      <c r="H252" s="17">
        <f t="shared" ref="H252:H253" si="29">E252/F252</f>
        <v>0</v>
      </c>
      <c r="I252" s="17">
        <v>1</v>
      </c>
      <c r="J252" s="17">
        <f t="shared" ref="J252:J253" si="30">H252*I252</f>
        <v>0</v>
      </c>
      <c r="K252" s="17">
        <f t="shared" ref="K252:K253" si="31">J252^2</f>
        <v>0</v>
      </c>
      <c r="L252" s="17">
        <f t="shared" ref="L252:L253" si="32">J252^4/G252</f>
        <v>0</v>
      </c>
      <c r="N252" s="303" t="s">
        <v>109</v>
      </c>
      <c r="O252" s="303">
        <f>IF(ISNUMBER(Database!AO21),Database!AO21,VALUE(LEFT(Database!AO21,LEN(Database!AO21)-1)))</f>
        <v>0</v>
      </c>
      <c r="P252" s="303">
        <f>IFERROR( INDEX(CHOOSE(
    MATCH($C$18,Database!$A$8:$A$11,0),
  Database!$BI$4:$BI$27,
    Database!$BJ$4:$BJ$27,
   Database!$BI$4:$BI$27,
 Database!$BL$4:$BL$27   ),
   MATCH(O252,Database!$BG$4:$BG$27,   0)),  0 )</f>
        <v>0</v>
      </c>
      <c r="Q252" s="303" t="s">
        <v>31</v>
      </c>
    </row>
    <row r="253" spans="1:17" x14ac:dyDescent="0.25">
      <c r="B253" s="16" t="s">
        <v>99</v>
      </c>
      <c r="C253" s="14" t="s">
        <v>31</v>
      </c>
      <c r="D253" s="17" t="s">
        <v>100</v>
      </c>
      <c r="E253" s="18">
        <f t="shared" ref="E253:E256" si="33">0.08*P253</f>
        <v>0</v>
      </c>
      <c r="F253" s="17">
        <v>1</v>
      </c>
      <c r="G253" s="17">
        <v>4</v>
      </c>
      <c r="H253" s="17">
        <f t="shared" si="29"/>
        <v>0</v>
      </c>
      <c r="I253" s="17">
        <v>1</v>
      </c>
      <c r="J253" s="17">
        <f t="shared" si="30"/>
        <v>0</v>
      </c>
      <c r="K253" s="17">
        <f t="shared" si="31"/>
        <v>0</v>
      </c>
      <c r="L253" s="17">
        <f t="shared" si="32"/>
        <v>0</v>
      </c>
      <c r="N253" s="303" t="s">
        <v>109</v>
      </c>
      <c r="O253" s="303">
        <f>IF(ISNUMBER(Database!AO22),Database!AO22,VALUE(LEFT(Database!AO22,LEN(Database!AO22)-1)))</f>
        <v>0</v>
      </c>
      <c r="P253" s="303">
        <f>IFERROR( INDEX(CHOOSE(
    MATCH($C$18,Database!$A$8:$A$11,0),
  Database!$BI$4:$BI$27,
    Database!$BJ$4:$BJ$27,
   Database!$BI$4:$BI$27,
 Database!$BL$4:$BL$27   ),
   MATCH(O253,Database!$BG$4:$BG$27,   0)),  0 )</f>
        <v>0</v>
      </c>
      <c r="Q253" s="303" t="s">
        <v>31</v>
      </c>
    </row>
    <row r="254" spans="1:17" x14ac:dyDescent="0.25">
      <c r="B254" s="16" t="s">
        <v>99</v>
      </c>
      <c r="C254" s="14" t="s">
        <v>31</v>
      </c>
      <c r="D254" s="17" t="s">
        <v>100</v>
      </c>
      <c r="E254" s="18">
        <f t="shared" si="33"/>
        <v>0</v>
      </c>
      <c r="F254" s="17">
        <v>1</v>
      </c>
      <c r="G254" s="17">
        <v>4</v>
      </c>
      <c r="H254" s="17">
        <f t="shared" si="25"/>
        <v>0</v>
      </c>
      <c r="I254" s="17">
        <v>1</v>
      </c>
      <c r="J254" s="17">
        <f t="shared" si="26"/>
        <v>0</v>
      </c>
      <c r="K254" s="17">
        <f t="shared" si="27"/>
        <v>0</v>
      </c>
      <c r="L254" s="17">
        <f t="shared" si="28"/>
        <v>0</v>
      </c>
      <c r="N254" s="303" t="s">
        <v>109</v>
      </c>
      <c r="O254" s="303">
        <f>IF(ISNUMBER(Database!AO23),Database!AO23,VALUE(LEFT(Database!AO23,LEN(Database!AO23)-1)))</f>
        <v>0</v>
      </c>
      <c r="P254" s="303">
        <f>IFERROR( INDEX(CHOOSE(
    MATCH($C$18,Database!$A$8:$A$11,0),
  Database!$BI$4:$BI$27,
    Database!$BJ$4:$BJ$27,
   Database!$BI$4:$BI$27,
 Database!$BL$4:$BL$27   ),
   MATCH(O254,Database!$BG$4:$BG$27,   0)),  0 )</f>
        <v>0</v>
      </c>
      <c r="Q254" s="303" t="s">
        <v>31</v>
      </c>
    </row>
    <row r="255" spans="1:17" x14ac:dyDescent="0.25">
      <c r="B255" s="16" t="s">
        <v>99</v>
      </c>
      <c r="C255" s="14" t="s">
        <v>31</v>
      </c>
      <c r="D255" s="17" t="s">
        <v>100</v>
      </c>
      <c r="E255" s="18">
        <f t="shared" si="33"/>
        <v>0</v>
      </c>
      <c r="F255" s="17">
        <v>1</v>
      </c>
      <c r="G255" s="17">
        <v>4</v>
      </c>
      <c r="H255" s="17">
        <f t="shared" si="25"/>
        <v>0</v>
      </c>
      <c r="I255" s="17">
        <v>1</v>
      </c>
      <c r="J255" s="17">
        <f t="shared" si="26"/>
        <v>0</v>
      </c>
      <c r="K255" s="17">
        <f t="shared" si="27"/>
        <v>0</v>
      </c>
      <c r="L255" s="17">
        <f t="shared" si="28"/>
        <v>0</v>
      </c>
      <c r="N255" s="303" t="s">
        <v>109</v>
      </c>
      <c r="O255" s="303">
        <f>IF(ISNUMBER(Database!AO24),Database!AO24,VALUE(LEFT(Database!AO24,LEN(Database!AO24)-1)))</f>
        <v>0</v>
      </c>
      <c r="P255" s="303">
        <f>IFERROR( INDEX(CHOOSE(
    MATCH($C$18,Database!$A$8:$A$11,0),
  Database!$BI$4:$BI$27,
    Database!$BJ$4:$BJ$27,
   Database!$BI$4:$BI$27,
 Database!$BL$4:$BL$27   ),
   MATCH(O255,Database!$BG$4:$BG$27,   0)),  0 )</f>
        <v>0</v>
      </c>
      <c r="Q255" s="303" t="s">
        <v>31</v>
      </c>
    </row>
    <row r="256" spans="1:17" x14ac:dyDescent="0.25">
      <c r="B256" s="16" t="s">
        <v>99</v>
      </c>
      <c r="C256" s="14" t="s">
        <v>31</v>
      </c>
      <c r="D256" s="17" t="s">
        <v>100</v>
      </c>
      <c r="E256" s="18">
        <f t="shared" si="33"/>
        <v>0</v>
      </c>
      <c r="F256" s="17">
        <v>1</v>
      </c>
      <c r="G256" s="17">
        <v>4</v>
      </c>
      <c r="H256" s="17">
        <f>E256/F256</f>
        <v>0</v>
      </c>
      <c r="I256" s="17">
        <v>1</v>
      </c>
      <c r="J256" s="17">
        <f>H256*I256</f>
        <v>0</v>
      </c>
      <c r="K256" s="17">
        <f>J256^2</f>
        <v>0</v>
      </c>
      <c r="L256" s="17">
        <f>J256^4/G256</f>
        <v>0</v>
      </c>
      <c r="N256" s="303" t="s">
        <v>109</v>
      </c>
      <c r="O256" s="303">
        <f>IF(ISNUMBER(Database!AO25),Database!AO25,VALUE(LEFT(Database!AO25,LEN(Database!AO25)-1)))</f>
        <v>0</v>
      </c>
      <c r="P256" s="303">
        <f>IFERROR( INDEX(CHOOSE(
    MATCH($C$18,Database!$A$8:$A$11,0),
  Database!$BI$4:$BI$27,
    Database!$BJ$4:$BJ$27,
   Database!$BI$4:$BI$27,
 Database!$BL$4:$BL$27   ),
   MATCH(O256,Database!$BG$4:$BG$27,   0)),  0 )</f>
        <v>0</v>
      </c>
      <c r="Q256" s="303" t="s">
        <v>31</v>
      </c>
    </row>
    <row r="257" spans="1:12" x14ac:dyDescent="0.25">
      <c r="B257" s="19" t="s">
        <v>101</v>
      </c>
      <c r="C257" s="14" t="s">
        <v>31</v>
      </c>
      <c r="D257" s="20" t="s">
        <v>100</v>
      </c>
      <c r="E257" s="21">
        <f>1/2</f>
        <v>0.5</v>
      </c>
      <c r="F257" s="20">
        <f>SQRT(3)</f>
        <v>1.7320508075688772</v>
      </c>
      <c r="G257" s="20">
        <v>1000</v>
      </c>
      <c r="H257" s="20">
        <f t="shared" si="25"/>
        <v>0.28867513459481292</v>
      </c>
      <c r="I257" s="20">
        <v>1</v>
      </c>
      <c r="J257" s="20">
        <f t="shared" si="26"/>
        <v>0.28867513459481292</v>
      </c>
      <c r="K257" s="20">
        <f t="shared" si="27"/>
        <v>8.3333333333333356E-2</v>
      </c>
      <c r="L257" s="20">
        <f t="shared" si="28"/>
        <v>6.9444444444444482E-6</v>
      </c>
    </row>
    <row r="258" spans="1:12" x14ac:dyDescent="0.25">
      <c r="B258" s="22" t="s">
        <v>102</v>
      </c>
      <c r="C258" s="23"/>
      <c r="D258" s="23"/>
      <c r="E258" s="24"/>
      <c r="F258" s="23"/>
      <c r="G258" s="23"/>
      <c r="H258" s="23"/>
      <c r="I258" s="25"/>
      <c r="J258" s="26"/>
      <c r="K258" s="14">
        <f>SUM(K250:K257)</f>
        <v>50000008100.083344</v>
      </c>
      <c r="L258" s="14">
        <f>SUM(L250:L257)</f>
        <v>2.7777777777777892E+20</v>
      </c>
    </row>
    <row r="259" spans="1:12" x14ac:dyDescent="0.25">
      <c r="B259" s="27" t="s">
        <v>103</v>
      </c>
      <c r="C259" s="28"/>
      <c r="D259" s="28"/>
      <c r="E259" s="29"/>
      <c r="F259" s="28"/>
      <c r="G259" s="28"/>
      <c r="H259" s="28"/>
      <c r="I259" s="30"/>
      <c r="J259" s="31"/>
      <c r="K259" s="17">
        <f>SQRT(K258)</f>
        <v>223606.81586231521</v>
      </c>
      <c r="L259" s="17"/>
    </row>
    <row r="260" spans="1:12" x14ac:dyDescent="0.25">
      <c r="B260" s="27" t="s">
        <v>104</v>
      </c>
      <c r="C260" s="28"/>
      <c r="D260" s="28"/>
      <c r="E260" s="29"/>
      <c r="F260" s="28"/>
      <c r="G260" s="28"/>
      <c r="H260" s="28"/>
      <c r="I260" s="30"/>
      <c r="J260" s="31"/>
      <c r="K260" s="32">
        <f>K259^4/L258</f>
        <v>9.0000029160302031</v>
      </c>
      <c r="L260" s="17"/>
    </row>
    <row r="261" spans="1:12" x14ac:dyDescent="0.25">
      <c r="B261" s="27" t="s">
        <v>105</v>
      </c>
      <c r="C261" s="28"/>
      <c r="D261" s="28"/>
      <c r="E261" s="29"/>
      <c r="F261" s="28"/>
      <c r="G261" s="28"/>
      <c r="H261" s="28"/>
      <c r="I261" s="30"/>
      <c r="J261" s="31"/>
      <c r="K261" s="33">
        <f>1.96+(2.5/K260)+(2.3/K260^2)+(2.2/K260^3)+(3.7/K260^4)</f>
        <v>2.2697544985123383</v>
      </c>
      <c r="L261" s="17"/>
    </row>
    <row r="262" spans="1:12" x14ac:dyDescent="0.25">
      <c r="B262" s="27" t="s">
        <v>106</v>
      </c>
      <c r="C262" s="28"/>
      <c r="D262" s="28"/>
      <c r="E262" s="29"/>
      <c r="F262" s="28"/>
      <c r="G262" s="28"/>
      <c r="H262" s="28"/>
      <c r="I262" s="30"/>
      <c r="J262" s="31"/>
      <c r="K262" s="48">
        <f>K261*K259</f>
        <v>507532.57620151003</v>
      </c>
      <c r="L262" s="17"/>
    </row>
    <row r="263" spans="1:12" x14ac:dyDescent="0.25">
      <c r="B263" s="34" t="s">
        <v>107</v>
      </c>
      <c r="C263" s="35"/>
      <c r="D263" s="35"/>
      <c r="E263" s="36"/>
      <c r="F263" s="35"/>
      <c r="G263" s="35"/>
      <c r="H263" s="35"/>
      <c r="I263" s="37"/>
      <c r="J263" s="38"/>
      <c r="K263" s="21">
        <f>K261*K259/1000</f>
        <v>507.53257620151004</v>
      </c>
      <c r="L263" s="20"/>
    </row>
    <row r="264" spans="1:12" x14ac:dyDescent="0.25">
      <c r="B264" s="39" t="s">
        <v>346</v>
      </c>
      <c r="K264" s="258">
        <f t="array" ref="K264">IFERROR(INDEX(Database!$BE$4:$BE$11, MATCH(1, (B245&gt;=Database!$BC$4:$BC$11)*(B245&lt;=Database!$BD$4:$BD$11), 0)),0)</f>
        <v>80000</v>
      </c>
    </row>
    <row r="266" spans="1:12" x14ac:dyDescent="0.25">
      <c r="B266" s="8"/>
      <c r="C266" s="8"/>
      <c r="D266" s="8"/>
      <c r="E266" s="9"/>
      <c r="F266" s="8"/>
      <c r="G266" s="8"/>
      <c r="H266" s="8"/>
      <c r="I266" s="8"/>
      <c r="J266" s="9"/>
      <c r="K266" s="42"/>
      <c r="L266" s="9"/>
    </row>
    <row r="267" spans="1:12" x14ac:dyDescent="0.25">
      <c r="H267" s="8"/>
      <c r="K267" s="8"/>
    </row>
    <row r="268" spans="1:12" x14ac:dyDescent="0.25">
      <c r="A268" s="130" t="s">
        <v>115</v>
      </c>
      <c r="B268">
        <f>IF(C19="custom",B85,B84)</f>
        <v>100000</v>
      </c>
      <c r="C268" s="43" t="str">
        <f>C245</f>
        <v>g</v>
      </c>
      <c r="K268" s="8"/>
    </row>
    <row r="269" spans="1:12" x14ac:dyDescent="0.3">
      <c r="A269">
        <f>B85</f>
        <v>25000</v>
      </c>
      <c r="B269" s="8">
        <f>B268*1000</f>
        <v>100000000</v>
      </c>
      <c r="C269" s="8" t="s">
        <v>31</v>
      </c>
      <c r="D269" s="8"/>
      <c r="E269" s="8" t="s">
        <v>33</v>
      </c>
      <c r="F269" s="47" cm="1">
        <f t="array" ref="F269">IF(C18="M1",SUM(IFERROR(INDEX(
Database!CB4:CD33,
MATCH(K85:O85,Database!CB4:CB33,0),3),0)),
SUM(IFERROR(INDEX(CHOOSE(
MATCH(C18,Database!A8:A10,0),
Database!BP4:BR21,
Database!BT4:BV21,
Database!CB4:CD33,
Database!BX4:BZ21
),
MATCH(Database!Z25:AI25,INDEX(
CHOOSE(MATCH(C18,Database!A8:A10,0),
Database!BP4:BR21,
Database!BT4:BV21,
Database!CB4:CD33,
Database!BX4:BZ21
),,1),0),3),0)))</f>
        <v>225</v>
      </c>
      <c r="G269" s="8" t="s">
        <v>31</v>
      </c>
      <c r="I269" s="8"/>
      <c r="K269" s="8"/>
      <c r="L269" s="8"/>
    </row>
    <row r="270" spans="1:12" x14ac:dyDescent="0.3">
      <c r="B270" s="8"/>
      <c r="C270" s="8"/>
      <c r="D270" s="8"/>
      <c r="E270" s="8"/>
      <c r="F270" s="127"/>
      <c r="G270" s="8"/>
      <c r="H270" s="8"/>
      <c r="I270" s="8"/>
      <c r="K270" s="8"/>
      <c r="L270" s="8"/>
    </row>
    <row r="271" spans="1:12" ht="15.6" x14ac:dyDescent="0.25">
      <c r="A271">
        <v>1</v>
      </c>
      <c r="B271" s="10" t="s">
        <v>85</v>
      </c>
      <c r="C271" s="10" t="s">
        <v>86</v>
      </c>
      <c r="D271" s="10" t="s">
        <v>87</v>
      </c>
      <c r="E271" s="10" t="s">
        <v>33</v>
      </c>
      <c r="F271" s="10" t="s">
        <v>88</v>
      </c>
      <c r="G271" s="10" t="s">
        <v>89</v>
      </c>
      <c r="H271" s="11" t="s">
        <v>90</v>
      </c>
      <c r="I271" s="10" t="s">
        <v>91</v>
      </c>
      <c r="J271" s="11" t="s">
        <v>92</v>
      </c>
      <c r="K271" s="11" t="s">
        <v>93</v>
      </c>
      <c r="L271" s="10" t="s">
        <v>94</v>
      </c>
    </row>
    <row r="272" spans="1:12" x14ac:dyDescent="0.25">
      <c r="B272" s="12">
        <v>1</v>
      </c>
      <c r="C272" s="12">
        <v>2</v>
      </c>
      <c r="D272" s="12">
        <v>3</v>
      </c>
      <c r="E272" s="12">
        <v>4</v>
      </c>
      <c r="F272" s="12">
        <v>5</v>
      </c>
      <c r="G272" s="12">
        <v>6</v>
      </c>
      <c r="H272" s="12">
        <v>7</v>
      </c>
      <c r="I272" s="12">
        <v>8</v>
      </c>
      <c r="J272" s="12">
        <v>9</v>
      </c>
      <c r="K272" s="12">
        <v>10</v>
      </c>
      <c r="L272" s="12">
        <v>11</v>
      </c>
    </row>
    <row r="273" spans="2:17" x14ac:dyDescent="0.25">
      <c r="B273" s="13" t="s">
        <v>95</v>
      </c>
      <c r="C273" s="14" t="s">
        <v>31</v>
      </c>
      <c r="D273" s="14" t="s">
        <v>96</v>
      </c>
      <c r="E273" s="15">
        <f>F269</f>
        <v>225</v>
      </c>
      <c r="F273" s="14">
        <v>2</v>
      </c>
      <c r="G273" s="14">
        <v>60</v>
      </c>
      <c r="H273" s="14">
        <f t="shared" ref="H273:H280" si="34">E273/F273</f>
        <v>112.5</v>
      </c>
      <c r="I273" s="14">
        <v>1</v>
      </c>
      <c r="J273" s="14">
        <f t="shared" ref="J273:J280" si="35">H273*I273</f>
        <v>112.5</v>
      </c>
      <c r="K273" s="14">
        <f t="shared" ref="K273:K280" si="36">J273^2</f>
        <v>12656.25</v>
      </c>
      <c r="L273" s="14">
        <f t="shared" ref="L273:L280" si="37">J273^4/G273</f>
        <v>2669677.734375</v>
      </c>
    </row>
    <row r="274" spans="2:17" x14ac:dyDescent="0.25">
      <c r="B274" s="16" t="s">
        <v>97</v>
      </c>
      <c r="C274" s="14" t="s">
        <v>31</v>
      </c>
      <c r="D274" s="17" t="s">
        <v>98</v>
      </c>
      <c r="E274" s="18">
        <f>IF(T185&gt;T187,T185,T187/SQRT(2))</f>
        <v>223606.79774997898</v>
      </c>
      <c r="F274" s="17">
        <v>1</v>
      </c>
      <c r="G274" s="17">
        <f>IF(T185&gt;T187,1000,9)</f>
        <v>9</v>
      </c>
      <c r="H274" s="17">
        <f t="shared" si="34"/>
        <v>223606.79774997898</v>
      </c>
      <c r="I274" s="17">
        <v>1</v>
      </c>
      <c r="J274" s="17">
        <f t="shared" si="35"/>
        <v>223606.79774997898</v>
      </c>
      <c r="K274" s="17">
        <f t="shared" si="36"/>
        <v>50000000000.000008</v>
      </c>
      <c r="L274" s="17">
        <f t="shared" si="37"/>
        <v>2.7777777777777784E+20</v>
      </c>
    </row>
    <row r="275" spans="2:17" x14ac:dyDescent="0.25">
      <c r="B275" s="16" t="s">
        <v>99</v>
      </c>
      <c r="C275" s="14" t="s">
        <v>31</v>
      </c>
      <c r="D275" s="17" t="s">
        <v>100</v>
      </c>
      <c r="E275" s="18">
        <f>0.08*P275</f>
        <v>0</v>
      </c>
      <c r="F275" s="17">
        <v>1</v>
      </c>
      <c r="G275" s="17">
        <v>4</v>
      </c>
      <c r="H275" s="17">
        <f t="shared" si="34"/>
        <v>0</v>
      </c>
      <c r="I275" s="17">
        <v>1</v>
      </c>
      <c r="J275" s="17">
        <f t="shared" si="35"/>
        <v>0</v>
      </c>
      <c r="K275" s="17">
        <f t="shared" si="36"/>
        <v>0</v>
      </c>
      <c r="L275" s="17">
        <f t="shared" si="37"/>
        <v>0</v>
      </c>
      <c r="N275" s="303" t="s">
        <v>109</v>
      </c>
      <c r="O275" s="303">
        <f>IF(ISNUMBER(Database!AP21),Database!AP21,VALUE(LEFT(Database!AP21,LEN(Database!AP21)-1)))</f>
        <v>0</v>
      </c>
      <c r="P275" s="303">
        <f>IFERROR( INDEX(CHOOSE(
    MATCH($C$18,Database!$A$8:$A$11,0),
  Database!$BI$4:$BI$27,
    Database!$BJ$4:$BJ$27,
   Database!$BI$4:$BI$27,
 Database!$BL$4:$BL$27   ),
   MATCH(O275,Database!$BG$4:$BG$27,   0)),  0 )</f>
        <v>0</v>
      </c>
      <c r="Q275" s="303" t="s">
        <v>31</v>
      </c>
    </row>
    <row r="276" spans="2:17" x14ac:dyDescent="0.25">
      <c r="B276" s="16" t="s">
        <v>99</v>
      </c>
      <c r="C276" s="14" t="s">
        <v>31</v>
      </c>
      <c r="D276" s="17" t="s">
        <v>100</v>
      </c>
      <c r="E276" s="18">
        <f t="shared" ref="E276:E279" si="38">0.08*P276</f>
        <v>0</v>
      </c>
      <c r="F276" s="17">
        <v>1</v>
      </c>
      <c r="G276" s="17">
        <v>4</v>
      </c>
      <c r="H276" s="17">
        <f t="shared" si="34"/>
        <v>0</v>
      </c>
      <c r="I276" s="17">
        <v>1</v>
      </c>
      <c r="J276" s="17">
        <f t="shared" si="35"/>
        <v>0</v>
      </c>
      <c r="K276" s="17">
        <f t="shared" si="36"/>
        <v>0</v>
      </c>
      <c r="L276" s="17">
        <f t="shared" si="37"/>
        <v>0</v>
      </c>
      <c r="N276" s="303" t="s">
        <v>109</v>
      </c>
      <c r="O276" s="303">
        <f>IF(ISNUMBER(Database!AP22),Database!AP22,VALUE(LEFT(Database!AP22,LEN(Database!AP22)-1)))</f>
        <v>0</v>
      </c>
      <c r="P276" s="303">
        <f>IFERROR( INDEX(CHOOSE(
    MATCH($C$18,Database!$A$8:$A$11,0),
  Database!$BI$4:$BI$27,
    Database!$BJ$4:$BJ$27,
   Database!$BI$4:$BI$27,
 Database!$BL$4:$BL$27   ),
   MATCH(O276,Database!$BG$4:$BG$27,   0)),  0 )</f>
        <v>0</v>
      </c>
      <c r="Q276" s="303" t="s">
        <v>31</v>
      </c>
    </row>
    <row r="277" spans="2:17" x14ac:dyDescent="0.25">
      <c r="B277" s="16" t="s">
        <v>99</v>
      </c>
      <c r="C277" s="14" t="s">
        <v>31</v>
      </c>
      <c r="D277" s="17" t="s">
        <v>100</v>
      </c>
      <c r="E277" s="18">
        <f t="shared" si="38"/>
        <v>0</v>
      </c>
      <c r="F277" s="17">
        <v>1</v>
      </c>
      <c r="G277" s="17">
        <v>4</v>
      </c>
      <c r="H277" s="17">
        <f t="shared" si="34"/>
        <v>0</v>
      </c>
      <c r="I277" s="17">
        <v>1</v>
      </c>
      <c r="J277" s="17">
        <f t="shared" si="35"/>
        <v>0</v>
      </c>
      <c r="K277" s="17">
        <f t="shared" si="36"/>
        <v>0</v>
      </c>
      <c r="L277" s="17">
        <f t="shared" si="37"/>
        <v>0</v>
      </c>
      <c r="N277" s="303" t="s">
        <v>109</v>
      </c>
      <c r="O277" s="303">
        <f>IF(ISNUMBER(Database!AP23),Database!AP23,VALUE(LEFT(Database!AP23,LEN(Database!AP23)-1)))</f>
        <v>0</v>
      </c>
      <c r="P277" s="303">
        <f>IFERROR( INDEX(CHOOSE(
    MATCH($C$18,Database!$A$8:$A$11,0),
  Database!$BI$4:$BI$27,
    Database!$BJ$4:$BJ$27,
   Database!$BI$4:$BI$27,
 Database!$BL$4:$BL$27   ),
   MATCH(O277,Database!$BG$4:$BG$27,   0)),  0 )</f>
        <v>0</v>
      </c>
      <c r="Q277" s="303" t="s">
        <v>31</v>
      </c>
    </row>
    <row r="278" spans="2:17" x14ac:dyDescent="0.25">
      <c r="B278" s="16" t="s">
        <v>99</v>
      </c>
      <c r="C278" s="14" t="s">
        <v>31</v>
      </c>
      <c r="D278" s="17" t="s">
        <v>100</v>
      </c>
      <c r="E278" s="18">
        <f t="shared" si="38"/>
        <v>0</v>
      </c>
      <c r="F278" s="17">
        <v>1</v>
      </c>
      <c r="G278" s="17">
        <v>4</v>
      </c>
      <c r="H278" s="17">
        <f t="shared" si="34"/>
        <v>0</v>
      </c>
      <c r="I278" s="17">
        <v>1</v>
      </c>
      <c r="J278" s="17">
        <f t="shared" si="35"/>
        <v>0</v>
      </c>
      <c r="K278" s="17">
        <f t="shared" si="36"/>
        <v>0</v>
      </c>
      <c r="L278" s="17">
        <f t="shared" si="37"/>
        <v>0</v>
      </c>
      <c r="N278" s="303" t="s">
        <v>109</v>
      </c>
      <c r="O278" s="303">
        <f>IF(ISNUMBER(Database!AP24),Database!AP24,VALUE(LEFT(Database!AP24,LEN(Database!AP24)-1)))</f>
        <v>0</v>
      </c>
      <c r="P278" s="303">
        <f>IFERROR( INDEX(CHOOSE(
    MATCH($C$18,Database!$A$8:$A$11,0),
  Database!$BI$4:$BI$27,
    Database!$BJ$4:$BJ$27,
   Database!$BI$4:$BI$27,
 Database!$BL$4:$BL$27   ),
   MATCH(O278,Database!$BG$4:$BG$27,   0)),  0 )</f>
        <v>0</v>
      </c>
      <c r="Q278" s="303" t="s">
        <v>31</v>
      </c>
    </row>
    <row r="279" spans="2:17" x14ac:dyDescent="0.25">
      <c r="B279" s="16" t="s">
        <v>99</v>
      </c>
      <c r="C279" s="14" t="s">
        <v>31</v>
      </c>
      <c r="D279" s="17" t="s">
        <v>100</v>
      </c>
      <c r="E279" s="18">
        <f t="shared" si="38"/>
        <v>0</v>
      </c>
      <c r="F279" s="17">
        <v>1</v>
      </c>
      <c r="G279" s="17">
        <v>4</v>
      </c>
      <c r="H279" s="17">
        <f t="shared" si="34"/>
        <v>0</v>
      </c>
      <c r="I279" s="17">
        <v>1</v>
      </c>
      <c r="J279" s="17">
        <f t="shared" si="35"/>
        <v>0</v>
      </c>
      <c r="K279" s="17">
        <f t="shared" si="36"/>
        <v>0</v>
      </c>
      <c r="L279" s="17">
        <f t="shared" si="37"/>
        <v>0</v>
      </c>
      <c r="N279" s="303" t="s">
        <v>109</v>
      </c>
      <c r="O279" s="303">
        <f>IF(ISNUMBER(Database!AP25),Database!AP25,VALUE(LEFT(Database!AP25,LEN(Database!AP25)-1)))</f>
        <v>0</v>
      </c>
      <c r="P279" s="303">
        <f>IFERROR( INDEX(CHOOSE(
    MATCH($C$18,Database!$A$8:$A$11,0),
  Database!$BI$4:$BI$27,
    Database!$BJ$4:$BJ$27,
   Database!$BI$4:$BI$27,
 Database!$BL$4:$BL$27   ),
   MATCH(O279,Database!$BG$4:$BG$27,   0)),  0 )</f>
        <v>0</v>
      </c>
      <c r="Q279" s="303" t="s">
        <v>31</v>
      </c>
    </row>
    <row r="280" spans="2:17" x14ac:dyDescent="0.25">
      <c r="B280" s="19" t="s">
        <v>101</v>
      </c>
      <c r="C280" s="14" t="s">
        <v>31</v>
      </c>
      <c r="D280" s="20" t="s">
        <v>100</v>
      </c>
      <c r="E280" s="21">
        <f>1/2</f>
        <v>0.5</v>
      </c>
      <c r="F280" s="20">
        <f>SQRT(3)</f>
        <v>1.7320508075688772</v>
      </c>
      <c r="G280" s="20">
        <v>1000</v>
      </c>
      <c r="H280" s="20">
        <f t="shared" si="34"/>
        <v>0.28867513459481292</v>
      </c>
      <c r="I280" s="20">
        <v>1</v>
      </c>
      <c r="J280" s="20">
        <f t="shared" si="35"/>
        <v>0.28867513459481292</v>
      </c>
      <c r="K280" s="20">
        <f t="shared" si="36"/>
        <v>8.3333333333333356E-2</v>
      </c>
      <c r="L280" s="20">
        <f t="shared" si="37"/>
        <v>6.9444444444444482E-6</v>
      </c>
    </row>
    <row r="281" spans="2:17" x14ac:dyDescent="0.25">
      <c r="B281" s="22" t="s">
        <v>102</v>
      </c>
      <c r="C281" s="23"/>
      <c r="D281" s="23"/>
      <c r="E281" s="24"/>
      <c r="F281" s="23"/>
      <c r="G281" s="23"/>
      <c r="H281" s="23"/>
      <c r="I281" s="25"/>
      <c r="J281" s="26"/>
      <c r="K281" s="14">
        <f>SUM(K273:K280)</f>
        <v>50000012656.333344</v>
      </c>
      <c r="L281" s="14">
        <f>SUM(L273:L280)</f>
        <v>2.7777777777778049E+20</v>
      </c>
    </row>
    <row r="282" spans="2:17" x14ac:dyDescent="0.25">
      <c r="B282" s="27" t="s">
        <v>103</v>
      </c>
      <c r="C282" s="28"/>
      <c r="D282" s="28"/>
      <c r="E282" s="29"/>
      <c r="F282" s="28"/>
      <c r="G282" s="28"/>
      <c r="H282" s="28"/>
      <c r="I282" s="30"/>
      <c r="J282" s="31"/>
      <c r="K282" s="17">
        <f>SQRT(K281)</f>
        <v>223606.82605039887</v>
      </c>
      <c r="L282" s="17"/>
    </row>
    <row r="283" spans="2:17" x14ac:dyDescent="0.25">
      <c r="B283" s="27" t="s">
        <v>104</v>
      </c>
      <c r="C283" s="28"/>
      <c r="D283" s="28"/>
      <c r="E283" s="29"/>
      <c r="F283" s="28"/>
      <c r="G283" s="28"/>
      <c r="H283" s="28"/>
      <c r="I283" s="30"/>
      <c r="J283" s="31"/>
      <c r="K283" s="32">
        <f>K282^4/L281</f>
        <v>9.0000045562804889</v>
      </c>
      <c r="L283" s="17"/>
    </row>
    <row r="284" spans="2:17" x14ac:dyDescent="0.25">
      <c r="B284" s="27" t="s">
        <v>105</v>
      </c>
      <c r="C284" s="28"/>
      <c r="D284" s="28"/>
      <c r="E284" s="29"/>
      <c r="F284" s="28"/>
      <c r="G284" s="28"/>
      <c r="H284" s="28"/>
      <c r="I284" s="30"/>
      <c r="J284" s="31"/>
      <c r="K284" s="33">
        <f>1.96+(2.5/K283)+(2.3/K283^2)+(2.2/K283^3)+(3.7/K283^4)</f>
        <v>2.2697544354762744</v>
      </c>
      <c r="L284" s="17"/>
    </row>
    <row r="285" spans="2:17" x14ac:dyDescent="0.25">
      <c r="B285" s="27" t="s">
        <v>106</v>
      </c>
      <c r="C285" s="28"/>
      <c r="D285" s="28"/>
      <c r="E285" s="29"/>
      <c r="F285" s="28"/>
      <c r="G285" s="28"/>
      <c r="H285" s="28"/>
      <c r="I285" s="30"/>
      <c r="J285" s="31"/>
      <c r="K285" s="48">
        <f>K284*K282</f>
        <v>507532.58523066458</v>
      </c>
      <c r="L285" s="17"/>
    </row>
    <row r="286" spans="2:17" x14ac:dyDescent="0.25">
      <c r="B286" s="34" t="s">
        <v>107</v>
      </c>
      <c r="C286" s="35"/>
      <c r="D286" s="35"/>
      <c r="E286" s="36"/>
      <c r="F286" s="35"/>
      <c r="G286" s="35"/>
      <c r="H286" s="35"/>
      <c r="I286" s="37"/>
      <c r="J286" s="38"/>
      <c r="K286" s="112">
        <f>K284*K282/1000</f>
        <v>507.53258523066461</v>
      </c>
      <c r="L286" s="20"/>
    </row>
    <row r="287" spans="2:17" x14ac:dyDescent="0.25">
      <c r="B287" s="39" t="s">
        <v>110</v>
      </c>
      <c r="K287" s="258">
        <f t="array" ref="K287">IFERROR(INDEX(Database!$BE$4:$BE$11, MATCH(1, (B268&gt;=Database!$BC$4:$BC$11)*(B268&lt;=Database!$BD$4:$BD$11), 0)),0)</f>
        <v>80000</v>
      </c>
    </row>
    <row r="288" spans="2:17" x14ac:dyDescent="0.25">
      <c r="B288" s="8"/>
    </row>
    <row r="289" spans="1:21" x14ac:dyDescent="0.25">
      <c r="B289" s="8"/>
    </row>
    <row r="290" spans="1:21" x14ac:dyDescent="0.25">
      <c r="B290" s="8"/>
    </row>
    <row r="291" spans="1:21" x14ac:dyDescent="0.3">
      <c r="A291" s="130" t="s">
        <v>116</v>
      </c>
      <c r="B291">
        <f>IF(C19="custom",B89,B88)</f>
        <v>120000</v>
      </c>
      <c r="C291" s="43" t="str">
        <f>C268</f>
        <v>g</v>
      </c>
    </row>
    <row r="292" spans="1:21" x14ac:dyDescent="0.3">
      <c r="A292">
        <f>B89</f>
        <v>30000</v>
      </c>
      <c r="B292" s="8">
        <f>B291*1000</f>
        <v>120000000</v>
      </c>
      <c r="C292" s="8" t="s">
        <v>31</v>
      </c>
      <c r="D292" s="8"/>
      <c r="E292" s="8" t="s">
        <v>33</v>
      </c>
      <c r="F292" s="47" cm="1">
        <f t="array" ref="F292">IF(C18="M1",SUM(IFERROR(INDEX(
Database!CB4:CD33,
MATCH(K89:O89,Database!CB4:CB33,0),3),0)),
SUM(IFERROR(INDEX(CHOOSE(
MATCH(C18,Database!A8:A10,0),
Database!BP4:BR21,
Database!BT4:BV21,
Database!CB4:CD33,
Database!BX4:BZ21
),
MATCH(Database!Z26:AI26,INDEX(
CHOOSE(MATCH(C18,Database!A8:A10,0),
Database!BP4:BR21,
Database!BT4:BV21,
Database!CB4:CD33,
Database!BX4:BZ21
),,1),0),3),0)))</f>
        <v>225</v>
      </c>
      <c r="G292" s="8" t="s">
        <v>31</v>
      </c>
      <c r="H292" s="8"/>
      <c r="I292" s="8"/>
      <c r="J292" s="8"/>
      <c r="K292" s="8"/>
      <c r="L292" s="8"/>
    </row>
    <row r="293" spans="1:21" x14ac:dyDescent="0.3">
      <c r="B293" s="8"/>
      <c r="C293" s="8"/>
      <c r="D293" s="8"/>
      <c r="E293" s="8"/>
      <c r="F293" s="127"/>
      <c r="G293" s="8"/>
      <c r="H293" s="8"/>
      <c r="I293" s="8"/>
      <c r="J293" s="8"/>
      <c r="K293" s="8"/>
      <c r="L293" s="8"/>
    </row>
    <row r="294" spans="1:21" ht="15.6" x14ac:dyDescent="0.25">
      <c r="A294">
        <v>1</v>
      </c>
      <c r="B294" s="10" t="s">
        <v>85</v>
      </c>
      <c r="C294" s="10" t="s">
        <v>86</v>
      </c>
      <c r="D294" s="10" t="s">
        <v>87</v>
      </c>
      <c r="E294" s="10" t="s">
        <v>33</v>
      </c>
      <c r="F294" s="10" t="s">
        <v>88</v>
      </c>
      <c r="G294" s="10" t="s">
        <v>89</v>
      </c>
      <c r="H294" s="11" t="s">
        <v>90</v>
      </c>
      <c r="I294" s="10" t="s">
        <v>91</v>
      </c>
      <c r="J294" s="11" t="s">
        <v>92</v>
      </c>
      <c r="K294" s="11" t="s">
        <v>93</v>
      </c>
      <c r="L294" s="10" t="s">
        <v>94</v>
      </c>
    </row>
    <row r="295" spans="1:21" x14ac:dyDescent="0.25">
      <c r="B295" s="12">
        <v>1</v>
      </c>
      <c r="C295" s="12">
        <v>2</v>
      </c>
      <c r="D295" s="12">
        <v>3</v>
      </c>
      <c r="E295" s="12">
        <v>4</v>
      </c>
      <c r="F295" s="12">
        <v>5</v>
      </c>
      <c r="G295" s="12">
        <v>6</v>
      </c>
      <c r="H295" s="12">
        <v>7</v>
      </c>
      <c r="I295" s="12">
        <v>8</v>
      </c>
      <c r="J295" s="12">
        <v>9</v>
      </c>
      <c r="K295" s="12">
        <v>10</v>
      </c>
      <c r="L295" s="12">
        <v>11</v>
      </c>
    </row>
    <row r="296" spans="1:21" x14ac:dyDescent="0.25">
      <c r="B296" s="13" t="s">
        <v>95</v>
      </c>
      <c r="C296" s="14" t="s">
        <v>31</v>
      </c>
      <c r="D296" s="14" t="s">
        <v>96</v>
      </c>
      <c r="E296" s="15">
        <f>F292</f>
        <v>225</v>
      </c>
      <c r="F296" s="14">
        <v>2</v>
      </c>
      <c r="G296" s="14">
        <v>60</v>
      </c>
      <c r="H296" s="14">
        <f t="shared" ref="H296:H303" si="39">E296/F296</f>
        <v>112.5</v>
      </c>
      <c r="I296" s="14">
        <v>1</v>
      </c>
      <c r="J296" s="14">
        <f t="shared" ref="J296:J303" si="40">H296*I296</f>
        <v>112.5</v>
      </c>
      <c r="K296" s="14">
        <f t="shared" ref="K296:K303" si="41">J296^2</f>
        <v>12656.25</v>
      </c>
      <c r="L296" s="14">
        <f t="shared" ref="L296:L303" si="42">J296^4/G296</f>
        <v>2669677.734375</v>
      </c>
    </row>
    <row r="297" spans="1:21" x14ac:dyDescent="0.25">
      <c r="B297" s="16" t="s">
        <v>97</v>
      </c>
      <c r="C297" s="14" t="s">
        <v>31</v>
      </c>
      <c r="D297" s="17" t="s">
        <v>98</v>
      </c>
      <c r="E297" s="18">
        <f>IF(T298&gt;T300,T298,T300/SQRT(2))</f>
        <v>146458.18515876809</v>
      </c>
      <c r="F297" s="17">
        <v>1</v>
      </c>
      <c r="G297" s="17">
        <f>IF(T185&gt;T187,1000,9)</f>
        <v>9</v>
      </c>
      <c r="H297" s="17">
        <f t="shared" si="39"/>
        <v>146458.18515876809</v>
      </c>
      <c r="I297" s="17">
        <v>1</v>
      </c>
      <c r="J297" s="17">
        <f t="shared" si="40"/>
        <v>146458.18515876809</v>
      </c>
      <c r="K297" s="17">
        <f t="shared" si="41"/>
        <v>21449999999.999996</v>
      </c>
      <c r="L297" s="17">
        <f t="shared" si="42"/>
        <v>5.1122499999999984E+19</v>
      </c>
    </row>
    <row r="298" spans="1:21" x14ac:dyDescent="0.25">
      <c r="B298" s="16" t="s">
        <v>99</v>
      </c>
      <c r="C298" s="14" t="s">
        <v>31</v>
      </c>
      <c r="D298" s="17" t="s">
        <v>100</v>
      </c>
      <c r="E298" s="18">
        <f>0.08*P298</f>
        <v>0</v>
      </c>
      <c r="F298" s="17">
        <v>1</v>
      </c>
      <c r="G298" s="17">
        <v>4</v>
      </c>
      <c r="H298" s="17">
        <f t="shared" si="39"/>
        <v>0</v>
      </c>
      <c r="I298" s="17">
        <v>1</v>
      </c>
      <c r="J298" s="17">
        <f t="shared" si="40"/>
        <v>0</v>
      </c>
      <c r="K298" s="17">
        <f t="shared" si="41"/>
        <v>0</v>
      </c>
      <c r="L298" s="17">
        <f t="shared" si="42"/>
        <v>0</v>
      </c>
      <c r="N298" s="303" t="s">
        <v>109</v>
      </c>
      <c r="O298" s="303">
        <f>IF(ISNUMBER(Database!AQ21),Database!AQ21,VALUE(LEFT(Database!AQ21,LEN(Database!AQ21)-1)))</f>
        <v>0</v>
      </c>
      <c r="P298" s="303">
        <f>IFERROR( INDEX(CHOOSE(
    MATCH($C$18,Database!$A$8:$A$11,0),
  Database!$BI$4:$BI$27,
    Database!$BJ$4:$BJ$27,
   Database!$BI$4:$BI$27,
 Database!$BL$4:$BL$27   ),
   MATCH(O298,Database!$BG$4:$BG$27,   0)),  0 )</f>
        <v>0</v>
      </c>
      <c r="Q298" s="303" t="s">
        <v>31</v>
      </c>
      <c r="S298" t="s">
        <v>83</v>
      </c>
      <c r="T298" s="98">
        <f>K35*1000</f>
        <v>4100</v>
      </c>
      <c r="U298" t="s">
        <v>31</v>
      </c>
    </row>
    <row r="299" spans="1:21" x14ac:dyDescent="0.25">
      <c r="B299" s="16" t="s">
        <v>99</v>
      </c>
      <c r="C299" s="14" t="s">
        <v>31</v>
      </c>
      <c r="D299" s="17" t="s">
        <v>100</v>
      </c>
      <c r="E299" s="18">
        <f t="shared" ref="E299:E302" si="43">0.08*P299</f>
        <v>0</v>
      </c>
      <c r="F299" s="17">
        <v>1</v>
      </c>
      <c r="G299" s="17">
        <v>4</v>
      </c>
      <c r="H299" s="17">
        <f t="shared" si="39"/>
        <v>0</v>
      </c>
      <c r="I299" s="17">
        <v>1</v>
      </c>
      <c r="J299" s="17">
        <f t="shared" si="40"/>
        <v>0</v>
      </c>
      <c r="K299" s="17">
        <f t="shared" si="41"/>
        <v>0</v>
      </c>
      <c r="L299" s="17">
        <f t="shared" si="42"/>
        <v>0</v>
      </c>
      <c r="N299" s="303" t="s">
        <v>109</v>
      </c>
      <c r="O299" s="303">
        <f>IF(ISNUMBER(Database!AQ22),Database!AQ22,VALUE(LEFT(Database!AQ22,LEN(Database!AQ22)-1)))</f>
        <v>0</v>
      </c>
      <c r="P299" s="303">
        <f>IFERROR( INDEX(CHOOSE(
    MATCH($C$18,Database!$A$8:$A$11,0),
  Database!$BI$4:$BI$27,
    Database!$BJ$4:$BJ$27,
   Database!$BI$4:$BI$27,
 Database!$BL$4:$BL$27   ),
   MATCH(O299,Database!$BG$4:$BG$27,   0)),  0 )</f>
        <v>0</v>
      </c>
      <c r="Q299" s="303" t="s">
        <v>31</v>
      </c>
      <c r="T299" s="98"/>
    </row>
    <row r="300" spans="1:21" x14ac:dyDescent="0.3">
      <c r="B300" s="16" t="s">
        <v>99</v>
      </c>
      <c r="C300" s="14" t="s">
        <v>31</v>
      </c>
      <c r="D300" s="17" t="s">
        <v>100</v>
      </c>
      <c r="E300" s="18">
        <f t="shared" si="43"/>
        <v>0</v>
      </c>
      <c r="F300" s="17">
        <v>1</v>
      </c>
      <c r="G300" s="17">
        <v>4</v>
      </c>
      <c r="H300" s="17">
        <f t="shared" si="39"/>
        <v>0</v>
      </c>
      <c r="I300" s="17">
        <v>1</v>
      </c>
      <c r="J300" s="17">
        <f t="shared" si="40"/>
        <v>0</v>
      </c>
      <c r="K300" s="17">
        <f t="shared" si="41"/>
        <v>0</v>
      </c>
      <c r="L300" s="17">
        <f t="shared" si="42"/>
        <v>0</v>
      </c>
      <c r="N300" s="303" t="s">
        <v>109</v>
      </c>
      <c r="O300" s="303">
        <f>IF(ISNUMBER(Database!AQ23),Database!AQ23,VALUE(LEFT(Database!AQ23,LEN(Database!AQ23)-1)))</f>
        <v>0</v>
      </c>
      <c r="P300" s="303">
        <f>IFERROR( INDEX(CHOOSE(
    MATCH($C$18,Database!$A$8:$A$11,0),
  Database!$BI$4:$BI$27,
    Database!$BJ$4:$BJ$27,
   Database!$BI$4:$BI$27,
 Database!$BL$4:$BL$27   ),
   MATCH(O300,Database!$BG$4:$BG$27,   0)),  0 )</f>
        <v>0</v>
      </c>
      <c r="Q300" s="303" t="s">
        <v>31</v>
      </c>
      <c r="S300" t="s">
        <v>78</v>
      </c>
      <c r="T300" s="142">
        <f>M60</f>
        <v>207123.15177207979</v>
      </c>
      <c r="U300" t="s">
        <v>31</v>
      </c>
    </row>
    <row r="301" spans="1:21" x14ac:dyDescent="0.25">
      <c r="B301" s="16" t="s">
        <v>99</v>
      </c>
      <c r="C301" s="14" t="s">
        <v>31</v>
      </c>
      <c r="D301" s="17" t="s">
        <v>100</v>
      </c>
      <c r="E301" s="18">
        <f t="shared" si="43"/>
        <v>0</v>
      </c>
      <c r="F301" s="17">
        <v>1</v>
      </c>
      <c r="G301" s="17">
        <v>4</v>
      </c>
      <c r="H301" s="17">
        <f t="shared" si="39"/>
        <v>0</v>
      </c>
      <c r="I301" s="17">
        <v>1</v>
      </c>
      <c r="J301" s="17">
        <f t="shared" si="40"/>
        <v>0</v>
      </c>
      <c r="K301" s="17">
        <f t="shared" si="41"/>
        <v>0</v>
      </c>
      <c r="L301" s="17">
        <f t="shared" si="42"/>
        <v>0</v>
      </c>
      <c r="N301" s="303" t="s">
        <v>109</v>
      </c>
      <c r="O301" s="303">
        <f>IF(ISNUMBER(Database!AQ24),Database!AQ24,VALUE(LEFT(Database!AQ24,LEN(Database!AQ24)-1)))</f>
        <v>0</v>
      </c>
      <c r="P301" s="303">
        <f>IFERROR( INDEX(CHOOSE(
    MATCH($C$18,Database!$A$8:$A$11,0),
  Database!$BI$4:$BI$27,
    Database!$BJ$4:$BJ$27,
   Database!$BI$4:$BI$27,
 Database!$BL$4:$BL$27   ),
   MATCH(O301,Database!$BG$4:$BG$27,   0)),  0 )</f>
        <v>0</v>
      </c>
      <c r="Q301" s="303" t="s">
        <v>31</v>
      </c>
      <c r="T301" s="98"/>
    </row>
    <row r="302" spans="1:21" x14ac:dyDescent="0.25">
      <c r="B302" s="16" t="s">
        <v>99</v>
      </c>
      <c r="C302" s="14" t="s">
        <v>31</v>
      </c>
      <c r="D302" s="17" t="s">
        <v>100</v>
      </c>
      <c r="E302" s="18">
        <f t="shared" si="43"/>
        <v>0</v>
      </c>
      <c r="F302" s="17">
        <v>1</v>
      </c>
      <c r="G302" s="17">
        <v>4</v>
      </c>
      <c r="H302" s="17">
        <f t="shared" ref="H302" si="44">E302/F302</f>
        <v>0</v>
      </c>
      <c r="I302" s="17">
        <v>1</v>
      </c>
      <c r="J302" s="17">
        <f t="shared" ref="J302" si="45">H302*I302</f>
        <v>0</v>
      </c>
      <c r="K302" s="17">
        <f t="shared" ref="K302" si="46">J302^2</f>
        <v>0</v>
      </c>
      <c r="L302" s="17">
        <f t="shared" ref="L302" si="47">J302^4/G302</f>
        <v>0</v>
      </c>
      <c r="N302" s="303" t="s">
        <v>109</v>
      </c>
      <c r="O302" s="303">
        <f>IF(ISNUMBER(Database!AQ25),Database!AQ25,VALUE(LEFT(Database!AQ25,LEN(Database!AQ25)-1)))</f>
        <v>0</v>
      </c>
      <c r="P302" s="303">
        <f>IFERROR( INDEX(CHOOSE(
    MATCH($C$18,Database!$A$8:$A$11,0),
  Database!$BI$4:$BI$27,
    Database!$BJ$4:$BJ$27,
   Database!$BI$4:$BI$27,
 Database!$BL$4:$BL$27   ),
   MATCH(O302,Database!$BG$4:$BG$27,   0)),  0 )</f>
        <v>0</v>
      </c>
      <c r="Q302" s="303" t="s">
        <v>31</v>
      </c>
      <c r="S302" t="s">
        <v>84</v>
      </c>
      <c r="T302" s="144">
        <f>IF(T298&gt;T300,T298,T300)</f>
        <v>207123.15177207979</v>
      </c>
      <c r="U302" t="s">
        <v>31</v>
      </c>
    </row>
    <row r="303" spans="1:21" x14ac:dyDescent="0.25">
      <c r="B303" s="19" t="s">
        <v>101</v>
      </c>
      <c r="C303" s="14" t="s">
        <v>31</v>
      </c>
      <c r="D303" s="20" t="s">
        <v>100</v>
      </c>
      <c r="E303" s="21">
        <f>1/2</f>
        <v>0.5</v>
      </c>
      <c r="F303" s="20">
        <f>SQRT(3)</f>
        <v>1.7320508075688772</v>
      </c>
      <c r="G303" s="20">
        <v>1000</v>
      </c>
      <c r="H303" s="20">
        <f t="shared" si="39"/>
        <v>0.28867513459481292</v>
      </c>
      <c r="I303" s="20">
        <v>1</v>
      </c>
      <c r="J303" s="20">
        <f t="shared" si="40"/>
        <v>0.28867513459481292</v>
      </c>
      <c r="K303" s="20">
        <f t="shared" si="41"/>
        <v>8.3333333333333356E-2</v>
      </c>
      <c r="L303" s="20">
        <f t="shared" si="42"/>
        <v>6.9444444444444482E-6</v>
      </c>
    </row>
    <row r="304" spans="1:21" x14ac:dyDescent="0.25">
      <c r="B304" s="22" t="s">
        <v>102</v>
      </c>
      <c r="C304" s="23"/>
      <c r="D304" s="23"/>
      <c r="E304" s="24"/>
      <c r="F304" s="23"/>
      <c r="G304" s="23"/>
      <c r="H304" s="23"/>
      <c r="I304" s="25"/>
      <c r="J304" s="26"/>
      <c r="K304" s="14">
        <f>SUM(K296:K303)</f>
        <v>21450012656.333328</v>
      </c>
      <c r="L304" s="14">
        <f>SUM(L296:L303)</f>
        <v>5.1122500000002654E+19</v>
      </c>
    </row>
    <row r="305" spans="1:12" x14ac:dyDescent="0.25">
      <c r="B305" s="27" t="s">
        <v>103</v>
      </c>
      <c r="C305" s="28"/>
      <c r="D305" s="28"/>
      <c r="E305" s="29"/>
      <c r="F305" s="28"/>
      <c r="G305" s="28"/>
      <c r="H305" s="28"/>
      <c r="I305" s="30"/>
      <c r="J305" s="31"/>
      <c r="K305" s="17">
        <f>SQRT(K304)</f>
        <v>146458.22836677128</v>
      </c>
      <c r="L305" s="17"/>
    </row>
    <row r="306" spans="1:12" x14ac:dyDescent="0.25">
      <c r="B306" s="27" t="s">
        <v>104</v>
      </c>
      <c r="C306" s="28"/>
      <c r="D306" s="28"/>
      <c r="E306" s="29"/>
      <c r="F306" s="28"/>
      <c r="G306" s="28"/>
      <c r="H306" s="28"/>
      <c r="I306" s="30"/>
      <c r="J306" s="31"/>
      <c r="K306" s="32">
        <f>K305^4/L304</f>
        <v>9.0000106207019623</v>
      </c>
      <c r="L306" s="17"/>
    </row>
    <row r="307" spans="1:12" x14ac:dyDescent="0.25">
      <c r="B307" s="27" t="s">
        <v>105</v>
      </c>
      <c r="C307" s="28"/>
      <c r="D307" s="28"/>
      <c r="E307" s="29"/>
      <c r="F307" s="28"/>
      <c r="G307" s="28"/>
      <c r="H307" s="28"/>
      <c r="I307" s="30"/>
      <c r="J307" s="31"/>
      <c r="K307" s="33">
        <f>1.96+(2.5/K306)+(2.3/K306^2)+(2.2/K306^3)+(3.7/K306^4)</f>
        <v>2.2697542024161774</v>
      </c>
      <c r="L307" s="17"/>
    </row>
    <row r="308" spans="1:12" x14ac:dyDescent="0.25">
      <c r="B308" s="27" t="s">
        <v>106</v>
      </c>
      <c r="C308" s="28"/>
      <c r="D308" s="28"/>
      <c r="E308" s="29"/>
      <c r="F308" s="28"/>
      <c r="G308" s="28"/>
      <c r="H308" s="28"/>
      <c r="I308" s="30"/>
      <c r="J308" s="31"/>
      <c r="K308" s="48">
        <f>K307*K305</f>
        <v>332424.17931390728</v>
      </c>
      <c r="L308" s="17"/>
    </row>
    <row r="309" spans="1:12" x14ac:dyDescent="0.25">
      <c r="B309" s="34" t="s">
        <v>107</v>
      </c>
      <c r="C309" s="35"/>
      <c r="D309" s="35"/>
      <c r="E309" s="36"/>
      <c r="F309" s="35"/>
      <c r="G309" s="35"/>
      <c r="H309" s="35"/>
      <c r="I309" s="37"/>
      <c r="J309" s="38"/>
      <c r="K309" s="112">
        <f>K307*K305/1000</f>
        <v>332.4241793139073</v>
      </c>
      <c r="L309" s="20"/>
    </row>
    <row r="310" spans="1:12" x14ac:dyDescent="0.25">
      <c r="B310" s="39" t="s">
        <v>110</v>
      </c>
      <c r="K310" s="258">
        <f t="array" ref="K310">IFERROR(INDEX(Database!$BE$4:$BE$11, MATCH(1, (B291&gt;=Database!$BC$4:$BC$11)*(B291&lt;=Database!$BD$4:$BD$11), 0)),0)</f>
        <v>80000</v>
      </c>
    </row>
    <row r="311" spans="1:12" ht="13.2" customHeight="1" x14ac:dyDescent="0.25">
      <c r="B311" s="8"/>
    </row>
    <row r="312" spans="1:12" x14ac:dyDescent="0.25">
      <c r="B312" s="8"/>
    </row>
    <row r="313" spans="1:12" x14ac:dyDescent="0.25">
      <c r="B313" s="8"/>
    </row>
    <row r="314" spans="1:12" x14ac:dyDescent="0.3">
      <c r="A314" s="130" t="s">
        <v>117</v>
      </c>
      <c r="B314">
        <f>IF(C19="custom",B93,B92)</f>
        <v>140000</v>
      </c>
      <c r="C314" s="43" t="str">
        <f>C291</f>
        <v>g</v>
      </c>
    </row>
    <row r="315" spans="1:12" x14ac:dyDescent="0.3">
      <c r="A315">
        <f>B93</f>
        <v>35000</v>
      </c>
      <c r="B315" s="8">
        <f>B314*1000</f>
        <v>140000000</v>
      </c>
      <c r="C315" s="8" t="s">
        <v>31</v>
      </c>
      <c r="D315" s="8"/>
      <c r="E315" s="8" t="s">
        <v>33</v>
      </c>
      <c r="F315" s="47" cm="1">
        <f t="array" ref="F315">IF(C18="M1",SUM(IFERROR(INDEX(
Database!CB4:CD33,
MATCH(K93:O93,Database!CB4:CB33,0),3),0)),
SUM(IFERROR(INDEX(CHOOSE(
MATCH(C18,Database!A8:A10,0),
Database!BP4:BR21,
Database!BT4:BV21,
Database!CB4:CD33,
Database!BX4:BZ21
),
MATCH(Database!Z27:AI27,INDEX(
CHOOSE(MATCH(C18,Database!A8:A10,0),
Database!BP4:BR21,
Database!BT4:BV21,
Database!CB4:CD33,
Database!BX4:BZ21
),,1),0),3),0)))</f>
        <v>225</v>
      </c>
      <c r="G315" s="8" t="s">
        <v>31</v>
      </c>
      <c r="H315" s="8"/>
      <c r="I315" s="8"/>
      <c r="J315" s="8"/>
      <c r="K315" s="8"/>
      <c r="L315" s="8"/>
    </row>
    <row r="316" spans="1:12" x14ac:dyDescent="0.3">
      <c r="B316" s="8"/>
      <c r="C316" s="8"/>
      <c r="D316" s="8"/>
      <c r="E316" s="8"/>
      <c r="F316" s="127"/>
      <c r="G316" s="8"/>
      <c r="H316" s="8"/>
      <c r="I316" s="8"/>
      <c r="J316" s="8"/>
      <c r="K316" s="8"/>
      <c r="L316" s="8"/>
    </row>
    <row r="317" spans="1:12" ht="15.6" x14ac:dyDescent="0.25">
      <c r="A317">
        <v>1</v>
      </c>
      <c r="B317" s="10" t="s">
        <v>85</v>
      </c>
      <c r="C317" s="10" t="s">
        <v>86</v>
      </c>
      <c r="D317" s="10" t="s">
        <v>87</v>
      </c>
      <c r="E317" s="10" t="s">
        <v>33</v>
      </c>
      <c r="F317" s="10" t="s">
        <v>88</v>
      </c>
      <c r="G317" s="10" t="s">
        <v>89</v>
      </c>
      <c r="H317" s="11" t="s">
        <v>90</v>
      </c>
      <c r="I317" s="10" t="s">
        <v>91</v>
      </c>
      <c r="J317" s="11" t="s">
        <v>92</v>
      </c>
      <c r="K317" s="11" t="s">
        <v>93</v>
      </c>
      <c r="L317" s="10" t="s">
        <v>94</v>
      </c>
    </row>
    <row r="318" spans="1:12" x14ac:dyDescent="0.25">
      <c r="B318" s="12">
        <v>1</v>
      </c>
      <c r="C318" s="12">
        <v>2</v>
      </c>
      <c r="D318" s="12">
        <v>3</v>
      </c>
      <c r="E318" s="12">
        <v>4</v>
      </c>
      <c r="F318" s="12">
        <v>5</v>
      </c>
      <c r="G318" s="12">
        <v>6</v>
      </c>
      <c r="H318" s="12">
        <v>7</v>
      </c>
      <c r="I318" s="12">
        <v>8</v>
      </c>
      <c r="J318" s="12">
        <v>9</v>
      </c>
      <c r="K318" s="12">
        <v>10</v>
      </c>
      <c r="L318" s="12">
        <v>11</v>
      </c>
    </row>
    <row r="319" spans="1:12" x14ac:dyDescent="0.25">
      <c r="B319" s="13" t="s">
        <v>95</v>
      </c>
      <c r="C319" s="14" t="s">
        <v>31</v>
      </c>
      <c r="D319" s="14" t="s">
        <v>96</v>
      </c>
      <c r="E319" s="15">
        <f>F315</f>
        <v>225</v>
      </c>
      <c r="F319" s="14">
        <v>2</v>
      </c>
      <c r="G319" s="14">
        <v>60</v>
      </c>
      <c r="H319" s="14">
        <f t="shared" ref="H319:H327" si="48">E319/F319</f>
        <v>112.5</v>
      </c>
      <c r="I319" s="14">
        <v>1</v>
      </c>
      <c r="J319" s="14">
        <f t="shared" ref="J319:J327" si="49">H319*I319</f>
        <v>112.5</v>
      </c>
      <c r="K319" s="14">
        <f t="shared" ref="K319:K327" si="50">J319^2</f>
        <v>12656.25</v>
      </c>
      <c r="L319" s="14">
        <f t="shared" ref="L319:L327" si="51">J319^4/G319</f>
        <v>2669677.734375</v>
      </c>
    </row>
    <row r="320" spans="1:12" x14ac:dyDescent="0.25">
      <c r="B320" s="16" t="s">
        <v>97</v>
      </c>
      <c r="C320" s="14" t="s">
        <v>31</v>
      </c>
      <c r="D320" s="17" t="s">
        <v>98</v>
      </c>
      <c r="E320" s="18">
        <f>IF(T298&gt;T300,T298,T300/SQRT(2))</f>
        <v>146458.18515876809</v>
      </c>
      <c r="F320" s="17">
        <v>1</v>
      </c>
      <c r="G320" s="17">
        <f>IF(T185&gt;T187,1000,9)</f>
        <v>9</v>
      </c>
      <c r="H320" s="17">
        <f t="shared" si="48"/>
        <v>146458.18515876809</v>
      </c>
      <c r="I320" s="17">
        <v>1</v>
      </c>
      <c r="J320" s="17">
        <f t="shared" si="49"/>
        <v>146458.18515876809</v>
      </c>
      <c r="K320" s="17">
        <f t="shared" si="50"/>
        <v>21449999999.999996</v>
      </c>
      <c r="L320" s="17">
        <f t="shared" si="51"/>
        <v>5.1122499999999984E+19</v>
      </c>
    </row>
    <row r="321" spans="2:20" x14ac:dyDescent="0.25">
      <c r="B321" s="16" t="s">
        <v>99</v>
      </c>
      <c r="C321" s="14" t="s">
        <v>31</v>
      </c>
      <c r="D321" s="17" t="s">
        <v>100</v>
      </c>
      <c r="E321" s="18">
        <f>0.08*P321</f>
        <v>0</v>
      </c>
      <c r="F321" s="17">
        <v>1</v>
      </c>
      <c r="G321" s="17">
        <v>4</v>
      </c>
      <c r="H321" s="17">
        <f t="shared" si="48"/>
        <v>0</v>
      </c>
      <c r="I321" s="17">
        <v>1</v>
      </c>
      <c r="J321" s="17">
        <f t="shared" si="49"/>
        <v>0</v>
      </c>
      <c r="K321" s="17">
        <f t="shared" si="50"/>
        <v>0</v>
      </c>
      <c r="L321" s="17">
        <f t="shared" si="51"/>
        <v>0</v>
      </c>
      <c r="N321" s="303" t="s">
        <v>109</v>
      </c>
      <c r="O321" s="303">
        <f>IF(ISNUMBER(Database!AR21),Database!AR21,VALUE(LEFT(Database!AR21,LEN(Database!AR21)-1)))</f>
        <v>0</v>
      </c>
      <c r="P321" s="303">
        <f>IFERROR( INDEX(CHOOSE(
    MATCH($C$18,Database!$A$8:$A$11,0),
  Database!$BI$4:$BI$27,
    Database!$BJ$4:$BJ$27,
   Database!$BI$4:$BI$27,
 Database!$BL$4:$BL$27   ),
   MATCH(O321,Database!$BG$4:$BG$27,   0)),  0 )</f>
        <v>0</v>
      </c>
      <c r="Q321" s="303" t="s">
        <v>31</v>
      </c>
      <c r="S321" s="43" t="s">
        <v>36</v>
      </c>
      <c r="T321" s="100">
        <f>K35*1000</f>
        <v>4100</v>
      </c>
    </row>
    <row r="322" spans="2:20" x14ac:dyDescent="0.25">
      <c r="B322" s="16" t="s">
        <v>99</v>
      </c>
      <c r="C322" s="14" t="s">
        <v>31</v>
      </c>
      <c r="D322" s="17" t="s">
        <v>100</v>
      </c>
      <c r="E322" s="18">
        <f t="shared" ref="E322:E326" si="52">0.08*P322</f>
        <v>0</v>
      </c>
      <c r="F322" s="17">
        <v>1</v>
      </c>
      <c r="G322" s="17">
        <v>4</v>
      </c>
      <c r="H322" s="17">
        <f>E322/F322</f>
        <v>0</v>
      </c>
      <c r="I322" s="17">
        <v>1</v>
      </c>
      <c r="J322" s="17">
        <f>H322*I322</f>
        <v>0</v>
      </c>
      <c r="K322" s="17">
        <f>J322^2</f>
        <v>0</v>
      </c>
      <c r="L322" s="17">
        <f>J322^4/G322</f>
        <v>0</v>
      </c>
      <c r="N322" s="303" t="s">
        <v>109</v>
      </c>
      <c r="O322" s="303">
        <f>IF(ISNUMBER(Database!AR22),Database!AR22,VALUE(LEFT(Database!AR22,LEN(Database!AR22)-1)))</f>
        <v>0</v>
      </c>
      <c r="P322" s="303">
        <f>IFERROR( INDEX(CHOOSE(
    MATCH($C$18,Database!$A$8:$A$11,0),
  Database!$BI$4:$BI$27,
    Database!$BJ$4:$BJ$27,
   Database!$BI$4:$BI$27,
 Database!$BL$4:$BL$27   ),
   MATCH(O322,Database!$BG$4:$BG$27,   0)),  0 )</f>
        <v>0</v>
      </c>
      <c r="Q322" s="303" t="s">
        <v>31</v>
      </c>
    </row>
    <row r="323" spans="2:20" x14ac:dyDescent="0.25">
      <c r="B323" s="16" t="s">
        <v>99</v>
      </c>
      <c r="C323" s="14" t="s">
        <v>31</v>
      </c>
      <c r="D323" s="17" t="s">
        <v>100</v>
      </c>
      <c r="E323" s="18">
        <f t="shared" si="52"/>
        <v>0</v>
      </c>
      <c r="F323" s="17">
        <v>1</v>
      </c>
      <c r="G323" s="17">
        <v>4</v>
      </c>
      <c r="H323" s="17">
        <f>E323/F323</f>
        <v>0</v>
      </c>
      <c r="I323" s="17">
        <v>1</v>
      </c>
      <c r="J323" s="17">
        <f>H323*I323</f>
        <v>0</v>
      </c>
      <c r="K323" s="17">
        <f>J323^2</f>
        <v>0</v>
      </c>
      <c r="L323" s="17">
        <f>J323^4/G323</f>
        <v>0</v>
      </c>
      <c r="N323" s="303" t="s">
        <v>109</v>
      </c>
      <c r="O323" s="303">
        <f>IF(ISNUMBER(Database!AR23),Database!AR23,VALUE(LEFT(Database!AR23,LEN(Database!AR23)-1)))</f>
        <v>0</v>
      </c>
      <c r="P323" s="303">
        <f>IFERROR( INDEX(CHOOSE(
    MATCH($C$18,Database!$A$8:$A$11,0),
  Database!$BI$4:$BI$27,
    Database!$BJ$4:$BJ$27,
   Database!$BI$4:$BI$27,
 Database!$BL$4:$BL$27   ),
   MATCH(O323,Database!$BG$4:$BG$27,   0)),  0 )</f>
        <v>0</v>
      </c>
      <c r="Q323" s="303" t="s">
        <v>31</v>
      </c>
      <c r="S323" s="43" t="s">
        <v>207</v>
      </c>
      <c r="T323" s="99">
        <f>M59*1000</f>
        <v>207123.15177207979</v>
      </c>
    </row>
    <row r="324" spans="2:20" x14ac:dyDescent="0.25">
      <c r="B324" s="16" t="s">
        <v>99</v>
      </c>
      <c r="C324" s="14" t="s">
        <v>31</v>
      </c>
      <c r="D324" s="17" t="s">
        <v>100</v>
      </c>
      <c r="E324" s="18">
        <f t="shared" si="52"/>
        <v>0</v>
      </c>
      <c r="F324" s="17">
        <v>1</v>
      </c>
      <c r="G324" s="17">
        <v>4</v>
      </c>
      <c r="H324" s="17">
        <f>E324/F324</f>
        <v>0</v>
      </c>
      <c r="I324" s="17">
        <v>1</v>
      </c>
      <c r="J324" s="17">
        <f>H324*I324</f>
        <v>0</v>
      </c>
      <c r="K324" s="17">
        <f>J324^2</f>
        <v>0</v>
      </c>
      <c r="L324" s="17">
        <f>J324^4/G324</f>
        <v>0</v>
      </c>
      <c r="N324" s="303" t="s">
        <v>109</v>
      </c>
      <c r="O324" s="303">
        <f>IF(ISNUMBER(Database!AR24),Database!AR24,VALUE(LEFT(Database!AR24,LEN(Database!AR24)-1)))</f>
        <v>0</v>
      </c>
      <c r="P324" s="303">
        <f>IFERROR( INDEX(CHOOSE(
    MATCH($C$18,Database!$A$8:$A$11,0),
  Database!$BI$4:$BI$27,
    Database!$BJ$4:$BJ$27,
   Database!$BI$4:$BI$27,
 Database!$BL$4:$BL$27   ),
   MATCH(O324,Database!$BG$4:$BG$27,   0)),  0 )</f>
        <v>0</v>
      </c>
      <c r="Q324" s="303" t="s">
        <v>31</v>
      </c>
    </row>
    <row r="325" spans="2:20" x14ac:dyDescent="0.25">
      <c r="B325" s="16" t="s">
        <v>99</v>
      </c>
      <c r="C325" s="14" t="s">
        <v>31</v>
      </c>
      <c r="D325" s="17" t="s">
        <v>100</v>
      </c>
      <c r="E325" s="18">
        <f t="shared" si="52"/>
        <v>0</v>
      </c>
      <c r="F325" s="17">
        <v>1</v>
      </c>
      <c r="G325" s="17">
        <v>4</v>
      </c>
      <c r="H325" s="17">
        <f>E325/F325</f>
        <v>0</v>
      </c>
      <c r="I325" s="17">
        <v>1</v>
      </c>
      <c r="J325" s="17">
        <f>H325*I325</f>
        <v>0</v>
      </c>
      <c r="K325" s="17">
        <f>J325^2</f>
        <v>0</v>
      </c>
      <c r="L325" s="17">
        <f>J325^4/G325</f>
        <v>0</v>
      </c>
      <c r="N325" s="303" t="s">
        <v>109</v>
      </c>
      <c r="O325" s="303">
        <f>IF(ISNUMBER(Database!AR25),Database!AR25,VALUE(LEFT(Database!AR25,LEN(Database!AR25)-1)))</f>
        <v>0</v>
      </c>
      <c r="P325" s="303">
        <f>IFERROR( INDEX(CHOOSE(
    MATCH($C$18,Database!$A$8:$A$11,0),
  Database!$BI$4:$BI$27,
    Database!$BJ$4:$BJ$27,
   Database!$BI$4:$BI$27,
 Database!$BL$4:$BL$27   ),
   MATCH(O325,Database!$BG$4:$BG$27,   0)),  0 )</f>
        <v>0</v>
      </c>
      <c r="Q325" s="303" t="s">
        <v>31</v>
      </c>
      <c r="S325" s="43" t="s">
        <v>84</v>
      </c>
      <c r="T325">
        <f>IF(T321&gt;T323,T321,T323)</f>
        <v>207123.15177207979</v>
      </c>
    </row>
    <row r="326" spans="2:20" x14ac:dyDescent="0.25">
      <c r="B326" s="16" t="s">
        <v>99</v>
      </c>
      <c r="C326" s="14" t="s">
        <v>31</v>
      </c>
      <c r="D326" s="17" t="s">
        <v>100</v>
      </c>
      <c r="E326" s="18">
        <f t="shared" si="52"/>
        <v>0</v>
      </c>
      <c r="F326" s="17">
        <v>1</v>
      </c>
      <c r="G326" s="17">
        <v>4</v>
      </c>
      <c r="H326" s="17">
        <f>E326/F326</f>
        <v>0</v>
      </c>
      <c r="I326" s="17">
        <v>1</v>
      </c>
      <c r="J326" s="17">
        <f>H326*I326</f>
        <v>0</v>
      </c>
      <c r="K326" s="17">
        <f>J326^2</f>
        <v>0</v>
      </c>
      <c r="L326" s="17">
        <f>J326^4/G326</f>
        <v>0</v>
      </c>
    </row>
    <row r="327" spans="2:20" x14ac:dyDescent="0.25">
      <c r="B327" s="19" t="s">
        <v>101</v>
      </c>
      <c r="C327" s="14" t="s">
        <v>31</v>
      </c>
      <c r="D327" s="20" t="s">
        <v>100</v>
      </c>
      <c r="E327" s="21">
        <f>1/2</f>
        <v>0.5</v>
      </c>
      <c r="F327" s="20">
        <f>SQRT(3)</f>
        <v>1.7320508075688772</v>
      </c>
      <c r="G327" s="20">
        <v>1000</v>
      </c>
      <c r="H327" s="20">
        <f t="shared" si="48"/>
        <v>0.28867513459481292</v>
      </c>
      <c r="I327" s="20">
        <v>1</v>
      </c>
      <c r="J327" s="20">
        <f t="shared" si="49"/>
        <v>0.28867513459481292</v>
      </c>
      <c r="K327" s="20">
        <f t="shared" si="50"/>
        <v>8.3333333333333356E-2</v>
      </c>
      <c r="L327" s="20">
        <f t="shared" si="51"/>
        <v>6.9444444444444482E-6</v>
      </c>
    </row>
    <row r="328" spans="2:20" x14ac:dyDescent="0.25">
      <c r="B328" s="22" t="s">
        <v>102</v>
      </c>
      <c r="C328" s="23"/>
      <c r="D328" s="23"/>
      <c r="E328" s="24"/>
      <c r="F328" s="23"/>
      <c r="G328" s="23"/>
      <c r="H328" s="23"/>
      <c r="I328" s="25"/>
      <c r="J328" s="26"/>
      <c r="K328" s="14">
        <f>SUM(K319:K327)</f>
        <v>21450012656.333328</v>
      </c>
      <c r="L328" s="14">
        <f>SUM(L319:L327)</f>
        <v>5.1122500000002654E+19</v>
      </c>
    </row>
    <row r="329" spans="2:20" x14ac:dyDescent="0.25">
      <c r="B329" s="27" t="s">
        <v>103</v>
      </c>
      <c r="C329" s="28"/>
      <c r="D329" s="28"/>
      <c r="E329" s="29"/>
      <c r="F329" s="28"/>
      <c r="G329" s="28"/>
      <c r="H329" s="28"/>
      <c r="I329" s="30"/>
      <c r="J329" s="31"/>
      <c r="K329" s="17">
        <f>SQRT(K328)</f>
        <v>146458.22836677128</v>
      </c>
      <c r="L329" s="17"/>
    </row>
    <row r="330" spans="2:20" x14ac:dyDescent="0.25">
      <c r="B330" s="27" t="s">
        <v>104</v>
      </c>
      <c r="C330" s="28"/>
      <c r="D330" s="28"/>
      <c r="E330" s="29"/>
      <c r="F330" s="28"/>
      <c r="G330" s="28"/>
      <c r="H330" s="28"/>
      <c r="I330" s="30"/>
      <c r="J330" s="31"/>
      <c r="K330" s="32">
        <f>K329^4/L328</f>
        <v>9.0000106207019623</v>
      </c>
      <c r="L330" s="17"/>
    </row>
    <row r="331" spans="2:20" x14ac:dyDescent="0.25">
      <c r="B331" s="27" t="s">
        <v>105</v>
      </c>
      <c r="C331" s="28"/>
      <c r="D331" s="28"/>
      <c r="E331" s="29"/>
      <c r="F331" s="28"/>
      <c r="G331" s="28"/>
      <c r="H331" s="28"/>
      <c r="I331" s="30"/>
      <c r="J331" s="31"/>
      <c r="K331" s="33">
        <f>1.96+(2.5/K330)+(2.3/K330^2)+(2.2/K330^3)+(3.7/K330^4)</f>
        <v>2.2697542024161774</v>
      </c>
      <c r="L331" s="17"/>
    </row>
    <row r="332" spans="2:20" x14ac:dyDescent="0.25">
      <c r="B332" s="27" t="s">
        <v>106</v>
      </c>
      <c r="C332" s="28"/>
      <c r="D332" s="28"/>
      <c r="E332" s="29"/>
      <c r="F332" s="28"/>
      <c r="G332" s="28"/>
      <c r="H332" s="28"/>
      <c r="I332" s="30"/>
      <c r="J332" s="31"/>
      <c r="K332" s="48">
        <f>K331*K329</f>
        <v>332424.17931390728</v>
      </c>
      <c r="L332" s="17"/>
    </row>
    <row r="333" spans="2:20" x14ac:dyDescent="0.25">
      <c r="B333" s="34" t="s">
        <v>107</v>
      </c>
      <c r="C333" s="35"/>
      <c r="D333" s="35"/>
      <c r="E333" s="36"/>
      <c r="F333" s="35"/>
      <c r="G333" s="35"/>
      <c r="H333" s="35"/>
      <c r="I333" s="37"/>
      <c r="J333" s="38"/>
      <c r="K333" s="21">
        <f>K331*K329/1000</f>
        <v>332.4241793139073</v>
      </c>
      <c r="L333" s="20"/>
    </row>
    <row r="334" spans="2:20" x14ac:dyDescent="0.25">
      <c r="B334" s="39" t="s">
        <v>110</v>
      </c>
      <c r="K334" s="258">
        <f t="array" ref="K334">IFERROR(INDEX(Database!$BE$4:$BE$11, MATCH(1, (B314&gt;=Database!$BC$4:$BC$11)*(B314&lt;=Database!$BD$4:$BD$11), 0)),0)</f>
        <v>80000</v>
      </c>
    </row>
    <row r="335" spans="2:20" x14ac:dyDescent="0.25">
      <c r="B335" s="8"/>
    </row>
    <row r="336" spans="2:20" x14ac:dyDescent="0.25">
      <c r="B336" s="8"/>
    </row>
    <row r="337" spans="1:17" x14ac:dyDescent="0.3">
      <c r="A337" s="130" t="s">
        <v>118</v>
      </c>
      <c r="B337">
        <f>IF(C19="custom",B97,B96)</f>
        <v>160000</v>
      </c>
      <c r="C337" s="43" t="str">
        <f>C314</f>
        <v>g</v>
      </c>
    </row>
    <row r="338" spans="1:17" x14ac:dyDescent="0.3">
      <c r="B338" s="8">
        <f>B337*1000</f>
        <v>160000000</v>
      </c>
      <c r="C338" s="8" t="s">
        <v>31</v>
      </c>
      <c r="D338" s="8"/>
      <c r="E338" s="8" t="s">
        <v>33</v>
      </c>
      <c r="F338" s="47" cm="1">
        <f t="array" ref="F338">IF(C18="M1",SUM(IFERROR(INDEX(
Database!CB4:CD33,
MATCH(K97:O97,Database!CB4:CB33,0),3),0)),
SUM(IFERROR(INDEX(CHOOSE(
MATCH(C18,Database!A8:A10,0),
Database!BP4:BR21,
Database!BT4:BV21,
Database!CB4:CD33,
Database!BX4:BZ21
),
MATCH(Database!Z28:AI28,INDEX(
CHOOSE(MATCH(C18,Database!A8:A10,0),
Database!BP4:BR21,
Database!BT4:BV21,
Database!CB4:CD33,
Database!BX4:BZ21
),,1),0),3),0)))</f>
        <v>225</v>
      </c>
      <c r="G338" s="8" t="s">
        <v>31</v>
      </c>
      <c r="H338" s="8"/>
      <c r="I338" s="8"/>
      <c r="J338" s="8"/>
      <c r="K338" s="8"/>
      <c r="L338" s="8"/>
    </row>
    <row r="339" spans="1:17" x14ac:dyDescent="0.3">
      <c r="B339" s="8"/>
      <c r="C339" s="8"/>
      <c r="D339" s="8"/>
      <c r="E339" s="8"/>
      <c r="F339" s="127"/>
      <c r="G339" s="8"/>
      <c r="H339" s="8"/>
      <c r="I339" s="8"/>
      <c r="J339" s="8"/>
      <c r="K339" s="8"/>
      <c r="L339" s="8"/>
    </row>
    <row r="340" spans="1:17" ht="15.6" x14ac:dyDescent="0.25">
      <c r="A340">
        <v>1</v>
      </c>
      <c r="B340" s="10" t="s">
        <v>85</v>
      </c>
      <c r="C340" s="10" t="s">
        <v>86</v>
      </c>
      <c r="D340" s="10" t="s">
        <v>87</v>
      </c>
      <c r="E340" s="10" t="s">
        <v>33</v>
      </c>
      <c r="F340" s="10" t="s">
        <v>88</v>
      </c>
      <c r="G340" s="10" t="s">
        <v>89</v>
      </c>
      <c r="H340" s="11" t="s">
        <v>90</v>
      </c>
      <c r="I340" s="10" t="s">
        <v>91</v>
      </c>
      <c r="J340" s="11" t="s">
        <v>92</v>
      </c>
      <c r="K340" s="11" t="s">
        <v>93</v>
      </c>
      <c r="L340" s="10" t="s">
        <v>94</v>
      </c>
    </row>
    <row r="341" spans="1:17" x14ac:dyDescent="0.25">
      <c r="B341" s="12">
        <v>1</v>
      </c>
      <c r="C341" s="12">
        <v>2</v>
      </c>
      <c r="D341" s="12">
        <v>3</v>
      </c>
      <c r="E341" s="12">
        <v>4</v>
      </c>
      <c r="F341" s="12">
        <v>5</v>
      </c>
      <c r="G341" s="12">
        <v>6</v>
      </c>
      <c r="H341" s="12">
        <v>7</v>
      </c>
      <c r="I341" s="12">
        <v>8</v>
      </c>
      <c r="J341" s="12">
        <v>9</v>
      </c>
      <c r="K341" s="12">
        <v>10</v>
      </c>
      <c r="L341" s="12">
        <v>11</v>
      </c>
    </row>
    <row r="342" spans="1:17" x14ac:dyDescent="0.25">
      <c r="B342" s="13" t="s">
        <v>95</v>
      </c>
      <c r="C342" s="14" t="s">
        <v>31</v>
      </c>
      <c r="D342" s="14" t="s">
        <v>96</v>
      </c>
      <c r="E342" s="15">
        <f>F338</f>
        <v>225</v>
      </c>
      <c r="F342" s="14">
        <v>2</v>
      </c>
      <c r="G342" s="14">
        <v>60</v>
      </c>
      <c r="H342" s="14">
        <f t="shared" ref="H342:H350" si="53">E342/F342</f>
        <v>112.5</v>
      </c>
      <c r="I342" s="14">
        <v>1</v>
      </c>
      <c r="J342" s="14">
        <f t="shared" ref="J342:J350" si="54">H342*I342</f>
        <v>112.5</v>
      </c>
      <c r="K342" s="14">
        <f t="shared" ref="K342:K350" si="55">J342^2</f>
        <v>12656.25</v>
      </c>
      <c r="L342" s="14">
        <f t="shared" ref="L342:L350" si="56">J342^4/G342</f>
        <v>2669677.734375</v>
      </c>
    </row>
    <row r="343" spans="1:17" x14ac:dyDescent="0.25">
      <c r="B343" s="16" t="s">
        <v>97</v>
      </c>
      <c r="C343" s="14" t="s">
        <v>31</v>
      </c>
      <c r="D343" s="17" t="s">
        <v>98</v>
      </c>
      <c r="E343" s="18">
        <f>IF(T298&gt;T300,T298,T300/SQRT(2))</f>
        <v>146458.18515876809</v>
      </c>
      <c r="F343" s="17">
        <v>1</v>
      </c>
      <c r="G343" s="17">
        <f>IF(T185&gt;T187,1000,9)</f>
        <v>9</v>
      </c>
      <c r="H343" s="17">
        <f t="shared" si="53"/>
        <v>146458.18515876809</v>
      </c>
      <c r="I343" s="17">
        <v>1</v>
      </c>
      <c r="J343" s="17">
        <f t="shared" si="54"/>
        <v>146458.18515876809</v>
      </c>
      <c r="K343" s="17">
        <f t="shared" si="55"/>
        <v>21449999999.999996</v>
      </c>
      <c r="L343" s="17">
        <f t="shared" si="56"/>
        <v>5.1122499999999984E+19</v>
      </c>
    </row>
    <row r="344" spans="1:17" x14ac:dyDescent="0.25">
      <c r="B344" s="16" t="s">
        <v>99</v>
      </c>
      <c r="C344" s="14" t="s">
        <v>31</v>
      </c>
      <c r="D344" s="17" t="s">
        <v>100</v>
      </c>
      <c r="E344" s="18">
        <f>0.08*P344</f>
        <v>0</v>
      </c>
      <c r="F344" s="17">
        <v>1</v>
      </c>
      <c r="G344" s="17">
        <v>4</v>
      </c>
      <c r="H344" s="17">
        <f t="shared" si="53"/>
        <v>0</v>
      </c>
      <c r="I344" s="17">
        <v>1</v>
      </c>
      <c r="J344" s="17">
        <f t="shared" si="54"/>
        <v>0</v>
      </c>
      <c r="K344" s="17">
        <f t="shared" si="55"/>
        <v>0</v>
      </c>
      <c r="L344" s="17">
        <f t="shared" si="56"/>
        <v>0</v>
      </c>
      <c r="N344" s="303" t="s">
        <v>109</v>
      </c>
      <c r="O344" s="303" t="e">
        <f>IF(ISNUMBER(Database!AS21),Database!AS21,VALUE(LEFT(Database!AS21,LEN(Database!AS21)-1)))</f>
        <v>#N/A</v>
      </c>
      <c r="P344" s="303">
        <f>IFERROR( INDEX(CHOOSE(
    MATCH($C$18,Database!$A$8:$A$11,0),
  Database!$BI$4:$BI$27,
    Database!$BJ$4:$BJ$27,
   Database!$BI$4:$BI$27,
 Database!$BL$4:$BL$27   ),
   MATCH(O344,Database!$BG$4:$BG$27,   0)),  0 )</f>
        <v>0</v>
      </c>
      <c r="Q344" s="303" t="s">
        <v>31</v>
      </c>
    </row>
    <row r="345" spans="1:17" x14ac:dyDescent="0.25">
      <c r="B345" s="16" t="s">
        <v>99</v>
      </c>
      <c r="C345" s="14" t="s">
        <v>31</v>
      </c>
      <c r="D345" s="17" t="s">
        <v>100</v>
      </c>
      <c r="E345" s="18">
        <f t="shared" ref="E345:E349" si="57">0.08*P345</f>
        <v>0</v>
      </c>
      <c r="F345" s="17">
        <v>1</v>
      </c>
      <c r="G345" s="17">
        <v>4</v>
      </c>
      <c r="H345" s="17">
        <f>E345/F345</f>
        <v>0</v>
      </c>
      <c r="I345" s="17">
        <v>1</v>
      </c>
      <c r="J345" s="17">
        <f>H345*I345</f>
        <v>0</v>
      </c>
      <c r="K345" s="17">
        <f>J345^2</f>
        <v>0</v>
      </c>
      <c r="L345" s="17">
        <f>J345^4/G345</f>
        <v>0</v>
      </c>
      <c r="N345" s="303" t="s">
        <v>109</v>
      </c>
      <c r="O345" s="303" t="e">
        <f>IF(ISNUMBER(Database!AS22),Database!AS22,VALUE(LEFT(Database!AS22,LEN(Database!AS22)-1)))</f>
        <v>#N/A</v>
      </c>
      <c r="P345" s="303">
        <f>IFERROR( INDEX(CHOOSE(
    MATCH($C$18,Database!$A$8:$A$11,0),
  Database!$BI$4:$BI$27,
    Database!$BJ$4:$BJ$27,
   Database!$BI$4:$BI$27,
 Database!$BL$4:$BL$27   ),
   MATCH(O345,Database!$BG$4:$BG$27,   0)),  0 )</f>
        <v>0</v>
      </c>
      <c r="Q345" s="303" t="s">
        <v>31</v>
      </c>
    </row>
    <row r="346" spans="1:17" x14ac:dyDescent="0.25">
      <c r="B346" s="16" t="s">
        <v>99</v>
      </c>
      <c r="C346" s="14" t="s">
        <v>31</v>
      </c>
      <c r="D346" s="17" t="s">
        <v>100</v>
      </c>
      <c r="E346" s="18">
        <f t="shared" si="57"/>
        <v>0</v>
      </c>
      <c r="F346" s="17">
        <v>1</v>
      </c>
      <c r="G346" s="17">
        <v>4</v>
      </c>
      <c r="H346" s="17">
        <f>E346/F346</f>
        <v>0</v>
      </c>
      <c r="I346" s="17">
        <v>1</v>
      </c>
      <c r="J346" s="17">
        <f>H346*I346</f>
        <v>0</v>
      </c>
      <c r="K346" s="17">
        <f>J346^2</f>
        <v>0</v>
      </c>
      <c r="L346" s="17">
        <f>J346^4/G346</f>
        <v>0</v>
      </c>
      <c r="N346" s="303" t="s">
        <v>109</v>
      </c>
      <c r="O346" s="303" t="e">
        <f>IF(ISNUMBER(Database!AS23),Database!AS23,VALUE(LEFT(Database!AS23,LEN(Database!AS23)-1)))</f>
        <v>#N/A</v>
      </c>
      <c r="P346" s="303">
        <f>IFERROR( INDEX(CHOOSE(
    MATCH($C$18,Database!$A$8:$A$11,0),
  Database!$BI$4:$BI$27,
    Database!$BJ$4:$BJ$27,
   Database!$BI$4:$BI$27,
 Database!$BL$4:$BL$27   ),
   MATCH(O346,Database!$BG$4:$BG$27,   0)),  0 )</f>
        <v>0</v>
      </c>
      <c r="Q346" s="303" t="s">
        <v>31</v>
      </c>
    </row>
    <row r="347" spans="1:17" x14ac:dyDescent="0.25">
      <c r="B347" s="16" t="s">
        <v>99</v>
      </c>
      <c r="C347" s="14" t="s">
        <v>31</v>
      </c>
      <c r="D347" s="17" t="s">
        <v>100</v>
      </c>
      <c r="E347" s="18">
        <f t="shared" si="57"/>
        <v>0</v>
      </c>
      <c r="F347" s="17">
        <v>1</v>
      </c>
      <c r="G347" s="17">
        <v>4</v>
      </c>
      <c r="H347" s="17">
        <f>E347/F347</f>
        <v>0</v>
      </c>
      <c r="I347" s="17">
        <v>1</v>
      </c>
      <c r="J347" s="17">
        <f>H347*I347</f>
        <v>0</v>
      </c>
      <c r="K347" s="17">
        <f>J347^2</f>
        <v>0</v>
      </c>
      <c r="L347" s="17">
        <f>J347^4/G347</f>
        <v>0</v>
      </c>
      <c r="N347" s="303" t="s">
        <v>109</v>
      </c>
      <c r="O347" s="303" t="e">
        <f>IF(ISNUMBER(Database!AS24),Database!AS24,VALUE(LEFT(Database!AS24,LEN(Database!AS24)-1)))</f>
        <v>#N/A</v>
      </c>
      <c r="P347" s="303">
        <f>IFERROR( INDEX(CHOOSE(
    MATCH($C$18,Database!$A$8:$A$11,0),
  Database!$BI$4:$BI$27,
    Database!$BJ$4:$BJ$27,
   Database!$BI$4:$BI$27,
 Database!$BL$4:$BL$27   ),
   MATCH(O347,Database!$BG$4:$BG$27,   0)),  0 )</f>
        <v>0</v>
      </c>
      <c r="Q347" s="303" t="s">
        <v>31</v>
      </c>
    </row>
    <row r="348" spans="1:17" x14ac:dyDescent="0.25">
      <c r="B348" s="16" t="s">
        <v>99</v>
      </c>
      <c r="C348" s="14" t="s">
        <v>31</v>
      </c>
      <c r="D348" s="17" t="s">
        <v>100</v>
      </c>
      <c r="E348" s="18">
        <f t="shared" si="57"/>
        <v>0</v>
      </c>
      <c r="F348" s="17">
        <v>1</v>
      </c>
      <c r="G348" s="17">
        <v>4</v>
      </c>
      <c r="H348" s="17">
        <f>E348/F348</f>
        <v>0</v>
      </c>
      <c r="I348" s="17">
        <v>1</v>
      </c>
      <c r="J348" s="17">
        <f>H348*I348</f>
        <v>0</v>
      </c>
      <c r="K348" s="17">
        <f>J348^2</f>
        <v>0</v>
      </c>
      <c r="L348" s="17">
        <f>J348^4/G348</f>
        <v>0</v>
      </c>
      <c r="N348" s="303" t="s">
        <v>109</v>
      </c>
      <c r="O348" s="303" t="e">
        <f>IF(ISNUMBER(Database!AS25),Database!AS25,VALUE(LEFT(Database!AS25,LEN(Database!AS25)-1)))</f>
        <v>#N/A</v>
      </c>
      <c r="P348" s="303">
        <f>IFERROR( INDEX(CHOOSE(
    MATCH($C$18,Database!$A$8:$A$11,0),
  Database!$BI$4:$BI$27,
    Database!$BJ$4:$BJ$27,
   Database!$BI$4:$BI$27,
 Database!$BL$4:$BL$27   ),
   MATCH(O348,Database!$BG$4:$BG$27,   0)),  0 )</f>
        <v>0</v>
      </c>
      <c r="Q348" s="303" t="s">
        <v>31</v>
      </c>
    </row>
    <row r="349" spans="1:17" x14ac:dyDescent="0.25">
      <c r="B349" s="16" t="s">
        <v>99</v>
      </c>
      <c r="C349" s="14" t="s">
        <v>31</v>
      </c>
      <c r="D349" s="17" t="s">
        <v>100</v>
      </c>
      <c r="E349" s="18">
        <f t="shared" si="57"/>
        <v>0</v>
      </c>
      <c r="F349" s="17">
        <v>1</v>
      </c>
      <c r="G349" s="17">
        <v>4</v>
      </c>
      <c r="H349" s="17">
        <f>E349/F349</f>
        <v>0</v>
      </c>
      <c r="I349" s="17">
        <v>1</v>
      </c>
      <c r="J349" s="17">
        <f>H349*I349</f>
        <v>0</v>
      </c>
      <c r="K349" s="17">
        <f>J349^2</f>
        <v>0</v>
      </c>
      <c r="L349" s="17">
        <f>J349^4/G349</f>
        <v>0</v>
      </c>
    </row>
    <row r="350" spans="1:17" x14ac:dyDescent="0.25">
      <c r="B350" s="19" t="s">
        <v>101</v>
      </c>
      <c r="C350" s="14" t="s">
        <v>31</v>
      </c>
      <c r="D350" s="20" t="s">
        <v>100</v>
      </c>
      <c r="E350" s="21">
        <f>1/2</f>
        <v>0.5</v>
      </c>
      <c r="F350" s="20">
        <f>SQRT(3)</f>
        <v>1.7320508075688772</v>
      </c>
      <c r="G350" s="20">
        <v>1000</v>
      </c>
      <c r="H350" s="20">
        <f t="shared" si="53"/>
        <v>0.28867513459481292</v>
      </c>
      <c r="I350" s="20">
        <v>1</v>
      </c>
      <c r="J350" s="20">
        <f t="shared" si="54"/>
        <v>0.28867513459481292</v>
      </c>
      <c r="K350" s="20">
        <f t="shared" si="55"/>
        <v>8.3333333333333356E-2</v>
      </c>
      <c r="L350" s="20">
        <f t="shared" si="56"/>
        <v>6.9444444444444482E-6</v>
      </c>
    </row>
    <row r="351" spans="1:17" x14ac:dyDescent="0.25">
      <c r="B351" s="22" t="s">
        <v>102</v>
      </c>
      <c r="C351" s="23"/>
      <c r="D351" s="23"/>
      <c r="E351" s="24"/>
      <c r="F351" s="23"/>
      <c r="G351" s="23"/>
      <c r="H351" s="23"/>
      <c r="I351" s="25"/>
      <c r="J351" s="26"/>
      <c r="K351" s="14">
        <f>SUM(K342:K350)</f>
        <v>21450012656.333328</v>
      </c>
      <c r="L351" s="14">
        <f>SUM(L342:L350)</f>
        <v>5.1122500000002654E+19</v>
      </c>
    </row>
    <row r="352" spans="1:17" x14ac:dyDescent="0.25">
      <c r="B352" s="27" t="s">
        <v>103</v>
      </c>
      <c r="C352" s="28"/>
      <c r="D352" s="28"/>
      <c r="E352" s="29"/>
      <c r="F352" s="28"/>
      <c r="G352" s="28"/>
      <c r="H352" s="28"/>
      <c r="I352" s="30"/>
      <c r="J352" s="31"/>
      <c r="K352" s="17">
        <f>SQRT(K351)</f>
        <v>146458.22836677128</v>
      </c>
      <c r="L352" s="17"/>
    </row>
    <row r="353" spans="1:17" x14ac:dyDescent="0.25">
      <c r="B353" s="27" t="s">
        <v>104</v>
      </c>
      <c r="C353" s="28"/>
      <c r="D353" s="28"/>
      <c r="E353" s="29"/>
      <c r="F353" s="28"/>
      <c r="G353" s="28"/>
      <c r="H353" s="28"/>
      <c r="I353" s="30"/>
      <c r="J353" s="31"/>
      <c r="K353" s="32">
        <f>K352^4/L351</f>
        <v>9.0000106207019623</v>
      </c>
      <c r="L353" s="17"/>
    </row>
    <row r="354" spans="1:17" x14ac:dyDescent="0.25">
      <c r="B354" s="27" t="s">
        <v>105</v>
      </c>
      <c r="C354" s="28"/>
      <c r="D354" s="28"/>
      <c r="E354" s="29"/>
      <c r="F354" s="28"/>
      <c r="G354" s="28"/>
      <c r="H354" s="28"/>
      <c r="I354" s="30"/>
      <c r="J354" s="31"/>
      <c r="K354" s="33">
        <f>1.96+(2.5/K353)+(2.3/K353^2)+(2.2/K353^3)+(3.7/K353^4)</f>
        <v>2.2697542024161774</v>
      </c>
      <c r="L354" s="17"/>
    </row>
    <row r="355" spans="1:17" x14ac:dyDescent="0.25">
      <c r="B355" s="27" t="s">
        <v>106</v>
      </c>
      <c r="C355" s="28"/>
      <c r="D355" s="28"/>
      <c r="E355" s="29"/>
      <c r="F355" s="28"/>
      <c r="G355" s="28"/>
      <c r="H355" s="28"/>
      <c r="I355" s="30"/>
      <c r="J355" s="31"/>
      <c r="K355" s="48">
        <f>K354*K352</f>
        <v>332424.17931390728</v>
      </c>
      <c r="L355" s="17"/>
    </row>
    <row r="356" spans="1:17" x14ac:dyDescent="0.25">
      <c r="B356" s="34" t="s">
        <v>107</v>
      </c>
      <c r="C356" s="35"/>
      <c r="D356" s="35"/>
      <c r="E356" s="36"/>
      <c r="F356" s="35"/>
      <c r="G356" s="35"/>
      <c r="H356" s="35"/>
      <c r="I356" s="37"/>
      <c r="J356" s="38"/>
      <c r="K356" s="219">
        <f>K354*K352/1000</f>
        <v>332.4241793139073</v>
      </c>
      <c r="L356" s="20"/>
    </row>
    <row r="357" spans="1:17" x14ac:dyDescent="0.25">
      <c r="B357" s="39" t="s">
        <v>110</v>
      </c>
      <c r="K357" s="258">
        <f t="array" ref="K357">IFERROR(INDEX(Database!$BE$4:$BE$11, MATCH(1, (B337&gt;=Database!$BC$4:$BC$11)*(B337&lt;=Database!$BD$4:$BD$11), 0)),0)</f>
        <v>80000</v>
      </c>
    </row>
    <row r="358" spans="1:17" x14ac:dyDescent="0.25">
      <c r="B358" s="8"/>
    </row>
    <row r="359" spans="1:17" x14ac:dyDescent="0.25">
      <c r="B359" s="8"/>
    </row>
    <row r="360" spans="1:17" x14ac:dyDescent="0.25">
      <c r="B360" s="8"/>
    </row>
    <row r="361" spans="1:17" x14ac:dyDescent="0.3">
      <c r="A361" s="130" t="s">
        <v>119</v>
      </c>
      <c r="B361">
        <f>IF(C19="custom",B101,B100)</f>
        <v>180000</v>
      </c>
      <c r="C361" s="43" t="str">
        <f>C337</f>
        <v>g</v>
      </c>
    </row>
    <row r="362" spans="1:17" x14ac:dyDescent="0.3">
      <c r="A362">
        <f>B101</f>
        <v>45000</v>
      </c>
      <c r="B362" s="8">
        <f>B361*1000</f>
        <v>180000000</v>
      </c>
      <c r="C362" s="8" t="s">
        <v>31</v>
      </c>
      <c r="D362" s="8"/>
      <c r="E362" s="8" t="s">
        <v>33</v>
      </c>
      <c r="F362" s="47" cm="1">
        <f t="array" ref="F362">IF(C18="M1",SUM(IFERROR(INDEX(
Database!CB4:CD33,
MATCH(K101:O101,Database!CB4:CB33,0),3),0)),
SUM(IFERROR(INDEX(CHOOSE(
MATCH(C18,Database!A8:A10,0),
Database!BP4:BR21,
Database!BT4:BV21,
Database!CB4:CD33,
Database!BX4:BZ21
),
MATCH(Database!Z29:AI29,INDEX(
CHOOSE(MATCH(C18,Database!A8:A10,0),
Database!BP4:BR21,
Database!BT4:BV21,
Database!CB4:CD33,
Database!BX4:BZ21
),,1),0),3),0)))</f>
        <v>225</v>
      </c>
      <c r="G362" s="8" t="s">
        <v>31</v>
      </c>
      <c r="H362" s="8"/>
      <c r="I362" s="8"/>
      <c r="J362" s="8"/>
      <c r="K362" s="8"/>
      <c r="L362" s="8"/>
    </row>
    <row r="363" spans="1:17" x14ac:dyDescent="0.3">
      <c r="B363" s="8"/>
      <c r="C363" s="8"/>
      <c r="D363" s="8"/>
      <c r="E363" s="8"/>
      <c r="F363" s="127"/>
      <c r="G363" s="8"/>
      <c r="H363" s="8"/>
      <c r="I363" s="8"/>
      <c r="J363" s="8"/>
      <c r="K363" s="8"/>
      <c r="L363" s="8"/>
    </row>
    <row r="364" spans="1:17" ht="15.6" x14ac:dyDescent="0.25">
      <c r="A364">
        <v>1</v>
      </c>
      <c r="B364" s="10" t="s">
        <v>85</v>
      </c>
      <c r="C364" s="10" t="s">
        <v>86</v>
      </c>
      <c r="D364" s="10" t="s">
        <v>87</v>
      </c>
      <c r="E364" s="10" t="s">
        <v>33</v>
      </c>
      <c r="F364" s="10" t="s">
        <v>88</v>
      </c>
      <c r="G364" s="10" t="s">
        <v>89</v>
      </c>
      <c r="H364" s="11" t="s">
        <v>90</v>
      </c>
      <c r="I364" s="10" t="s">
        <v>91</v>
      </c>
      <c r="J364" s="11" t="s">
        <v>92</v>
      </c>
      <c r="K364" s="11" t="s">
        <v>93</v>
      </c>
      <c r="L364" s="10" t="s">
        <v>94</v>
      </c>
    </row>
    <row r="365" spans="1:17" x14ac:dyDescent="0.25">
      <c r="B365" s="12">
        <v>1</v>
      </c>
      <c r="C365" s="12">
        <v>2</v>
      </c>
      <c r="D365" s="12">
        <v>3</v>
      </c>
      <c r="E365" s="12">
        <v>4</v>
      </c>
      <c r="F365" s="12">
        <v>5</v>
      </c>
      <c r="G365" s="12">
        <v>6</v>
      </c>
      <c r="H365" s="12">
        <v>7</v>
      </c>
      <c r="I365" s="12">
        <v>8</v>
      </c>
      <c r="J365" s="12">
        <v>9</v>
      </c>
      <c r="K365" s="12">
        <v>10</v>
      </c>
      <c r="L365" s="12">
        <v>11</v>
      </c>
    </row>
    <row r="366" spans="1:17" x14ac:dyDescent="0.25">
      <c r="B366" s="13" t="s">
        <v>95</v>
      </c>
      <c r="C366" s="14" t="s">
        <v>31</v>
      </c>
      <c r="D366" s="14" t="s">
        <v>96</v>
      </c>
      <c r="E366" s="15">
        <f>F362</f>
        <v>225</v>
      </c>
      <c r="F366" s="14">
        <v>2</v>
      </c>
      <c r="G366" s="14">
        <v>60</v>
      </c>
      <c r="H366" s="14">
        <f t="shared" ref="H366:H375" si="58">E366/F366</f>
        <v>112.5</v>
      </c>
      <c r="I366" s="14">
        <v>1</v>
      </c>
      <c r="J366" s="14">
        <f t="shared" ref="J366:J375" si="59">H366*I366</f>
        <v>112.5</v>
      </c>
      <c r="K366" s="14">
        <f t="shared" ref="K366:K375" si="60">J366^2</f>
        <v>12656.25</v>
      </c>
      <c r="L366" s="14">
        <f t="shared" ref="L366:L375" si="61">J366^4/G366</f>
        <v>2669677.734375</v>
      </c>
    </row>
    <row r="367" spans="1:17" x14ac:dyDescent="0.25">
      <c r="B367" s="16" t="s">
        <v>97</v>
      </c>
      <c r="C367" s="14" t="s">
        <v>31</v>
      </c>
      <c r="D367" s="17" t="s">
        <v>98</v>
      </c>
      <c r="E367" s="18">
        <f>IF(T298&gt;T300,T298,T300/SQRT(2))</f>
        <v>146458.18515876809</v>
      </c>
      <c r="F367" s="17">
        <v>1</v>
      </c>
      <c r="G367" s="17">
        <f>IF(T185&gt;T187,1000,9)</f>
        <v>9</v>
      </c>
      <c r="H367" s="17">
        <f t="shared" si="58"/>
        <v>146458.18515876809</v>
      </c>
      <c r="I367" s="17">
        <v>1</v>
      </c>
      <c r="J367" s="17">
        <f t="shared" si="59"/>
        <v>146458.18515876809</v>
      </c>
      <c r="K367" s="17">
        <f t="shared" si="60"/>
        <v>21449999999.999996</v>
      </c>
      <c r="L367" s="17">
        <f t="shared" si="61"/>
        <v>5.1122499999999984E+19</v>
      </c>
    </row>
    <row r="368" spans="1:17" x14ac:dyDescent="0.25">
      <c r="B368" s="16" t="s">
        <v>99</v>
      </c>
      <c r="C368" s="14" t="s">
        <v>31</v>
      </c>
      <c r="D368" s="17" t="s">
        <v>100</v>
      </c>
      <c r="E368" s="18">
        <f>0.08*P368</f>
        <v>0</v>
      </c>
      <c r="F368" s="17">
        <v>1</v>
      </c>
      <c r="G368" s="17">
        <v>4</v>
      </c>
      <c r="H368" s="17">
        <f t="shared" si="58"/>
        <v>0</v>
      </c>
      <c r="I368" s="17">
        <v>1</v>
      </c>
      <c r="J368" s="17">
        <f t="shared" si="59"/>
        <v>0</v>
      </c>
      <c r="K368" s="17">
        <f t="shared" si="60"/>
        <v>0</v>
      </c>
      <c r="L368" s="17">
        <f t="shared" si="61"/>
        <v>0</v>
      </c>
      <c r="N368" s="303" t="s">
        <v>109</v>
      </c>
      <c r="O368" s="303" t="e">
        <f>IF(ISNUMBER(Database!AT21),Database!AT21,VALUE(LEFT(Database!AT21,LEN(Database!AT21)-1)))</f>
        <v>#N/A</v>
      </c>
      <c r="P368" s="303">
        <f>IFERROR( INDEX(CHOOSE(
    MATCH($C$18,Database!$A$8:$A$11,0),
  Database!$BI$4:$BI$27,
    Database!$BJ$4:$BJ$27,
   Database!$BI$4:$BI$27,
 Database!$BL$4:$BL$27   ),
   MATCH(O368,Database!$BG$4:$BG$27,   0)),  0 )</f>
        <v>0</v>
      </c>
      <c r="Q368" s="303" t="s">
        <v>31</v>
      </c>
    </row>
    <row r="369" spans="2:17" x14ac:dyDescent="0.25">
      <c r="B369" s="16" t="s">
        <v>99</v>
      </c>
      <c r="C369" s="14" t="s">
        <v>31</v>
      </c>
      <c r="D369" s="17" t="s">
        <v>100</v>
      </c>
      <c r="E369" s="18">
        <f t="shared" ref="E369:E374" si="62">0.08*P369</f>
        <v>0</v>
      </c>
      <c r="F369" s="17">
        <v>1</v>
      </c>
      <c r="G369" s="17">
        <v>4</v>
      </c>
      <c r="H369" s="17">
        <f t="shared" si="58"/>
        <v>0</v>
      </c>
      <c r="I369" s="17">
        <v>1</v>
      </c>
      <c r="J369" s="17">
        <f t="shared" si="59"/>
        <v>0</v>
      </c>
      <c r="K369" s="17">
        <f t="shared" si="60"/>
        <v>0</v>
      </c>
      <c r="L369" s="17">
        <f t="shared" si="61"/>
        <v>0</v>
      </c>
      <c r="N369" s="303" t="s">
        <v>109</v>
      </c>
      <c r="O369" s="303" t="e">
        <f>IF(ISNUMBER(Database!AT22),Database!AT22,VALUE(LEFT(Database!AT22,LEN(Database!AT22)-1)))</f>
        <v>#N/A</v>
      </c>
      <c r="P369" s="303">
        <f>IFERROR( INDEX(CHOOSE(
    MATCH($C$18,Database!$A$8:$A$11,0),
  Database!$BI$4:$BI$27,
    Database!$BJ$4:$BJ$27,
   Database!$BI$4:$BI$27,
 Database!$BL$4:$BL$27   ),
   MATCH(O369,Database!$BG$4:$BG$27,   0)),  0 )</f>
        <v>0</v>
      </c>
      <c r="Q369" s="303" t="s">
        <v>31</v>
      </c>
    </row>
    <row r="370" spans="2:17" x14ac:dyDescent="0.25">
      <c r="B370" s="16" t="s">
        <v>99</v>
      </c>
      <c r="C370" s="14" t="s">
        <v>31</v>
      </c>
      <c r="D370" s="17" t="s">
        <v>100</v>
      </c>
      <c r="E370" s="18">
        <f t="shared" si="62"/>
        <v>0</v>
      </c>
      <c r="F370" s="17">
        <v>1</v>
      </c>
      <c r="G370" s="17">
        <v>4</v>
      </c>
      <c r="H370" s="17">
        <f t="shared" si="58"/>
        <v>0</v>
      </c>
      <c r="I370" s="17">
        <v>1</v>
      </c>
      <c r="J370" s="17">
        <f t="shared" si="59"/>
        <v>0</v>
      </c>
      <c r="K370" s="17">
        <f t="shared" si="60"/>
        <v>0</v>
      </c>
      <c r="L370" s="17">
        <f t="shared" si="61"/>
        <v>0</v>
      </c>
      <c r="N370" s="303" t="s">
        <v>109</v>
      </c>
      <c r="O370" s="303" t="e">
        <f>IF(ISNUMBER(Database!AT23),Database!AT23,VALUE(LEFT(Database!AT23,LEN(Database!AT23)-1)))</f>
        <v>#N/A</v>
      </c>
      <c r="P370" s="303">
        <f>IFERROR( INDEX(CHOOSE(
    MATCH($C$18,Database!$A$8:$A$11,0),
  Database!$BI$4:$BI$27,
    Database!$BJ$4:$BJ$27,
   Database!$BI$4:$BI$27,
 Database!$BL$4:$BL$27   ),
   MATCH(O370,Database!$BG$4:$BG$27,   0)),  0 )</f>
        <v>0</v>
      </c>
      <c r="Q370" s="303" t="s">
        <v>31</v>
      </c>
    </row>
    <row r="371" spans="2:17" x14ac:dyDescent="0.25">
      <c r="B371" s="16" t="s">
        <v>99</v>
      </c>
      <c r="C371" s="14" t="s">
        <v>31</v>
      </c>
      <c r="D371" s="17" t="s">
        <v>100</v>
      </c>
      <c r="E371" s="18">
        <f t="shared" si="62"/>
        <v>0</v>
      </c>
      <c r="F371" s="17">
        <v>1</v>
      </c>
      <c r="G371" s="17">
        <v>4</v>
      </c>
      <c r="H371" s="17">
        <f t="shared" ref="H371" si="63">E371/F371</f>
        <v>0</v>
      </c>
      <c r="I371" s="17">
        <v>1</v>
      </c>
      <c r="J371" s="17">
        <f t="shared" ref="J371" si="64">H371*I371</f>
        <v>0</v>
      </c>
      <c r="K371" s="17">
        <f t="shared" ref="K371" si="65">J371^2</f>
        <v>0</v>
      </c>
      <c r="L371" s="17">
        <f t="shared" ref="L371" si="66">J371^4/G371</f>
        <v>0</v>
      </c>
      <c r="N371" s="303" t="s">
        <v>109</v>
      </c>
      <c r="O371" s="303" t="e">
        <f>IF(ISNUMBER(Database!AT24),Database!AT24,VALUE(LEFT(Database!AT24,LEN(Database!AT24)-1)))</f>
        <v>#N/A</v>
      </c>
      <c r="P371" s="303">
        <f>IFERROR( INDEX(CHOOSE(
    MATCH($C$18,Database!$A$8:$A$11,0),
  Database!$BI$4:$BI$27,
    Database!$BJ$4:$BJ$27,
   Database!$BI$4:$BI$27,
 Database!$BL$4:$BL$27   ),
   MATCH(O371,Database!$BG$4:$BG$27,   0)),  0 )</f>
        <v>0</v>
      </c>
      <c r="Q371" s="303" t="s">
        <v>31</v>
      </c>
    </row>
    <row r="372" spans="2:17" x14ac:dyDescent="0.25">
      <c r="B372" s="16" t="s">
        <v>99</v>
      </c>
      <c r="C372" s="14" t="s">
        <v>31</v>
      </c>
      <c r="D372" s="17" t="s">
        <v>100</v>
      </c>
      <c r="E372" s="18">
        <f t="shared" si="62"/>
        <v>0</v>
      </c>
      <c r="F372" s="17">
        <v>1</v>
      </c>
      <c r="G372" s="17">
        <v>4</v>
      </c>
      <c r="H372" s="17">
        <f t="shared" ref="H372:H373" si="67">E372/F372</f>
        <v>0</v>
      </c>
      <c r="I372" s="17">
        <v>1</v>
      </c>
      <c r="J372" s="17">
        <f t="shared" ref="J372:J373" si="68">H372*I372</f>
        <v>0</v>
      </c>
      <c r="K372" s="17">
        <f t="shared" ref="K372:K373" si="69">J372^2</f>
        <v>0</v>
      </c>
      <c r="L372" s="17">
        <f t="shared" ref="L372:L373" si="70">J372^4/G372</f>
        <v>0</v>
      </c>
      <c r="N372" s="303" t="s">
        <v>109</v>
      </c>
      <c r="O372" s="303" t="e">
        <f>IF(ISNUMBER(Database!AT25),Database!AT25,VALUE(LEFT(Database!AT25,LEN(Database!AT25)-1)))</f>
        <v>#N/A</v>
      </c>
      <c r="P372" s="303">
        <f>IFERROR( INDEX(CHOOSE(
    MATCH($C$18,Database!$A$8:$A$11,0),
  Database!$BI$4:$BI$27,
    Database!$BJ$4:$BJ$27,
   Database!$BI$4:$BI$27,
 Database!$BL$4:$BL$27   ),
   MATCH(O372,Database!$BG$4:$BG$27,   0)),  0 )</f>
        <v>0</v>
      </c>
      <c r="Q372" s="303" t="s">
        <v>31</v>
      </c>
    </row>
    <row r="373" spans="2:17" x14ac:dyDescent="0.25">
      <c r="B373" s="16" t="s">
        <v>99</v>
      </c>
      <c r="C373" s="14" t="s">
        <v>31</v>
      </c>
      <c r="D373" s="17" t="s">
        <v>100</v>
      </c>
      <c r="E373" s="18">
        <f t="shared" si="62"/>
        <v>0</v>
      </c>
      <c r="F373" s="17">
        <v>1</v>
      </c>
      <c r="G373" s="17">
        <v>4</v>
      </c>
      <c r="H373" s="17">
        <f t="shared" si="67"/>
        <v>0</v>
      </c>
      <c r="I373" s="17">
        <v>1</v>
      </c>
      <c r="J373" s="17">
        <f t="shared" si="68"/>
        <v>0</v>
      </c>
      <c r="K373" s="17">
        <f t="shared" si="69"/>
        <v>0</v>
      </c>
      <c r="L373" s="17">
        <f t="shared" si="70"/>
        <v>0</v>
      </c>
    </row>
    <row r="374" spans="2:17" x14ac:dyDescent="0.25">
      <c r="B374" s="16" t="s">
        <v>99</v>
      </c>
      <c r="C374" s="14" t="s">
        <v>31</v>
      </c>
      <c r="D374" s="17" t="s">
        <v>100</v>
      </c>
      <c r="E374" s="18">
        <f t="shared" si="62"/>
        <v>0</v>
      </c>
      <c r="F374" s="17">
        <v>1</v>
      </c>
      <c r="G374" s="17">
        <v>4</v>
      </c>
      <c r="H374" s="17">
        <f t="shared" ref="H374" si="71">E374/F374</f>
        <v>0</v>
      </c>
      <c r="I374" s="17">
        <v>1</v>
      </c>
      <c r="J374" s="17">
        <f t="shared" ref="J374" si="72">H374*I374</f>
        <v>0</v>
      </c>
      <c r="K374" s="17">
        <f t="shared" ref="K374" si="73">J374^2</f>
        <v>0</v>
      </c>
      <c r="L374" s="17">
        <f t="shared" ref="L374" si="74">J374^4/G374</f>
        <v>0</v>
      </c>
    </row>
    <row r="375" spans="2:17" x14ac:dyDescent="0.25">
      <c r="B375" s="19" t="s">
        <v>101</v>
      </c>
      <c r="C375" s="14" t="s">
        <v>31</v>
      </c>
      <c r="D375" s="20" t="s">
        <v>100</v>
      </c>
      <c r="E375" s="21">
        <f>1/2</f>
        <v>0.5</v>
      </c>
      <c r="F375" s="20">
        <f>SQRT(3)</f>
        <v>1.7320508075688772</v>
      </c>
      <c r="G375" s="20">
        <v>1000</v>
      </c>
      <c r="H375" s="20">
        <f t="shared" si="58"/>
        <v>0.28867513459481292</v>
      </c>
      <c r="I375" s="20">
        <v>1</v>
      </c>
      <c r="J375" s="20">
        <f t="shared" si="59"/>
        <v>0.28867513459481292</v>
      </c>
      <c r="K375" s="20">
        <f t="shared" si="60"/>
        <v>8.3333333333333356E-2</v>
      </c>
      <c r="L375" s="20">
        <f t="shared" si="61"/>
        <v>6.9444444444444482E-6</v>
      </c>
    </row>
    <row r="376" spans="2:17" x14ac:dyDescent="0.25">
      <c r="B376" s="22" t="s">
        <v>102</v>
      </c>
      <c r="C376" s="23"/>
      <c r="D376" s="23"/>
      <c r="E376" s="24"/>
      <c r="F376" s="23"/>
      <c r="G376" s="23"/>
      <c r="H376" s="23"/>
      <c r="I376" s="25"/>
      <c r="J376" s="26"/>
      <c r="K376" s="14">
        <f>SUM(K366:K375)</f>
        <v>21450012656.333328</v>
      </c>
      <c r="L376" s="14">
        <f>SUM(L366:L375)</f>
        <v>5.1122500000002654E+19</v>
      </c>
    </row>
    <row r="377" spans="2:17" x14ac:dyDescent="0.25">
      <c r="B377" s="27" t="s">
        <v>103</v>
      </c>
      <c r="C377" s="28"/>
      <c r="D377" s="28"/>
      <c r="E377" s="29"/>
      <c r="F377" s="28"/>
      <c r="G377" s="28"/>
      <c r="H377" s="28"/>
      <c r="I377" s="30"/>
      <c r="J377" s="31"/>
      <c r="K377" s="17">
        <f>SQRT(K376)</f>
        <v>146458.22836677128</v>
      </c>
      <c r="L377" s="17"/>
    </row>
    <row r="378" spans="2:17" x14ac:dyDescent="0.25">
      <c r="B378" s="27" t="s">
        <v>104</v>
      </c>
      <c r="C378" s="28"/>
      <c r="D378" s="28"/>
      <c r="E378" s="29"/>
      <c r="F378" s="28"/>
      <c r="G378" s="28"/>
      <c r="H378" s="28"/>
      <c r="I378" s="30"/>
      <c r="J378" s="31"/>
      <c r="K378" s="32">
        <f>K377^4/L376</f>
        <v>9.0000106207019623</v>
      </c>
      <c r="L378" s="17"/>
    </row>
    <row r="379" spans="2:17" x14ac:dyDescent="0.25">
      <c r="B379" s="27" t="s">
        <v>105</v>
      </c>
      <c r="C379" s="28"/>
      <c r="D379" s="28"/>
      <c r="E379" s="29"/>
      <c r="F379" s="28"/>
      <c r="G379" s="28"/>
      <c r="H379" s="28"/>
      <c r="I379" s="30"/>
      <c r="J379" s="31"/>
      <c r="K379" s="33">
        <f>1.96+(2.5/K378)+(2.3/K378^2)+(2.2/K378^3)+(3.7/K378^4)</f>
        <v>2.2697542024161774</v>
      </c>
      <c r="L379" s="17"/>
    </row>
    <row r="380" spans="2:17" x14ac:dyDescent="0.25">
      <c r="B380" s="27" t="s">
        <v>106</v>
      </c>
      <c r="C380" s="28"/>
      <c r="D380" s="28"/>
      <c r="E380" s="29"/>
      <c r="F380" s="28"/>
      <c r="G380" s="28"/>
      <c r="H380" s="28"/>
      <c r="I380" s="30"/>
      <c r="J380" s="31"/>
      <c r="K380" s="48">
        <f>K379*K377</f>
        <v>332424.17931390728</v>
      </c>
      <c r="L380" s="17"/>
    </row>
    <row r="381" spans="2:17" x14ac:dyDescent="0.25">
      <c r="B381" s="34" t="s">
        <v>107</v>
      </c>
      <c r="C381" s="35"/>
      <c r="D381" s="35"/>
      <c r="E381" s="36"/>
      <c r="F381" s="35"/>
      <c r="G381" s="35"/>
      <c r="H381" s="35"/>
      <c r="I381" s="37"/>
      <c r="J381" s="38"/>
      <c r="K381" s="112">
        <f>K379*K377/1000</f>
        <v>332.4241793139073</v>
      </c>
      <c r="L381" s="20"/>
    </row>
    <row r="382" spans="2:17" x14ac:dyDescent="0.25">
      <c r="B382" s="39" t="s">
        <v>110</v>
      </c>
      <c r="K382" s="258">
        <f t="array" ref="K382">IFERROR(INDEX(Database!$BE$4:$BE$11, MATCH(1, (B361&gt;=Database!$BC$4:$BC$11)*(B361&lt;=Database!$BD$4:$BD$11), 0)),0)</f>
        <v>80000</v>
      </c>
    </row>
    <row r="383" spans="2:17" x14ac:dyDescent="0.25">
      <c r="B383" s="8"/>
    </row>
    <row r="384" spans="2:17" x14ac:dyDescent="0.25">
      <c r="B384" s="8"/>
    </row>
    <row r="385" spans="1:17" x14ac:dyDescent="0.3">
      <c r="A385" s="130" t="s">
        <v>173</v>
      </c>
      <c r="B385">
        <f>IF(C19="custom",B105,B104)</f>
        <v>200000</v>
      </c>
      <c r="C385" s="43" t="str">
        <f>C361</f>
        <v>g</v>
      </c>
    </row>
    <row r="386" spans="1:17" x14ac:dyDescent="0.3">
      <c r="B386" s="8">
        <f>B385*1000</f>
        <v>200000000</v>
      </c>
      <c r="C386" s="8" t="s">
        <v>31</v>
      </c>
      <c r="D386" s="8"/>
      <c r="E386" s="8" t="s">
        <v>33</v>
      </c>
      <c r="F386" s="47" cm="1">
        <f t="array" ref="F386">IF(C18="M1",SUM(IFERROR(INDEX(
Database!CB4:CD33,
MATCH(K105:O105,Database!CB4:CB33,0),3),0)),
SUM(IFERROR(INDEX(CHOOSE(
MATCH(C18,Database!A8:A10,0),
Database!BP4:BR21,
Database!BT4:BV21,
Database!CB4:CD33,
Database!BX4:BZ21
),
MATCH(Database!Z30:AI30,INDEX(
CHOOSE(MATCH(C18,Database!A8:A10,0),
Database!BP4:BR21,
Database!BT4:BV21,
Database!CB4:CD33,
Database!BX4:BZ21
),,1),0),3),0)))</f>
        <v>225</v>
      </c>
      <c r="G386" s="8" t="s">
        <v>31</v>
      </c>
      <c r="H386" s="8"/>
      <c r="I386" s="8"/>
      <c r="J386" s="8"/>
      <c r="K386" s="8"/>
      <c r="L386" s="8"/>
    </row>
    <row r="387" spans="1:17" x14ac:dyDescent="0.3">
      <c r="B387" s="8"/>
      <c r="C387" s="8"/>
      <c r="D387" s="8"/>
      <c r="E387" s="8"/>
      <c r="F387" s="127"/>
      <c r="G387" s="8"/>
      <c r="H387" s="8"/>
      <c r="I387" s="8"/>
      <c r="J387" s="8"/>
      <c r="K387" s="8"/>
      <c r="L387" s="8"/>
    </row>
    <row r="388" spans="1:17" ht="15.6" x14ac:dyDescent="0.25">
      <c r="A388">
        <v>1</v>
      </c>
      <c r="B388" s="10" t="s">
        <v>85</v>
      </c>
      <c r="C388" s="10" t="s">
        <v>86</v>
      </c>
      <c r="D388" s="10" t="s">
        <v>87</v>
      </c>
      <c r="E388" s="10" t="s">
        <v>33</v>
      </c>
      <c r="F388" s="10" t="s">
        <v>88</v>
      </c>
      <c r="G388" s="10" t="s">
        <v>89</v>
      </c>
      <c r="H388" s="11" t="s">
        <v>90</v>
      </c>
      <c r="I388" s="10" t="s">
        <v>91</v>
      </c>
      <c r="J388" s="11" t="s">
        <v>92</v>
      </c>
      <c r="K388" s="11" t="s">
        <v>93</v>
      </c>
      <c r="L388" s="10" t="s">
        <v>94</v>
      </c>
    </row>
    <row r="389" spans="1:17" x14ac:dyDescent="0.25">
      <c r="B389" s="12">
        <v>1</v>
      </c>
      <c r="C389" s="12">
        <v>2</v>
      </c>
      <c r="D389" s="12">
        <v>3</v>
      </c>
      <c r="E389" s="12">
        <v>4</v>
      </c>
      <c r="F389" s="12">
        <v>5</v>
      </c>
      <c r="G389" s="12">
        <v>6</v>
      </c>
      <c r="H389" s="12">
        <v>7</v>
      </c>
      <c r="I389" s="12">
        <v>8</v>
      </c>
      <c r="J389" s="12">
        <v>9</v>
      </c>
      <c r="K389" s="12">
        <v>10</v>
      </c>
      <c r="L389" s="12">
        <v>11</v>
      </c>
    </row>
    <row r="390" spans="1:17" x14ac:dyDescent="0.25">
      <c r="B390" s="13" t="s">
        <v>95</v>
      </c>
      <c r="C390" s="14" t="s">
        <v>31</v>
      </c>
      <c r="D390" s="14" t="s">
        <v>96</v>
      </c>
      <c r="E390" s="15">
        <f>F386</f>
        <v>225</v>
      </c>
      <c r="F390" s="14">
        <v>2</v>
      </c>
      <c r="G390" s="14">
        <v>60</v>
      </c>
      <c r="H390" s="14">
        <f t="shared" ref="H390:H400" si="75">E390/F390</f>
        <v>112.5</v>
      </c>
      <c r="I390" s="14">
        <v>1</v>
      </c>
      <c r="J390" s="14">
        <f t="shared" ref="J390:J400" si="76">H390*I390</f>
        <v>112.5</v>
      </c>
      <c r="K390" s="14">
        <f t="shared" ref="K390:K400" si="77">J390^2</f>
        <v>12656.25</v>
      </c>
      <c r="L390" s="14">
        <f t="shared" ref="L390:L400" si="78">J390^4/G390</f>
        <v>2669677.734375</v>
      </c>
    </row>
    <row r="391" spans="1:17" x14ac:dyDescent="0.25">
      <c r="B391" s="16" t="s">
        <v>97</v>
      </c>
      <c r="C391" s="14" t="s">
        <v>31</v>
      </c>
      <c r="D391" s="17" t="s">
        <v>98</v>
      </c>
      <c r="E391" s="18">
        <f>IF(T298&gt;T300,T298,T300/SQRT(2))</f>
        <v>146458.18515876809</v>
      </c>
      <c r="F391" s="17">
        <v>1</v>
      </c>
      <c r="G391" s="17">
        <f>IF(T185&gt;T187,1000,9)</f>
        <v>9</v>
      </c>
      <c r="H391" s="17">
        <f t="shared" si="75"/>
        <v>146458.18515876809</v>
      </c>
      <c r="I391" s="17">
        <v>1</v>
      </c>
      <c r="J391" s="17">
        <f t="shared" si="76"/>
        <v>146458.18515876809</v>
      </c>
      <c r="K391" s="17">
        <f t="shared" si="77"/>
        <v>21449999999.999996</v>
      </c>
      <c r="L391" s="17">
        <f t="shared" si="78"/>
        <v>5.1122499999999984E+19</v>
      </c>
    </row>
    <row r="392" spans="1:17" x14ac:dyDescent="0.25">
      <c r="B392" s="16" t="s">
        <v>99</v>
      </c>
      <c r="C392" s="14" t="s">
        <v>31</v>
      </c>
      <c r="D392" s="17" t="s">
        <v>100</v>
      </c>
      <c r="E392" s="18">
        <f>0.08*P392</f>
        <v>0</v>
      </c>
      <c r="F392" s="17">
        <v>1</v>
      </c>
      <c r="G392" s="17">
        <v>4</v>
      </c>
      <c r="H392" s="17">
        <f t="shared" si="75"/>
        <v>0</v>
      </c>
      <c r="I392" s="17">
        <v>1</v>
      </c>
      <c r="J392" s="17">
        <f t="shared" si="76"/>
        <v>0</v>
      </c>
      <c r="K392" s="17">
        <f t="shared" si="77"/>
        <v>0</v>
      </c>
      <c r="L392" s="17">
        <f t="shared" si="78"/>
        <v>0</v>
      </c>
      <c r="N392" s="303" t="s">
        <v>109</v>
      </c>
      <c r="O392" s="303" t="e">
        <f>IF(ISNUMBER(Database!AU21),Database!AU21,VALUE(LEFT(Database!AU21,LEN(Database!AU21)-1)))</f>
        <v>#N/A</v>
      </c>
      <c r="P392" s="303">
        <f>IFERROR( INDEX(CHOOSE(
    MATCH($C$18,Database!$A$8:$A$11,0),
  Database!$BI$4:$BI$27,
    Database!$BJ$4:$BJ$27,
   Database!$BI$4:$BI$27,
 Database!$BL$4:$BL$27   ),
   MATCH(O392,Database!$BG$4:$BG$27,   0)),  0 )</f>
        <v>0</v>
      </c>
      <c r="Q392" s="303" t="s">
        <v>31</v>
      </c>
    </row>
    <row r="393" spans="1:17" x14ac:dyDescent="0.25">
      <c r="B393" s="16" t="s">
        <v>99</v>
      </c>
      <c r="C393" s="14" t="s">
        <v>31</v>
      </c>
      <c r="D393" s="17" t="s">
        <v>100</v>
      </c>
      <c r="E393" s="18">
        <f t="shared" ref="E393:E399" si="79">0.08*P393</f>
        <v>0</v>
      </c>
      <c r="F393" s="17">
        <v>1</v>
      </c>
      <c r="G393" s="17">
        <v>4</v>
      </c>
      <c r="H393" s="17">
        <f t="shared" ref="H393:H399" si="80">E393/F393</f>
        <v>0</v>
      </c>
      <c r="I393" s="17">
        <v>1</v>
      </c>
      <c r="J393" s="17">
        <f t="shared" ref="J393:J399" si="81">H393*I393</f>
        <v>0</v>
      </c>
      <c r="K393" s="17">
        <f t="shared" ref="K393:K399" si="82">J393^2</f>
        <v>0</v>
      </c>
      <c r="L393" s="17">
        <f t="shared" ref="L393:L399" si="83">J393^4/G393</f>
        <v>0</v>
      </c>
      <c r="N393" s="303" t="s">
        <v>109</v>
      </c>
      <c r="O393" s="303" t="e">
        <f>IF(ISNUMBER(Database!AU22),Database!AU22,VALUE(LEFT(Database!AU22,LEN(Database!AU22)-1)))</f>
        <v>#N/A</v>
      </c>
      <c r="P393" s="303">
        <f>IFERROR( INDEX(CHOOSE(
    MATCH($C$18,Database!$A$8:$A$11,0),
  Database!$BI$4:$BI$27,
    Database!$BJ$4:$BJ$27,
   Database!$BI$4:$BI$27,
 Database!$BL$4:$BL$27   ),
   MATCH(O393,Database!$BG$4:$BG$27,   0)),  0 )</f>
        <v>0</v>
      </c>
      <c r="Q393" s="303" t="s">
        <v>31</v>
      </c>
    </row>
    <row r="394" spans="1:17" x14ac:dyDescent="0.25">
      <c r="B394" s="16" t="s">
        <v>99</v>
      </c>
      <c r="C394" s="14" t="s">
        <v>31</v>
      </c>
      <c r="D394" s="17" t="s">
        <v>100</v>
      </c>
      <c r="E394" s="18">
        <f t="shared" si="79"/>
        <v>0</v>
      </c>
      <c r="F394" s="17">
        <v>1</v>
      </c>
      <c r="G394" s="17">
        <v>4</v>
      </c>
      <c r="H394" s="17">
        <f t="shared" si="80"/>
        <v>0</v>
      </c>
      <c r="I394" s="17">
        <v>1</v>
      </c>
      <c r="J394" s="17">
        <f t="shared" si="81"/>
        <v>0</v>
      </c>
      <c r="K394" s="17">
        <f t="shared" si="82"/>
        <v>0</v>
      </c>
      <c r="L394" s="17">
        <f t="shared" si="83"/>
        <v>0</v>
      </c>
      <c r="N394" s="303" t="s">
        <v>109</v>
      </c>
      <c r="O394" s="303" t="e">
        <f>IF(ISNUMBER(Database!AU23),Database!AU23,VALUE(LEFT(Database!AU23,LEN(Database!AU23)-1)))</f>
        <v>#N/A</v>
      </c>
      <c r="P394" s="303">
        <f>IFERROR( INDEX(CHOOSE(
    MATCH($C$18,Database!$A$8:$A$11,0),
  Database!$BI$4:$BI$27,
    Database!$BJ$4:$BJ$27,
   Database!$BI$4:$BI$27,
 Database!$BL$4:$BL$27   ),
   MATCH(O394,Database!$BG$4:$BG$27,   0)),  0 )</f>
        <v>0</v>
      </c>
      <c r="Q394" s="303" t="s">
        <v>31</v>
      </c>
    </row>
    <row r="395" spans="1:17" x14ac:dyDescent="0.25">
      <c r="B395" s="16" t="s">
        <v>99</v>
      </c>
      <c r="C395" s="14" t="s">
        <v>31</v>
      </c>
      <c r="D395" s="17" t="s">
        <v>100</v>
      </c>
      <c r="E395" s="18">
        <f t="shared" si="79"/>
        <v>0</v>
      </c>
      <c r="F395" s="17">
        <v>1</v>
      </c>
      <c r="G395" s="17">
        <v>4</v>
      </c>
      <c r="H395" s="17">
        <f t="shared" si="80"/>
        <v>0</v>
      </c>
      <c r="I395" s="17">
        <v>1</v>
      </c>
      <c r="J395" s="17">
        <f t="shared" si="81"/>
        <v>0</v>
      </c>
      <c r="K395" s="17">
        <f t="shared" si="82"/>
        <v>0</v>
      </c>
      <c r="L395" s="17">
        <f t="shared" si="83"/>
        <v>0</v>
      </c>
      <c r="N395" s="303" t="s">
        <v>109</v>
      </c>
      <c r="O395" s="303" t="e">
        <f>IF(ISNUMBER(Database!AU24),Database!AU24,VALUE(LEFT(Database!AU24,LEN(Database!AU24)-1)))</f>
        <v>#N/A</v>
      </c>
      <c r="P395" s="303">
        <f>IFERROR( INDEX(CHOOSE(
    MATCH($C$18,Database!$A$8:$A$11,0),
  Database!$BI$4:$BI$27,
    Database!$BJ$4:$BJ$27,
   Database!$BI$4:$BI$27,
 Database!$BL$4:$BL$27   ),
   MATCH(O395,Database!$BG$4:$BG$27,   0)),  0 )</f>
        <v>0</v>
      </c>
      <c r="Q395" s="303" t="s">
        <v>31</v>
      </c>
    </row>
    <row r="396" spans="1:17" x14ac:dyDescent="0.25">
      <c r="B396" s="16" t="s">
        <v>99</v>
      </c>
      <c r="C396" s="14" t="s">
        <v>31</v>
      </c>
      <c r="D396" s="17" t="s">
        <v>100</v>
      </c>
      <c r="E396" s="18">
        <f t="shared" si="79"/>
        <v>0</v>
      </c>
      <c r="F396" s="17">
        <v>1</v>
      </c>
      <c r="G396" s="17">
        <v>4</v>
      </c>
      <c r="H396" s="17">
        <f t="shared" si="80"/>
        <v>0</v>
      </c>
      <c r="I396" s="17">
        <v>1</v>
      </c>
      <c r="J396" s="17">
        <f t="shared" si="81"/>
        <v>0</v>
      </c>
      <c r="K396" s="17">
        <f t="shared" si="82"/>
        <v>0</v>
      </c>
      <c r="L396" s="17">
        <f t="shared" si="83"/>
        <v>0</v>
      </c>
      <c r="N396" s="303" t="s">
        <v>109</v>
      </c>
      <c r="O396" s="303" t="e">
        <f>IF(ISNUMBER(Database!AU25),Database!AU25,VALUE(LEFT(Database!AU25,LEN(Database!AU25)-1)))</f>
        <v>#N/A</v>
      </c>
      <c r="P396" s="303">
        <f>IFERROR( INDEX(CHOOSE(
    MATCH($C$18,Database!$A$8:$A$11,0),
  Database!$BI$4:$BI$27,
    Database!$BJ$4:$BJ$27,
   Database!$BI$4:$BI$27,
 Database!$BL$4:$BL$27   ),
   MATCH(O396,Database!$BG$4:$BG$27,   0)),  0 )</f>
        <v>0</v>
      </c>
      <c r="Q396" s="303" t="s">
        <v>31</v>
      </c>
    </row>
    <row r="397" spans="1:17" x14ac:dyDescent="0.25">
      <c r="B397" s="16" t="s">
        <v>99</v>
      </c>
      <c r="C397" s="14" t="s">
        <v>31</v>
      </c>
      <c r="D397" s="17" t="s">
        <v>100</v>
      </c>
      <c r="E397" s="18">
        <f t="shared" si="79"/>
        <v>0</v>
      </c>
      <c r="F397" s="17">
        <v>1</v>
      </c>
      <c r="G397" s="17">
        <v>4</v>
      </c>
      <c r="H397" s="17">
        <f t="shared" si="80"/>
        <v>0</v>
      </c>
      <c r="I397" s="17">
        <v>1</v>
      </c>
      <c r="J397" s="17">
        <f t="shared" si="81"/>
        <v>0</v>
      </c>
      <c r="K397" s="17">
        <f t="shared" si="82"/>
        <v>0</v>
      </c>
      <c r="L397" s="17">
        <f t="shared" si="83"/>
        <v>0</v>
      </c>
    </row>
    <row r="398" spans="1:17" x14ac:dyDescent="0.25">
      <c r="B398" s="16" t="s">
        <v>99</v>
      </c>
      <c r="C398" s="14" t="s">
        <v>31</v>
      </c>
      <c r="D398" s="17" t="s">
        <v>100</v>
      </c>
      <c r="E398" s="18">
        <f t="shared" si="79"/>
        <v>0</v>
      </c>
      <c r="F398" s="17">
        <v>1</v>
      </c>
      <c r="G398" s="17">
        <v>4</v>
      </c>
      <c r="H398" s="17">
        <f t="shared" si="80"/>
        <v>0</v>
      </c>
      <c r="I398" s="17">
        <v>1</v>
      </c>
      <c r="J398" s="17">
        <f t="shared" si="81"/>
        <v>0</v>
      </c>
      <c r="K398" s="17">
        <f t="shared" si="82"/>
        <v>0</v>
      </c>
      <c r="L398" s="17">
        <f t="shared" si="83"/>
        <v>0</v>
      </c>
    </row>
    <row r="399" spans="1:17" x14ac:dyDescent="0.25">
      <c r="B399" s="16" t="s">
        <v>99</v>
      </c>
      <c r="C399" s="14" t="s">
        <v>31</v>
      </c>
      <c r="D399" s="17" t="s">
        <v>100</v>
      </c>
      <c r="E399" s="18">
        <f t="shared" si="79"/>
        <v>0</v>
      </c>
      <c r="F399" s="17">
        <v>1</v>
      </c>
      <c r="G399" s="17">
        <v>4</v>
      </c>
      <c r="H399" s="17">
        <f t="shared" si="80"/>
        <v>0</v>
      </c>
      <c r="I399" s="17">
        <v>1</v>
      </c>
      <c r="J399" s="17">
        <f t="shared" si="81"/>
        <v>0</v>
      </c>
      <c r="K399" s="17">
        <f t="shared" si="82"/>
        <v>0</v>
      </c>
      <c r="L399" s="17">
        <f t="shared" si="83"/>
        <v>0</v>
      </c>
    </row>
    <row r="400" spans="1:17" x14ac:dyDescent="0.25">
      <c r="B400" s="19" t="s">
        <v>101</v>
      </c>
      <c r="C400" s="14" t="s">
        <v>31</v>
      </c>
      <c r="D400" s="20" t="s">
        <v>100</v>
      </c>
      <c r="E400" s="21">
        <f>1/2</f>
        <v>0.5</v>
      </c>
      <c r="F400" s="20">
        <f>SQRT(3)</f>
        <v>1.7320508075688772</v>
      </c>
      <c r="G400" s="20">
        <v>1000</v>
      </c>
      <c r="H400" s="20">
        <f t="shared" si="75"/>
        <v>0.28867513459481292</v>
      </c>
      <c r="I400" s="20">
        <v>1</v>
      </c>
      <c r="J400" s="20">
        <f t="shared" si="76"/>
        <v>0.28867513459481292</v>
      </c>
      <c r="K400" s="20">
        <f t="shared" si="77"/>
        <v>8.3333333333333356E-2</v>
      </c>
      <c r="L400" s="20">
        <f t="shared" si="78"/>
        <v>6.9444444444444482E-6</v>
      </c>
    </row>
    <row r="401" spans="1:12" x14ac:dyDescent="0.25">
      <c r="B401" s="22" t="s">
        <v>102</v>
      </c>
      <c r="C401" s="23"/>
      <c r="D401" s="23"/>
      <c r="E401" s="24"/>
      <c r="F401" s="23"/>
      <c r="G401" s="23"/>
      <c r="H401" s="23"/>
      <c r="I401" s="25"/>
      <c r="J401" s="26"/>
      <c r="K401" s="14">
        <f>SUM(K390:K400)</f>
        <v>21450012656.333328</v>
      </c>
      <c r="L401" s="14">
        <f>SUM(L390:L400)</f>
        <v>5.1122500000002654E+19</v>
      </c>
    </row>
    <row r="402" spans="1:12" x14ac:dyDescent="0.25">
      <c r="B402" s="27" t="s">
        <v>103</v>
      </c>
      <c r="C402" s="28"/>
      <c r="D402" s="28"/>
      <c r="E402" s="29"/>
      <c r="F402" s="28"/>
      <c r="G402" s="28"/>
      <c r="H402" s="28"/>
      <c r="I402" s="30"/>
      <c r="J402" s="31"/>
      <c r="K402" s="17">
        <f>SQRT(K401)</f>
        <v>146458.22836677128</v>
      </c>
      <c r="L402" s="17"/>
    </row>
    <row r="403" spans="1:12" x14ac:dyDescent="0.25">
      <c r="B403" s="27" t="s">
        <v>104</v>
      </c>
      <c r="C403" s="28"/>
      <c r="D403" s="28"/>
      <c r="E403" s="29"/>
      <c r="F403" s="28"/>
      <c r="G403" s="28"/>
      <c r="H403" s="28"/>
      <c r="I403" s="30"/>
      <c r="J403" s="31"/>
      <c r="K403" s="32">
        <f>K402^4/L401</f>
        <v>9.0000106207019623</v>
      </c>
      <c r="L403" s="17"/>
    </row>
    <row r="404" spans="1:12" x14ac:dyDescent="0.25">
      <c r="B404" s="27" t="s">
        <v>105</v>
      </c>
      <c r="C404" s="28"/>
      <c r="D404" s="28"/>
      <c r="E404" s="29"/>
      <c r="F404" s="28"/>
      <c r="G404" s="28"/>
      <c r="H404" s="28"/>
      <c r="I404" s="30"/>
      <c r="J404" s="31"/>
      <c r="K404" s="33">
        <f>1.96+(2.5/K403)+(2.3/K403^2)+(2.2/K403^3)+(3.7/K403^4)</f>
        <v>2.2697542024161774</v>
      </c>
      <c r="L404" s="17"/>
    </row>
    <row r="405" spans="1:12" x14ac:dyDescent="0.25">
      <c r="B405" s="27" t="s">
        <v>106</v>
      </c>
      <c r="C405" s="28"/>
      <c r="D405" s="28"/>
      <c r="E405" s="29"/>
      <c r="F405" s="28"/>
      <c r="G405" s="28"/>
      <c r="H405" s="28"/>
      <c r="I405" s="30"/>
      <c r="J405" s="31"/>
      <c r="K405" s="48">
        <f>K404*K402</f>
        <v>332424.17931390728</v>
      </c>
      <c r="L405" s="17"/>
    </row>
    <row r="406" spans="1:12" x14ac:dyDescent="0.25">
      <c r="B406" s="34" t="s">
        <v>107</v>
      </c>
      <c r="C406" s="35"/>
      <c r="D406" s="35"/>
      <c r="E406" s="36"/>
      <c r="F406" s="35"/>
      <c r="G406" s="35"/>
      <c r="H406" s="35"/>
      <c r="I406" s="37"/>
      <c r="J406" s="38"/>
      <c r="K406" s="112">
        <f>K404*K402/1000</f>
        <v>332.4241793139073</v>
      </c>
      <c r="L406" s="20"/>
    </row>
    <row r="407" spans="1:12" x14ac:dyDescent="0.25">
      <c r="B407" s="39" t="s">
        <v>110</v>
      </c>
      <c r="K407" s="258">
        <f t="array" ref="K407">IFERROR(INDEX(Database!$BE$4:$BE$11, MATCH(1, (B385&gt;=Database!$BC$4:$BC$11)*(B385&lt;=Database!$BD$4:$BD$11), 0)),0)</f>
        <v>80000</v>
      </c>
    </row>
    <row r="408" spans="1:12" x14ac:dyDescent="0.25">
      <c r="B408" s="8"/>
    </row>
    <row r="409" spans="1:12" x14ac:dyDescent="0.25">
      <c r="B409" s="8"/>
    </row>
    <row r="410" spans="1:12" x14ac:dyDescent="0.3">
      <c r="A410" s="130" t="s">
        <v>177</v>
      </c>
      <c r="B410">
        <f>IF(C19="custom",B109,B108)</f>
        <v>20000</v>
      </c>
      <c r="C410" s="43" t="s">
        <v>30</v>
      </c>
    </row>
    <row r="411" spans="1:12" x14ac:dyDescent="0.3">
      <c r="A411" cm="1">
        <f t="array" ref="A411:A412">B109:B110</f>
        <v>55000</v>
      </c>
      <c r="B411" s="8">
        <f>B410*1000</f>
        <v>20000000</v>
      </c>
      <c r="C411" s="8" t="s">
        <v>31</v>
      </c>
      <c r="D411" s="8"/>
      <c r="E411" s="8" t="s">
        <v>33</v>
      </c>
      <c r="F411" s="47" cm="1">
        <f t="array" ref="F411">IF(C18="M1",SUM(IFERROR(INDEX(
Database!CB4:CD33,
MATCH(K109:O109,Database!CB4:CB33,0),3),0)),
SUM(IFERROR(INDEX(CHOOSE(
MATCH(C18,Database!A8:A10,0),
Database!BP4:BR21,
Database!BT4:BV21,
Database!CB4:CD33,
Database!BX4:BZ21
),
MATCH(Database!Z31:AI31,INDEX(
CHOOSE(MATCH(C18,Database!A8:A10,0),
Database!BP4:BR21,
Database!BT4:BV21,
Database!CB4:CD33,
Database!BX4:BZ21
),,1),0),3),0)))</f>
        <v>129.6</v>
      </c>
      <c r="G411" s="8" t="s">
        <v>31</v>
      </c>
      <c r="H411" s="8"/>
      <c r="I411" s="8"/>
      <c r="J411" s="8"/>
      <c r="K411" s="8"/>
      <c r="L411" s="8"/>
    </row>
    <row r="412" spans="1:12" x14ac:dyDescent="0.3">
      <c r="A412">
        <v>0</v>
      </c>
      <c r="B412" s="8"/>
      <c r="C412" s="8"/>
      <c r="D412" s="8"/>
      <c r="E412" s="8"/>
      <c r="F412" s="127"/>
      <c r="G412" s="8"/>
      <c r="H412" s="8"/>
      <c r="I412" s="8"/>
      <c r="K412" s="8"/>
      <c r="L412" s="8"/>
    </row>
    <row r="413" spans="1:12" ht="15.6" x14ac:dyDescent="0.25">
      <c r="A413">
        <v>1</v>
      </c>
      <c r="B413" s="10" t="s">
        <v>85</v>
      </c>
      <c r="C413" s="10" t="s">
        <v>86</v>
      </c>
      <c r="D413" s="10" t="s">
        <v>87</v>
      </c>
      <c r="E413" s="10" t="s">
        <v>33</v>
      </c>
      <c r="F413" s="10" t="s">
        <v>88</v>
      </c>
      <c r="G413" s="10" t="s">
        <v>89</v>
      </c>
      <c r="H413" s="11" t="s">
        <v>90</v>
      </c>
      <c r="I413" s="10" t="s">
        <v>91</v>
      </c>
      <c r="J413" s="11" t="s">
        <v>92</v>
      </c>
      <c r="K413" s="11" t="s">
        <v>93</v>
      </c>
      <c r="L413" s="10" t="s">
        <v>94</v>
      </c>
    </row>
    <row r="414" spans="1:12" x14ac:dyDescent="0.25">
      <c r="B414" s="12">
        <v>1</v>
      </c>
      <c r="C414" s="12">
        <v>2</v>
      </c>
      <c r="D414" s="12">
        <v>3</v>
      </c>
      <c r="E414" s="12">
        <v>4</v>
      </c>
      <c r="F414" s="12">
        <v>5</v>
      </c>
      <c r="G414" s="12">
        <v>6</v>
      </c>
      <c r="H414" s="12">
        <v>7</v>
      </c>
      <c r="I414" s="12">
        <v>8</v>
      </c>
      <c r="J414" s="12">
        <v>9</v>
      </c>
      <c r="K414" s="12">
        <v>10</v>
      </c>
      <c r="L414" s="12">
        <v>11</v>
      </c>
    </row>
    <row r="415" spans="1:12" x14ac:dyDescent="0.25">
      <c r="B415" s="13" t="s">
        <v>95</v>
      </c>
      <c r="C415" s="14" t="s">
        <v>31</v>
      </c>
      <c r="D415" s="14" t="s">
        <v>96</v>
      </c>
      <c r="E415" s="15">
        <f>F411</f>
        <v>129.6</v>
      </c>
      <c r="F415" s="14">
        <v>2</v>
      </c>
      <c r="G415" s="14">
        <v>60</v>
      </c>
      <c r="H415" s="14">
        <f t="shared" ref="H415:H422" si="84">E415/F415</f>
        <v>64.8</v>
      </c>
      <c r="I415" s="14">
        <v>1</v>
      </c>
      <c r="J415" s="14">
        <f t="shared" ref="J415:J422" si="85">H415*I415</f>
        <v>64.8</v>
      </c>
      <c r="K415" s="14">
        <f t="shared" ref="K415:K422" si="86">J415^2</f>
        <v>4199.04</v>
      </c>
      <c r="L415" s="14">
        <f t="shared" ref="L415:L422" si="87">J415^4/G415</f>
        <v>293865.61536</v>
      </c>
    </row>
    <row r="416" spans="1:12" x14ac:dyDescent="0.25">
      <c r="B416" s="16" t="s">
        <v>97</v>
      </c>
      <c r="C416" s="14" t="s">
        <v>31</v>
      </c>
      <c r="D416" s="17" t="s">
        <v>98</v>
      </c>
      <c r="E416" s="18">
        <f>IF(T298&gt;T300,T298,T300/SQRT(2))</f>
        <v>146458.18515876809</v>
      </c>
      <c r="F416" s="17">
        <v>1</v>
      </c>
      <c r="G416" s="17">
        <f>IF(T185&gt;T187,1000,9)</f>
        <v>9</v>
      </c>
      <c r="H416" s="17">
        <f t="shared" si="84"/>
        <v>146458.18515876809</v>
      </c>
      <c r="I416" s="17">
        <v>1</v>
      </c>
      <c r="J416" s="17">
        <f t="shared" si="85"/>
        <v>146458.18515876809</v>
      </c>
      <c r="K416" s="17">
        <f t="shared" si="86"/>
        <v>21449999999.999996</v>
      </c>
      <c r="L416" s="17">
        <f t="shared" si="87"/>
        <v>5.1122499999999984E+19</v>
      </c>
    </row>
    <row r="417" spans="1:17" x14ac:dyDescent="0.25">
      <c r="B417" s="16" t="s">
        <v>99</v>
      </c>
      <c r="C417" s="14" t="s">
        <v>31</v>
      </c>
      <c r="D417" s="17" t="s">
        <v>100</v>
      </c>
      <c r="E417" s="18">
        <f>0.08*P417</f>
        <v>80</v>
      </c>
      <c r="F417" s="17">
        <v>1</v>
      </c>
      <c r="G417" s="17">
        <v>4</v>
      </c>
      <c r="H417" s="17">
        <f t="shared" si="84"/>
        <v>80</v>
      </c>
      <c r="I417" s="17">
        <v>1</v>
      </c>
      <c r="J417" s="17">
        <f t="shared" si="85"/>
        <v>80</v>
      </c>
      <c r="K417" s="17">
        <f t="shared" si="86"/>
        <v>6400</v>
      </c>
      <c r="L417" s="17">
        <f t="shared" si="87"/>
        <v>10240000</v>
      </c>
      <c r="N417" s="303" t="s">
        <v>109</v>
      </c>
      <c r="O417" s="303">
        <f>IF(ISNUMBER(Database!AV21),Database!AV21,VALUE(LEFT(Database!AV21,LEN(Database!AV21)-1)))</f>
        <v>20000</v>
      </c>
      <c r="P417" s="303">
        <f>IFERROR( INDEX(CHOOSE(
    MATCH($C$18,Database!$A$8:$A$11,0),
  Database!$BI$4:$BI$27,
    Database!$BJ$4:$BJ$27,
   Database!$BI$4:$BI$27,
 Database!$BL$4:$BL$27   ),
   MATCH(O417,Database!$BG$4:$BG$27,   0)),  0 )</f>
        <v>1000</v>
      </c>
      <c r="Q417" s="303" t="s">
        <v>31</v>
      </c>
    </row>
    <row r="418" spans="1:17" x14ac:dyDescent="0.25">
      <c r="B418" s="16" t="s">
        <v>99</v>
      </c>
      <c r="C418" s="14" t="s">
        <v>31</v>
      </c>
      <c r="D418" s="17" t="s">
        <v>100</v>
      </c>
      <c r="E418" s="18">
        <f t="shared" ref="E418:E421" si="88">0.08*P418</f>
        <v>0</v>
      </c>
      <c r="F418" s="17">
        <v>1</v>
      </c>
      <c r="G418" s="17">
        <v>4</v>
      </c>
      <c r="H418" s="17">
        <f t="shared" si="84"/>
        <v>0</v>
      </c>
      <c r="I418" s="17">
        <v>1</v>
      </c>
      <c r="J418" s="17">
        <f t="shared" si="85"/>
        <v>0</v>
      </c>
      <c r="K418" s="17">
        <f t="shared" si="86"/>
        <v>0</v>
      </c>
      <c r="L418" s="17">
        <f t="shared" si="87"/>
        <v>0</v>
      </c>
      <c r="N418" s="303" t="s">
        <v>109</v>
      </c>
      <c r="O418" s="303">
        <f>IF(ISNUMBER(Database!AV22),Database!AV22,VALUE(LEFT(Database!AV22,LEN(Database!AV22)-1)))</f>
        <v>0</v>
      </c>
      <c r="P418" s="303">
        <f>IFERROR( INDEX(CHOOSE(
    MATCH($C$18,Database!$A$8:$A$11,0),
  Database!$BI$4:$BI$27,
    Database!$BJ$4:$BJ$27,
   Database!$BI$4:$BI$27,
 Database!$BL$4:$BL$27   ),
   MATCH(O418,Database!$BG$4:$BG$27,   0)),  0 )</f>
        <v>0</v>
      </c>
      <c r="Q418" s="303" t="s">
        <v>31</v>
      </c>
    </row>
    <row r="419" spans="1:17" x14ac:dyDescent="0.25">
      <c r="B419" s="16" t="s">
        <v>99</v>
      </c>
      <c r="C419" s="14" t="s">
        <v>31</v>
      </c>
      <c r="D419" s="17" t="s">
        <v>100</v>
      </c>
      <c r="E419" s="18">
        <f t="shared" si="88"/>
        <v>0</v>
      </c>
      <c r="F419" s="17">
        <v>1</v>
      </c>
      <c r="G419" s="17">
        <v>4</v>
      </c>
      <c r="H419" s="17">
        <f t="shared" si="84"/>
        <v>0</v>
      </c>
      <c r="I419" s="17">
        <v>1</v>
      </c>
      <c r="J419" s="17">
        <f t="shared" si="85"/>
        <v>0</v>
      </c>
      <c r="K419" s="17">
        <f t="shared" si="86"/>
        <v>0</v>
      </c>
      <c r="L419" s="17">
        <f t="shared" si="87"/>
        <v>0</v>
      </c>
      <c r="N419" s="303" t="s">
        <v>109</v>
      </c>
      <c r="O419" s="303">
        <f>IF(ISNUMBER(Database!AV23),Database!AV23,VALUE(LEFT(Database!AV23,LEN(Database!AV23)-1)))</f>
        <v>0</v>
      </c>
      <c r="P419" s="303">
        <f>IFERROR( INDEX(CHOOSE(
    MATCH($C$18,Database!$A$8:$A$11,0),
  Database!$BI$4:$BI$27,
    Database!$BJ$4:$BJ$27,
   Database!$BI$4:$BI$27,
 Database!$BL$4:$BL$27   ),
   MATCH(O419,Database!$BG$4:$BG$27,   0)),  0 )</f>
        <v>0</v>
      </c>
      <c r="Q419" s="303" t="s">
        <v>31</v>
      </c>
    </row>
    <row r="420" spans="1:17" x14ac:dyDescent="0.25">
      <c r="B420" s="16" t="s">
        <v>99</v>
      </c>
      <c r="C420" s="14" t="s">
        <v>31</v>
      </c>
      <c r="D420" s="17" t="s">
        <v>100</v>
      </c>
      <c r="E420" s="18">
        <f t="shared" si="88"/>
        <v>0</v>
      </c>
      <c r="F420" s="17">
        <v>1</v>
      </c>
      <c r="G420" s="17">
        <v>4</v>
      </c>
      <c r="H420" s="17">
        <f t="shared" si="84"/>
        <v>0</v>
      </c>
      <c r="I420" s="17">
        <v>1</v>
      </c>
      <c r="J420" s="17">
        <f t="shared" si="85"/>
        <v>0</v>
      </c>
      <c r="K420" s="17">
        <f t="shared" si="86"/>
        <v>0</v>
      </c>
      <c r="L420" s="17">
        <f t="shared" si="87"/>
        <v>0</v>
      </c>
      <c r="N420" s="303" t="s">
        <v>109</v>
      </c>
      <c r="O420" s="303">
        <f>IF(ISNUMBER(Database!AV24),Database!AV24,VALUE(LEFT(Database!AV24,LEN(Database!AV24)-1)))</f>
        <v>0</v>
      </c>
      <c r="P420" s="303">
        <f>IFERROR( INDEX(CHOOSE(
    MATCH($C$18,Database!$A$8:$A$11,0),
  Database!$BI$4:$BI$27,
    Database!$BJ$4:$BJ$27,
   Database!$BI$4:$BI$27,
 Database!$BL$4:$BL$27   ),
   MATCH(O420,Database!$BG$4:$BG$27,   0)),  0 )</f>
        <v>0</v>
      </c>
      <c r="Q420" s="303" t="s">
        <v>31</v>
      </c>
    </row>
    <row r="421" spans="1:17" x14ac:dyDescent="0.25">
      <c r="B421" s="16" t="s">
        <v>99</v>
      </c>
      <c r="C421" s="14" t="s">
        <v>31</v>
      </c>
      <c r="D421" s="17" t="s">
        <v>100</v>
      </c>
      <c r="E421" s="18">
        <f t="shared" si="88"/>
        <v>0</v>
      </c>
      <c r="F421" s="17">
        <v>1</v>
      </c>
      <c r="G421" s="17">
        <v>4</v>
      </c>
      <c r="H421" s="17">
        <f t="shared" si="84"/>
        <v>0</v>
      </c>
      <c r="I421" s="17">
        <v>1</v>
      </c>
      <c r="J421" s="17">
        <f t="shared" si="85"/>
        <v>0</v>
      </c>
      <c r="K421" s="17">
        <f t="shared" si="86"/>
        <v>0</v>
      </c>
      <c r="L421" s="17">
        <f t="shared" si="87"/>
        <v>0</v>
      </c>
      <c r="N421" s="303" t="s">
        <v>109</v>
      </c>
      <c r="O421" s="303">
        <f>IF(ISNUMBER(Database!AV25),Database!AV25,VALUE(LEFT(Database!AV25,LEN(Database!AV25)-1)))</f>
        <v>0</v>
      </c>
      <c r="P421" s="303">
        <f>IFERROR( INDEX(CHOOSE(
    MATCH($C$18,Database!$A$8:$A$11,0),
  Database!$BI$4:$BI$27,
    Database!$BJ$4:$BJ$27,
   Database!$BI$4:$BI$27,
 Database!$BL$4:$BL$27   ),
   MATCH(O421,Database!$BG$4:$BG$27,   0)),  0 )</f>
        <v>0</v>
      </c>
      <c r="Q421" s="303" t="s">
        <v>31</v>
      </c>
    </row>
    <row r="422" spans="1:17" x14ac:dyDescent="0.25">
      <c r="B422" s="19" t="s">
        <v>101</v>
      </c>
      <c r="C422" s="14" t="s">
        <v>31</v>
      </c>
      <c r="D422" s="20" t="s">
        <v>100</v>
      </c>
      <c r="E422" s="21">
        <f>0.001/2</f>
        <v>5.0000000000000001E-4</v>
      </c>
      <c r="F422" s="20">
        <f>SQRT(3)</f>
        <v>1.7320508075688772</v>
      </c>
      <c r="G422" s="20">
        <v>1000</v>
      </c>
      <c r="H422" s="20">
        <f t="shared" si="84"/>
        <v>2.886751345948129E-4</v>
      </c>
      <c r="I422" s="20">
        <v>1</v>
      </c>
      <c r="J422" s="20">
        <f t="shared" si="85"/>
        <v>2.886751345948129E-4</v>
      </c>
      <c r="K422" s="20">
        <f t="shared" si="86"/>
        <v>8.3333333333333338E-8</v>
      </c>
      <c r="L422" s="20">
        <f t="shared" si="87"/>
        <v>6.944444444444445E-18</v>
      </c>
    </row>
    <row r="423" spans="1:17" x14ac:dyDescent="0.25">
      <c r="B423" s="22" t="s">
        <v>102</v>
      </c>
      <c r="C423" s="23"/>
      <c r="D423" s="23"/>
      <c r="E423" s="24"/>
      <c r="F423" s="23"/>
      <c r="G423" s="23"/>
      <c r="H423" s="23"/>
      <c r="I423" s="25"/>
      <c r="J423" s="26"/>
      <c r="K423" s="14">
        <f>SUM(K415:K422)</f>
        <v>21450010599.039997</v>
      </c>
      <c r="L423" s="14">
        <f>SUM(L415:L422)</f>
        <v>5.1122500000010519E+19</v>
      </c>
    </row>
    <row r="424" spans="1:17" x14ac:dyDescent="0.25">
      <c r="B424" s="27" t="s">
        <v>103</v>
      </c>
      <c r="C424" s="28"/>
      <c r="D424" s="28"/>
      <c r="E424" s="29"/>
      <c r="F424" s="28"/>
      <c r="G424" s="28"/>
      <c r="H424" s="28"/>
      <c r="I424" s="30"/>
      <c r="J424" s="31"/>
      <c r="K424" s="17">
        <f>SQRT(K423)</f>
        <v>146458.22134328957</v>
      </c>
      <c r="L424" s="17"/>
    </row>
    <row r="425" spans="1:17" x14ac:dyDescent="0.25">
      <c r="B425" s="27" t="s">
        <v>104</v>
      </c>
      <c r="C425" s="28"/>
      <c r="D425" s="28"/>
      <c r="E425" s="29"/>
      <c r="F425" s="28"/>
      <c r="G425" s="28"/>
      <c r="H425" s="28"/>
      <c r="I425" s="30"/>
      <c r="J425" s="31"/>
      <c r="K425" s="32">
        <f>K424^4/L423</f>
        <v>9.000008894299647</v>
      </c>
      <c r="L425" s="17"/>
    </row>
    <row r="426" spans="1:17" x14ac:dyDescent="0.25">
      <c r="B426" s="27" t="s">
        <v>105</v>
      </c>
      <c r="C426" s="28"/>
      <c r="D426" s="28"/>
      <c r="E426" s="29"/>
      <c r="F426" s="28"/>
      <c r="G426" s="28"/>
      <c r="H426" s="28"/>
      <c r="I426" s="30"/>
      <c r="J426" s="31"/>
      <c r="K426" s="33">
        <f>1.96+(2.5/K425)+(2.3/K425^2)+(2.2/K425^3)+(3.7/K425^4)</f>
        <v>2.2697542687630294</v>
      </c>
      <c r="L426" s="17"/>
    </row>
    <row r="427" spans="1:17" x14ac:dyDescent="0.25">
      <c r="B427" s="27" t="s">
        <v>106</v>
      </c>
      <c r="C427" s="28"/>
      <c r="D427" s="28"/>
      <c r="E427" s="29"/>
      <c r="F427" s="28"/>
      <c r="G427" s="28"/>
      <c r="H427" s="28"/>
      <c r="I427" s="30"/>
      <c r="J427" s="31"/>
      <c r="K427" s="48">
        <f>K426*K424</f>
        <v>332424.17308937211</v>
      </c>
      <c r="L427" s="17"/>
    </row>
    <row r="428" spans="1:17" x14ac:dyDescent="0.25">
      <c r="B428" s="34" t="s">
        <v>107</v>
      </c>
      <c r="C428" s="35"/>
      <c r="D428" s="35"/>
      <c r="E428" s="36"/>
      <c r="F428" s="35"/>
      <c r="G428" s="35"/>
      <c r="H428" s="35"/>
      <c r="I428" s="37"/>
      <c r="J428" s="38"/>
      <c r="K428" s="112">
        <f>K426*K424/1000</f>
        <v>332.42417308937212</v>
      </c>
      <c r="L428" s="20"/>
    </row>
    <row r="429" spans="1:17" x14ac:dyDescent="0.25">
      <c r="B429" s="39" t="s">
        <v>110</v>
      </c>
      <c r="K429" s="258">
        <f t="array" ref="K429">IFERROR(INDEX(Database!$BE$4:$BE$11, MATCH(1, (B410&gt;=Database!$BC$4:$BC$11)*(B410&lt;=Database!$BD$4:$BD$11), 0)),0)</f>
        <v>22</v>
      </c>
    </row>
    <row r="430" spans="1:17" x14ac:dyDescent="0.25">
      <c r="B430" s="8"/>
    </row>
    <row r="432" spans="1:17" x14ac:dyDescent="0.3">
      <c r="A432" s="316" t="s">
        <v>301</v>
      </c>
      <c r="B432">
        <f>IF(C19="custom",B113,B112)</f>
        <v>20000</v>
      </c>
      <c r="C432" s="43" t="s">
        <v>30</v>
      </c>
    </row>
    <row r="433" spans="2:17" x14ac:dyDescent="0.3">
      <c r="B433" s="8">
        <f>B432*1000</f>
        <v>20000000</v>
      </c>
      <c r="C433" s="8" t="s">
        <v>31</v>
      </c>
      <c r="D433" s="8"/>
      <c r="E433" s="8" t="s">
        <v>33</v>
      </c>
      <c r="F433" s="47">
        <f t="array" ref="F433">IF(C18="M1",SUM(IFERROR(INDEX(
Database!CB4:CD33,
MATCH(K113:O113,Database!CB4:CB33,0),3),0)),
SUM(IFERROR(INDEX(CHOOSE(
MATCH(C18,Database!A8:A10,0),
Database!BP4:BR21,
Database!BT4:BV21,
Database!CB4:CD33,
Database!BX4:BZ21
),
MATCH(Database!Z32:AI32,INDEX(
CHOOSE(MATCH(C18,Database!A8:A10,0),
Database!BP4:BR21,
Database!BT4:BV21,
Database!CB4:CD33,
Database!BX4:BZ21
),,1),0),3),0)))</f>
        <v>45</v>
      </c>
      <c r="G433" s="8" t="s">
        <v>31</v>
      </c>
      <c r="H433" s="8"/>
      <c r="I433" s="8"/>
      <c r="J433" s="8"/>
      <c r="K433" s="8"/>
      <c r="L433" s="8"/>
    </row>
    <row r="434" spans="2:17" x14ac:dyDescent="0.3">
      <c r="B434" s="8"/>
      <c r="C434" s="8"/>
      <c r="D434" s="8"/>
      <c r="E434" s="8"/>
      <c r="F434" s="127"/>
      <c r="G434" s="8"/>
      <c r="H434" s="8"/>
      <c r="I434" s="8"/>
      <c r="K434" s="8"/>
      <c r="L434" s="8"/>
    </row>
    <row r="435" spans="2:17" ht="15.6" x14ac:dyDescent="0.25">
      <c r="B435" s="10" t="s">
        <v>85</v>
      </c>
      <c r="C435" s="10" t="s">
        <v>86</v>
      </c>
      <c r="D435" s="10" t="s">
        <v>87</v>
      </c>
      <c r="E435" s="10" t="s">
        <v>33</v>
      </c>
      <c r="F435" s="10" t="s">
        <v>88</v>
      </c>
      <c r="G435" s="10" t="s">
        <v>89</v>
      </c>
      <c r="H435" s="11" t="s">
        <v>90</v>
      </c>
      <c r="I435" s="10" t="s">
        <v>91</v>
      </c>
      <c r="J435" s="11" t="s">
        <v>92</v>
      </c>
      <c r="K435" s="11" t="s">
        <v>93</v>
      </c>
      <c r="L435" s="10" t="s">
        <v>94</v>
      </c>
    </row>
    <row r="436" spans="2:17" x14ac:dyDescent="0.25">
      <c r="B436" s="12">
        <v>1</v>
      </c>
      <c r="C436" s="12">
        <v>2</v>
      </c>
      <c r="D436" s="12">
        <v>3</v>
      </c>
      <c r="E436" s="12">
        <v>4</v>
      </c>
      <c r="F436" s="12">
        <v>5</v>
      </c>
      <c r="G436" s="12">
        <v>6</v>
      </c>
      <c r="H436" s="12">
        <v>7</v>
      </c>
      <c r="I436" s="12">
        <v>8</v>
      </c>
      <c r="J436" s="12">
        <v>9</v>
      </c>
      <c r="K436" s="12">
        <v>10</v>
      </c>
      <c r="L436" s="12">
        <v>11</v>
      </c>
    </row>
    <row r="437" spans="2:17" x14ac:dyDescent="0.25">
      <c r="B437" s="13" t="s">
        <v>95</v>
      </c>
      <c r="C437" s="14" t="s">
        <v>31</v>
      </c>
      <c r="D437" s="14" t="s">
        <v>96</v>
      </c>
      <c r="E437" s="15">
        <f>F433</f>
        <v>45</v>
      </c>
      <c r="F437" s="14">
        <v>2</v>
      </c>
      <c r="G437" s="14">
        <v>60</v>
      </c>
      <c r="H437" s="14">
        <f t="shared" ref="H437:H444" si="89">E437/F437</f>
        <v>22.5</v>
      </c>
      <c r="I437" s="14">
        <v>1</v>
      </c>
      <c r="J437" s="14">
        <f t="shared" ref="J437:J444" si="90">H437*I437</f>
        <v>22.5</v>
      </c>
      <c r="K437" s="14">
        <f t="shared" ref="K437:K444" si="91">J437^2</f>
        <v>506.25</v>
      </c>
      <c r="L437" s="14">
        <f t="shared" ref="L437:L444" si="92">J437^4/G437</f>
        <v>4271.484375</v>
      </c>
    </row>
    <row r="438" spans="2:17" x14ac:dyDescent="0.25">
      <c r="B438" s="16" t="s">
        <v>97</v>
      </c>
      <c r="C438" s="14" t="s">
        <v>31</v>
      </c>
      <c r="D438" s="17" t="s">
        <v>98</v>
      </c>
      <c r="E438" s="18">
        <f>E416</f>
        <v>146458.18515876809</v>
      </c>
      <c r="F438" s="17">
        <v>1</v>
      </c>
      <c r="G438" s="17">
        <f>IF(T185&gt;T187,1000,9)</f>
        <v>9</v>
      </c>
      <c r="H438" s="17">
        <f t="shared" si="89"/>
        <v>146458.18515876809</v>
      </c>
      <c r="I438" s="17">
        <v>1</v>
      </c>
      <c r="J438" s="17">
        <f t="shared" si="90"/>
        <v>146458.18515876809</v>
      </c>
      <c r="K438" s="17">
        <f t="shared" si="91"/>
        <v>21449999999.999996</v>
      </c>
      <c r="L438" s="17">
        <f t="shared" si="92"/>
        <v>5.1122499999999984E+19</v>
      </c>
      <c r="N438" s="303" t="s">
        <v>109</v>
      </c>
      <c r="O438" s="303">
        <f>IF(ISNUMBER(Database!AW21),Database!AW21,VALUE(LEFT(Database!AW21,LEN(Database!AW21)-1)))</f>
        <v>20000</v>
      </c>
      <c r="P438" s="303">
        <f>IFERROR( INDEX(CHOOSE(
    MATCH($C$18,Database!$A$8:$A$11,0),
  Database!$BI$4:$BI$27,
    Database!$BJ$4:$BJ$27,
   Database!$BI$4:$BI$27,
 Database!$BL$4:$BL$27   ),
   MATCH(O438,Database!$BG$4:$BG$27,   0)),  0 )</f>
        <v>1000</v>
      </c>
      <c r="Q438" s="303" t="s">
        <v>31</v>
      </c>
    </row>
    <row r="439" spans="2:17" x14ac:dyDescent="0.25">
      <c r="B439" s="16" t="s">
        <v>99</v>
      </c>
      <c r="C439" s="14" t="s">
        <v>31</v>
      </c>
      <c r="D439" s="17" t="s">
        <v>100</v>
      </c>
      <c r="E439" s="18">
        <f>0.08*P438</f>
        <v>80</v>
      </c>
      <c r="F439" s="17">
        <v>1</v>
      </c>
      <c r="G439" s="17">
        <v>4</v>
      </c>
      <c r="H439" s="17">
        <f t="shared" si="89"/>
        <v>80</v>
      </c>
      <c r="I439" s="17">
        <v>1</v>
      </c>
      <c r="J439" s="17">
        <f t="shared" si="90"/>
        <v>80</v>
      </c>
      <c r="K439" s="17">
        <f t="shared" si="91"/>
        <v>6400</v>
      </c>
      <c r="L439" s="17">
        <f t="shared" si="92"/>
        <v>10240000</v>
      </c>
      <c r="N439" s="303" t="s">
        <v>109</v>
      </c>
      <c r="O439" s="303">
        <f>IF(ISNUMBER(Database!AW22),Database!AW22,VALUE(LEFT(Database!AW22,LEN(Database!AW22)-1)))</f>
        <v>0</v>
      </c>
      <c r="P439" s="303">
        <f>IFERROR( INDEX(CHOOSE(
    MATCH($C$18,Database!$A$8:$A$11,0),
  Database!$BI$4:$BI$27,
    Database!$BJ$4:$BJ$27,
   Database!$BI$4:$BI$27,
 Database!$BL$4:$BL$27   ),
   MATCH(O439,Database!$BG$4:$BG$27,   0)),  0 )</f>
        <v>0</v>
      </c>
      <c r="Q439" s="303" t="s">
        <v>31</v>
      </c>
    </row>
    <row r="440" spans="2:17" x14ac:dyDescent="0.25">
      <c r="B440" s="16" t="s">
        <v>99</v>
      </c>
      <c r="C440" s="14" t="s">
        <v>31</v>
      </c>
      <c r="D440" s="17" t="s">
        <v>100</v>
      </c>
      <c r="E440" s="18">
        <f t="shared" ref="E440:E443" si="93">0.08*P439</f>
        <v>0</v>
      </c>
      <c r="F440" s="17">
        <v>1</v>
      </c>
      <c r="G440" s="17">
        <v>4</v>
      </c>
      <c r="H440" s="17">
        <f t="shared" si="89"/>
        <v>0</v>
      </c>
      <c r="I440" s="17">
        <v>1</v>
      </c>
      <c r="J440" s="17">
        <f t="shared" si="90"/>
        <v>0</v>
      </c>
      <c r="K440" s="17">
        <f t="shared" si="91"/>
        <v>0</v>
      </c>
      <c r="L440" s="17">
        <f t="shared" si="92"/>
        <v>0</v>
      </c>
      <c r="N440" s="303" t="s">
        <v>109</v>
      </c>
      <c r="O440" s="303">
        <f>IF(ISNUMBER(Database!AW23),Database!AW23,VALUE(LEFT(Database!AW23,LEN(Database!AW23)-1)))</f>
        <v>0</v>
      </c>
      <c r="P440" s="303">
        <f>IFERROR( INDEX(CHOOSE(
    MATCH($C$18,Database!$A$8:$A$11,0),
  Database!$BI$4:$BI$27,
    Database!$BJ$4:$BJ$27,
   Database!$BI$4:$BI$27,
 Database!$BL$4:$BL$27   ),
   MATCH(O440,Database!$BG$4:$BG$27,   0)),  0 )</f>
        <v>0</v>
      </c>
      <c r="Q440" s="303" t="s">
        <v>31</v>
      </c>
    </row>
    <row r="441" spans="2:17" x14ac:dyDescent="0.25">
      <c r="B441" s="16" t="s">
        <v>99</v>
      </c>
      <c r="C441" s="14" t="s">
        <v>31</v>
      </c>
      <c r="D441" s="17" t="s">
        <v>100</v>
      </c>
      <c r="E441" s="18">
        <f t="shared" si="93"/>
        <v>0</v>
      </c>
      <c r="F441" s="17">
        <v>1</v>
      </c>
      <c r="G441" s="17">
        <v>4</v>
      </c>
      <c r="H441" s="17">
        <f>E441/F441</f>
        <v>0</v>
      </c>
      <c r="I441" s="17">
        <v>1</v>
      </c>
      <c r="J441" s="17">
        <f>H441*I441</f>
        <v>0</v>
      </c>
      <c r="K441" s="17">
        <f>J441^2</f>
        <v>0</v>
      </c>
      <c r="L441" s="17">
        <f>J441^4/G441</f>
        <v>0</v>
      </c>
      <c r="N441" s="303" t="s">
        <v>109</v>
      </c>
      <c r="O441" s="303">
        <f>IF(ISNUMBER(Database!AW24),Database!AW24,VALUE(LEFT(Database!AW24,LEN(Database!AW24)-1)))</f>
        <v>0</v>
      </c>
      <c r="P441" s="303">
        <f>IFERROR( INDEX(CHOOSE(
    MATCH($C$18,Database!$A$8:$A$11,0),
  Database!$BI$4:$BI$27,
    Database!$BJ$4:$BJ$27,
   Database!$BI$4:$BI$27,
 Database!$BL$4:$BL$27   ),
   MATCH(O441,Database!$BG$4:$BG$27,   0)),  0 )</f>
        <v>0</v>
      </c>
      <c r="Q441" s="303" t="s">
        <v>31</v>
      </c>
    </row>
    <row r="442" spans="2:17" x14ac:dyDescent="0.25">
      <c r="B442" s="16" t="s">
        <v>99</v>
      </c>
      <c r="C442" s="14" t="s">
        <v>31</v>
      </c>
      <c r="D442" s="17" t="s">
        <v>100</v>
      </c>
      <c r="E442" s="18">
        <f t="shared" si="93"/>
        <v>0</v>
      </c>
      <c r="F442" s="17">
        <v>1</v>
      </c>
      <c r="G442" s="17">
        <v>4</v>
      </c>
      <c r="H442" s="17">
        <f>E442/F442</f>
        <v>0</v>
      </c>
      <c r="I442" s="17">
        <v>1</v>
      </c>
      <c r="J442" s="17">
        <f>H442*I442</f>
        <v>0</v>
      </c>
      <c r="K442" s="17">
        <f>J442^2</f>
        <v>0</v>
      </c>
      <c r="L442" s="17">
        <f>J442^4/G442</f>
        <v>0</v>
      </c>
      <c r="N442" s="303" t="s">
        <v>109</v>
      </c>
      <c r="O442" s="303">
        <f>IF(ISNUMBER(Database!AW25),Database!AW25,VALUE(LEFT(Database!AW25,LEN(Database!AW25)-1)))</f>
        <v>0</v>
      </c>
      <c r="P442" s="303">
        <f>IFERROR( INDEX(CHOOSE(
    MATCH($C$18,Database!$A$8:$A$11,0),
  Database!$BI$4:$BI$27,
    Database!$BJ$4:$BJ$27,
   Database!$BI$4:$BI$27,
 Database!$BL$4:$BL$27   ),
   MATCH(O442,Database!$BG$4:$BG$27,   0)),  0 )</f>
        <v>0</v>
      </c>
      <c r="Q442" s="303" t="s">
        <v>31</v>
      </c>
    </row>
    <row r="443" spans="2:17" x14ac:dyDescent="0.25">
      <c r="B443" s="16" t="s">
        <v>99</v>
      </c>
      <c r="C443" s="14" t="s">
        <v>31</v>
      </c>
      <c r="D443" s="17" t="s">
        <v>100</v>
      </c>
      <c r="E443" s="18">
        <f t="shared" si="93"/>
        <v>0</v>
      </c>
      <c r="F443" s="17">
        <v>1</v>
      </c>
      <c r="G443" s="17">
        <v>4</v>
      </c>
      <c r="H443" s="17">
        <f>E443/F443</f>
        <v>0</v>
      </c>
      <c r="I443" s="17">
        <v>1</v>
      </c>
      <c r="J443" s="17">
        <f>H443*I443</f>
        <v>0</v>
      </c>
      <c r="K443" s="17">
        <f>J443^2</f>
        <v>0</v>
      </c>
      <c r="L443" s="17">
        <f>J443^4/G443</f>
        <v>0</v>
      </c>
    </row>
    <row r="444" spans="2:17" x14ac:dyDescent="0.25">
      <c r="B444" s="19" t="s">
        <v>101</v>
      </c>
      <c r="C444" s="14" t="s">
        <v>31</v>
      </c>
      <c r="D444" s="20" t="s">
        <v>100</v>
      </c>
      <c r="E444" s="21">
        <v>0.5</v>
      </c>
      <c r="F444" s="20">
        <f>SQRT(3)</f>
        <v>1.7320508075688772</v>
      </c>
      <c r="G444" s="20">
        <v>1000</v>
      </c>
      <c r="H444" s="20">
        <f t="shared" si="89"/>
        <v>0.28867513459481292</v>
      </c>
      <c r="I444" s="20">
        <v>1</v>
      </c>
      <c r="J444" s="20">
        <f t="shared" si="90"/>
        <v>0.28867513459481292</v>
      </c>
      <c r="K444" s="20">
        <f t="shared" si="91"/>
        <v>8.3333333333333356E-2</v>
      </c>
      <c r="L444" s="20">
        <f t="shared" si="92"/>
        <v>6.9444444444444482E-6</v>
      </c>
    </row>
    <row r="445" spans="2:17" x14ac:dyDescent="0.25">
      <c r="B445" s="22" t="s">
        <v>102</v>
      </c>
      <c r="C445" s="23"/>
      <c r="D445" s="23"/>
      <c r="E445" s="24"/>
      <c r="F445" s="23"/>
      <c r="G445" s="23"/>
      <c r="H445" s="23"/>
      <c r="I445" s="25"/>
      <c r="J445" s="26"/>
      <c r="K445" s="14">
        <f>SUM(K437:K444)</f>
        <v>21450006906.333328</v>
      </c>
      <c r="L445" s="14">
        <f>SUM(L437:L444)</f>
        <v>5.1122500000010232E+19</v>
      </c>
    </row>
    <row r="446" spans="2:17" x14ac:dyDescent="0.25">
      <c r="B446" s="27" t="s">
        <v>103</v>
      </c>
      <c r="C446" s="28"/>
      <c r="D446" s="28"/>
      <c r="E446" s="29"/>
      <c r="F446" s="28"/>
      <c r="G446" s="28"/>
      <c r="H446" s="28"/>
      <c r="I446" s="30"/>
      <c r="J446" s="31"/>
      <c r="K446" s="17">
        <f>SQRT(K445)</f>
        <v>146458.20873659942</v>
      </c>
      <c r="L446" s="17"/>
    </row>
    <row r="447" spans="2:17" x14ac:dyDescent="0.25">
      <c r="B447" s="27" t="s">
        <v>104</v>
      </c>
      <c r="C447" s="28"/>
      <c r="D447" s="28"/>
      <c r="E447" s="29"/>
      <c r="F447" s="28"/>
      <c r="G447" s="28"/>
      <c r="H447" s="28"/>
      <c r="I447" s="30"/>
      <c r="J447" s="31"/>
      <c r="K447" s="32">
        <f>K446^4/L445</f>
        <v>9.0000057955236024</v>
      </c>
      <c r="L447" s="17"/>
    </row>
    <row r="448" spans="2:17" x14ac:dyDescent="0.25">
      <c r="B448" s="27" t="s">
        <v>105</v>
      </c>
      <c r="C448" s="28"/>
      <c r="D448" s="28"/>
      <c r="E448" s="29"/>
      <c r="F448" s="28"/>
      <c r="G448" s="28"/>
      <c r="H448" s="28"/>
      <c r="I448" s="30"/>
      <c r="J448" s="31"/>
      <c r="K448" s="33">
        <f>1.96+(2.5/K447)+(2.3/K447^2)+(2.2/K447^3)+(3.7/K447^4)</f>
        <v>2.2697543878512381</v>
      </c>
      <c r="L448" s="17"/>
    </row>
    <row r="449" spans="1:17" x14ac:dyDescent="0.25">
      <c r="B449" s="27" t="s">
        <v>106</v>
      </c>
      <c r="C449" s="28"/>
      <c r="D449" s="28"/>
      <c r="E449" s="29"/>
      <c r="F449" s="28"/>
      <c r="G449" s="28"/>
      <c r="H449" s="28"/>
      <c r="I449" s="30"/>
      <c r="J449" s="31"/>
      <c r="K449" s="48">
        <f>K448*K446</f>
        <v>332424.16191672906</v>
      </c>
      <c r="L449" s="17"/>
    </row>
    <row r="450" spans="1:17" x14ac:dyDescent="0.25">
      <c r="B450" s="34" t="s">
        <v>107</v>
      </c>
      <c r="C450" s="35"/>
      <c r="D450" s="35"/>
      <c r="E450" s="36"/>
      <c r="F450" s="35"/>
      <c r="G450" s="35"/>
      <c r="H450" s="35"/>
      <c r="I450" s="37"/>
      <c r="J450" s="38"/>
      <c r="K450" s="112">
        <f>K448*K446/1000</f>
        <v>332.42416191672908</v>
      </c>
      <c r="L450" s="20"/>
    </row>
    <row r="451" spans="1:17" x14ac:dyDescent="0.25">
      <c r="B451" s="39" t="s">
        <v>110</v>
      </c>
      <c r="K451" s="258">
        <f t="array" ref="K451">IFERROR(INDEX(Database!$BE$4:$BE$11, MATCH(1, (B432&gt;=Database!$BC$4:$BC$11)*(B432&lt;=Database!$BD$4:$BD$11), 0)),0)</f>
        <v>22</v>
      </c>
    </row>
    <row r="453" spans="1:17" x14ac:dyDescent="0.3">
      <c r="A453" s="316" t="s">
        <v>302</v>
      </c>
      <c r="B453">
        <f>IF(C19="custom",B117,B116)</f>
        <v>20000</v>
      </c>
      <c r="C453" s="43" t="s">
        <v>30</v>
      </c>
    </row>
    <row r="454" spans="1:17" x14ac:dyDescent="0.3">
      <c r="B454" s="8">
        <f>B453*1000</f>
        <v>20000000</v>
      </c>
      <c r="C454" s="8" t="s">
        <v>31</v>
      </c>
      <c r="D454" s="8"/>
      <c r="E454" s="8" t="s">
        <v>33</v>
      </c>
      <c r="F454" s="47">
        <f t="array" ref="F454">IF($C$18="M1",
   SUM(IFERROR(INDEX(
      Database!$CB$4:$CD$33,
      MATCH(K117:O117, Database!$CB$4:$CB$33, 0),
      3), 0)),
   SUM(IFERROR(INDEX(CHOOSE(
      MATCH($C$18, Database!$A$8:$A$10, 0),
      Database!$BP$4:$BR$21,
      Database!$BT$4:$BV$21,
      Database!$CB$4:$CD$33,
      Database!$BX$4:$BZ$21),
      MATCH(Database!$Z$31:$AI$31, INDEX(
         CHOOSE(MATCH($C$18, Database!$A$8:$A$10, 0),
            Database!$BP$4:$BR$21,
            Database!$BT$4:$BV$21,
            Database!$CB$4:$CD$33,
            Database!$BX$4:$BZ$21),,1),
         0),
      3), 0))
   )</f>
        <v>45</v>
      </c>
      <c r="G454" s="8" t="s">
        <v>31</v>
      </c>
      <c r="H454" s="8"/>
      <c r="I454" s="8"/>
      <c r="J454" s="8"/>
      <c r="K454" s="8"/>
      <c r="L454" s="8"/>
    </row>
    <row r="455" spans="1:17" x14ac:dyDescent="0.3">
      <c r="B455" s="8"/>
      <c r="C455" s="8"/>
      <c r="D455" s="8"/>
      <c r="E455" s="8"/>
      <c r="F455" s="127"/>
      <c r="G455" s="8"/>
      <c r="H455" s="8"/>
      <c r="I455" s="8"/>
      <c r="K455" s="8"/>
      <c r="L455" s="8"/>
    </row>
    <row r="456" spans="1:17" ht="15.6" x14ac:dyDescent="0.25">
      <c r="B456" s="10" t="s">
        <v>85</v>
      </c>
      <c r="C456" s="10" t="s">
        <v>86</v>
      </c>
      <c r="D456" s="10" t="s">
        <v>87</v>
      </c>
      <c r="E456" s="10" t="s">
        <v>33</v>
      </c>
      <c r="F456" s="10" t="s">
        <v>88</v>
      </c>
      <c r="G456" s="10" t="s">
        <v>89</v>
      </c>
      <c r="H456" s="11" t="s">
        <v>90</v>
      </c>
      <c r="I456" s="10" t="s">
        <v>91</v>
      </c>
      <c r="J456" s="11" t="s">
        <v>92</v>
      </c>
      <c r="K456" s="11" t="s">
        <v>93</v>
      </c>
      <c r="L456" s="10" t="s">
        <v>94</v>
      </c>
    </row>
    <row r="457" spans="1:17" x14ac:dyDescent="0.25">
      <c r="B457" s="12">
        <v>1</v>
      </c>
      <c r="C457" s="12">
        <v>2</v>
      </c>
      <c r="D457" s="12">
        <v>3</v>
      </c>
      <c r="E457" s="12">
        <v>4</v>
      </c>
      <c r="F457" s="12">
        <v>5</v>
      </c>
      <c r="G457" s="12">
        <v>6</v>
      </c>
      <c r="H457" s="12">
        <v>7</v>
      </c>
      <c r="I457" s="12">
        <v>8</v>
      </c>
      <c r="J457" s="12">
        <v>9</v>
      </c>
      <c r="K457" s="12">
        <v>10</v>
      </c>
      <c r="L457" s="12">
        <v>11</v>
      </c>
    </row>
    <row r="458" spans="1:17" x14ac:dyDescent="0.25">
      <c r="B458" s="13" t="s">
        <v>95</v>
      </c>
      <c r="C458" s="14" t="s">
        <v>31</v>
      </c>
      <c r="D458" s="14" t="s">
        <v>96</v>
      </c>
      <c r="E458" s="15">
        <f>F454</f>
        <v>45</v>
      </c>
      <c r="F458" s="14">
        <v>2</v>
      </c>
      <c r="G458" s="14">
        <v>60</v>
      </c>
      <c r="H458" s="14">
        <f t="shared" ref="H458:H461" si="94">E458/F458</f>
        <v>22.5</v>
      </c>
      <c r="I458" s="14">
        <v>1</v>
      </c>
      <c r="J458" s="14">
        <f t="shared" ref="J458:J461" si="95">H458*I458</f>
        <v>22.5</v>
      </c>
      <c r="K458" s="14">
        <f t="shared" ref="K458:K461" si="96">J458^2</f>
        <v>506.25</v>
      </c>
      <c r="L458" s="14">
        <f t="shared" ref="L458:L461" si="97">J458^4/G458</f>
        <v>4271.484375</v>
      </c>
    </row>
    <row r="459" spans="1:17" x14ac:dyDescent="0.25">
      <c r="B459" s="16" t="s">
        <v>97</v>
      </c>
      <c r="C459" s="14" t="s">
        <v>31</v>
      </c>
      <c r="D459" s="17" t="s">
        <v>98</v>
      </c>
      <c r="E459" s="18">
        <f>E437</f>
        <v>45</v>
      </c>
      <c r="F459" s="17">
        <v>1</v>
      </c>
      <c r="G459" s="17">
        <f>IF(T206&gt;T208,1000,9)</f>
        <v>9</v>
      </c>
      <c r="H459" s="17">
        <f t="shared" si="94"/>
        <v>45</v>
      </c>
      <c r="I459" s="17">
        <v>1</v>
      </c>
      <c r="J459" s="17">
        <f t="shared" si="95"/>
        <v>45</v>
      </c>
      <c r="K459" s="17">
        <f t="shared" si="96"/>
        <v>2025</v>
      </c>
      <c r="L459" s="17">
        <f t="shared" si="97"/>
        <v>455625</v>
      </c>
      <c r="N459" s="303" t="s">
        <v>109</v>
      </c>
      <c r="O459" s="303">
        <f>IF(ISNUMBER(Database!AX21),Database!AX21,VALUE(LEFT(Database!AX21,LEN(Database!AX21)-1)))</f>
        <v>20000</v>
      </c>
      <c r="P459" s="303">
        <f>IFERROR( INDEX(CHOOSE(
    MATCH($C$18,Database!$A$8:$A$11,0),
  Database!$BI$4:$BI$27,
    Database!$BJ$4:$BJ$27,
   Database!$BI$4:$BI$27,
 Database!$BL$4:$BL$27   ),
   MATCH(O459,Database!$BG$4:$BG$27,   0)),  0 )</f>
        <v>1000</v>
      </c>
      <c r="Q459" s="303" t="s">
        <v>31</v>
      </c>
    </row>
    <row r="460" spans="1:17" x14ac:dyDescent="0.25">
      <c r="B460" s="16" t="s">
        <v>99</v>
      </c>
      <c r="C460" s="14" t="s">
        <v>31</v>
      </c>
      <c r="D460" s="17" t="s">
        <v>100</v>
      </c>
      <c r="E460" s="18">
        <f>0.08*P459</f>
        <v>80</v>
      </c>
      <c r="F460" s="17">
        <v>1</v>
      </c>
      <c r="G460" s="17">
        <v>4</v>
      </c>
      <c r="H460" s="17">
        <f t="shared" si="94"/>
        <v>80</v>
      </c>
      <c r="I460" s="17">
        <v>1</v>
      </c>
      <c r="J460" s="17">
        <f t="shared" si="95"/>
        <v>80</v>
      </c>
      <c r="K460" s="17">
        <f t="shared" si="96"/>
        <v>6400</v>
      </c>
      <c r="L460" s="17">
        <f t="shared" si="97"/>
        <v>10240000</v>
      </c>
      <c r="N460" s="303" t="s">
        <v>109</v>
      </c>
      <c r="O460" s="303">
        <f>IF(ISNUMBER(Database!AX22),Database!AX22,VALUE(LEFT(Database!AX22,LEN(Database!AX22)-1)))</f>
        <v>20000</v>
      </c>
      <c r="P460" s="303">
        <f>IFERROR( INDEX(CHOOSE(
    MATCH($C$18,Database!$A$8:$A$11,0),
  Database!$BI$4:$BI$27,
    Database!$BJ$4:$BJ$27,
   Database!$BI$4:$BI$27,
 Database!$BL$4:$BL$27   ),
   MATCH(O460,Database!$BG$4:$BG$27,   0)),  0 )</f>
        <v>1000</v>
      </c>
      <c r="Q460" s="303" t="s">
        <v>31</v>
      </c>
    </row>
    <row r="461" spans="1:17" x14ac:dyDescent="0.25">
      <c r="B461" s="16" t="s">
        <v>99</v>
      </c>
      <c r="C461" s="14" t="s">
        <v>31</v>
      </c>
      <c r="D461" s="17" t="s">
        <v>100</v>
      </c>
      <c r="E461" s="18">
        <f t="shared" ref="E461:E464" si="98">0.08*P460</f>
        <v>80</v>
      </c>
      <c r="F461" s="17">
        <v>1</v>
      </c>
      <c r="G461" s="17">
        <v>4</v>
      </c>
      <c r="H461" s="17">
        <f t="shared" si="94"/>
        <v>80</v>
      </c>
      <c r="I461" s="17">
        <v>1</v>
      </c>
      <c r="J461" s="17">
        <f t="shared" si="95"/>
        <v>80</v>
      </c>
      <c r="K461" s="17">
        <f t="shared" si="96"/>
        <v>6400</v>
      </c>
      <c r="L461" s="17">
        <f t="shared" si="97"/>
        <v>10240000</v>
      </c>
      <c r="N461" s="303" t="s">
        <v>109</v>
      </c>
      <c r="O461" s="303">
        <f>IF(ISNUMBER(Database!AX23),Database!AX23,VALUE(LEFT(Database!AX23,LEN(Database!AX23)-1)))</f>
        <v>20000</v>
      </c>
      <c r="P461" s="303">
        <f>IFERROR( INDEX(CHOOSE(
    MATCH($C$18,Database!$A$8:$A$11,0),
  Database!$BI$4:$BI$27,
    Database!$BJ$4:$BJ$27,
   Database!$BI$4:$BI$27,
 Database!$BL$4:$BL$27   ),
   MATCH(O461,Database!$BG$4:$BG$27,   0)),  0 )</f>
        <v>1000</v>
      </c>
      <c r="Q461" s="303" t="s">
        <v>31</v>
      </c>
    </row>
    <row r="462" spans="1:17" x14ac:dyDescent="0.25">
      <c r="B462" s="16" t="s">
        <v>99</v>
      </c>
      <c r="C462" s="14" t="s">
        <v>31</v>
      </c>
      <c r="D462" s="17" t="s">
        <v>100</v>
      </c>
      <c r="E462" s="18">
        <f t="shared" si="98"/>
        <v>80</v>
      </c>
      <c r="F462" s="17">
        <v>1</v>
      </c>
      <c r="G462" s="17">
        <v>4</v>
      </c>
      <c r="H462" s="17">
        <f>E462/F462</f>
        <v>80</v>
      </c>
      <c r="I462" s="17">
        <v>1</v>
      </c>
      <c r="J462" s="17">
        <f>H462*I462</f>
        <v>80</v>
      </c>
      <c r="K462" s="17">
        <f>J462^2</f>
        <v>6400</v>
      </c>
      <c r="L462" s="17">
        <f>J462^4/G462</f>
        <v>10240000</v>
      </c>
      <c r="N462" s="303" t="s">
        <v>109</v>
      </c>
      <c r="O462" s="303">
        <f>IF(ISNUMBER(Database!AX24),Database!AX24,VALUE(LEFT(Database!AX24,LEN(Database!AX24)-1)))</f>
        <v>20000</v>
      </c>
      <c r="P462" s="303">
        <f>IFERROR( INDEX(CHOOSE(
    MATCH($C$18,Database!$A$8:$A$11,0),
  Database!$BI$4:$BI$27,
    Database!$BJ$4:$BJ$27,
   Database!$BI$4:$BI$27,
 Database!$BL$4:$BL$27   ),
   MATCH(O462,Database!$BG$4:$BG$27,   0)),  0 )</f>
        <v>1000</v>
      </c>
      <c r="Q462" s="303" t="s">
        <v>31</v>
      </c>
    </row>
    <row r="463" spans="1:17" x14ac:dyDescent="0.25">
      <c r="B463" s="16" t="s">
        <v>99</v>
      </c>
      <c r="C463" s="14" t="s">
        <v>31</v>
      </c>
      <c r="D463" s="17" t="s">
        <v>100</v>
      </c>
      <c r="E463" s="18">
        <f t="shared" si="98"/>
        <v>80</v>
      </c>
      <c r="F463" s="17">
        <v>1</v>
      </c>
      <c r="G463" s="17">
        <v>4</v>
      </c>
      <c r="H463" s="17">
        <f>E463/F463</f>
        <v>80</v>
      </c>
      <c r="I463" s="17">
        <v>1</v>
      </c>
      <c r="J463" s="17">
        <f>H463*I463</f>
        <v>80</v>
      </c>
      <c r="K463" s="17">
        <f>J463^2</f>
        <v>6400</v>
      </c>
      <c r="L463" s="17">
        <f>J463^4/G463</f>
        <v>10240000</v>
      </c>
      <c r="N463" s="303" t="s">
        <v>109</v>
      </c>
      <c r="O463" s="303">
        <f>IF(ISNUMBER(Database!AX25),Database!AX25,VALUE(LEFT(Database!AX25,LEN(Database!AX25)-1)))</f>
        <v>20000</v>
      </c>
      <c r="P463" s="303">
        <f>IFERROR( INDEX(CHOOSE(
    MATCH($C$18,Database!$A$8:$A$11,0),
  Database!$BI$4:$BI$27,
    Database!$BJ$4:$BJ$27,
   Database!$BI$4:$BI$27,
 Database!$BL$4:$BL$27   ),
   MATCH(O463,Database!$BG$4:$BG$27,   0)),  0 )</f>
        <v>1000</v>
      </c>
      <c r="Q463" s="303" t="s">
        <v>31</v>
      </c>
    </row>
    <row r="464" spans="1:17" x14ac:dyDescent="0.25">
      <c r="B464" s="16" t="s">
        <v>99</v>
      </c>
      <c r="C464" s="14" t="s">
        <v>31</v>
      </c>
      <c r="D464" s="17" t="s">
        <v>100</v>
      </c>
      <c r="E464" s="18">
        <f t="shared" si="98"/>
        <v>80</v>
      </c>
      <c r="F464" s="17">
        <v>1</v>
      </c>
      <c r="G464" s="17">
        <v>4</v>
      </c>
      <c r="H464" s="17">
        <f>E464/F464</f>
        <v>80</v>
      </c>
      <c r="I464" s="17">
        <v>1</v>
      </c>
      <c r="J464" s="17">
        <f>H464*I464</f>
        <v>80</v>
      </c>
      <c r="K464" s="17">
        <f>J464^2</f>
        <v>6400</v>
      </c>
      <c r="L464" s="17">
        <f>J464^4/G464</f>
        <v>10240000</v>
      </c>
    </row>
    <row r="465" spans="1:12" x14ac:dyDescent="0.25">
      <c r="B465" s="19" t="s">
        <v>101</v>
      </c>
      <c r="C465" s="14" t="s">
        <v>31</v>
      </c>
      <c r="D465" s="20" t="s">
        <v>100</v>
      </c>
      <c r="E465" s="21">
        <v>0.5</v>
      </c>
      <c r="F465" s="20">
        <f>SQRT(3)</f>
        <v>1.7320508075688772</v>
      </c>
      <c r="G465" s="20">
        <v>1000</v>
      </c>
      <c r="H465" s="20">
        <f t="shared" ref="H465" si="99">E465/F465</f>
        <v>0.28867513459481292</v>
      </c>
      <c r="I465" s="20">
        <v>1</v>
      </c>
      <c r="J465" s="20">
        <f t="shared" ref="J465" si="100">H465*I465</f>
        <v>0.28867513459481292</v>
      </c>
      <c r="K465" s="20">
        <f t="shared" ref="K465" si="101">J465^2</f>
        <v>8.3333333333333356E-2</v>
      </c>
      <c r="L465" s="20">
        <f t="shared" ref="L465" si="102">J465^4/G465</f>
        <v>6.9444444444444482E-6</v>
      </c>
    </row>
    <row r="466" spans="1:12" x14ac:dyDescent="0.25">
      <c r="B466" s="22" t="s">
        <v>102</v>
      </c>
      <c r="C466" s="23"/>
      <c r="D466" s="23"/>
      <c r="E466" s="24"/>
      <c r="F466" s="23"/>
      <c r="G466" s="23"/>
      <c r="H466" s="23"/>
      <c r="I466" s="25"/>
      <c r="J466" s="26"/>
      <c r="K466" s="14">
        <f>SUM(K458:K465)</f>
        <v>34531.333333333336</v>
      </c>
      <c r="L466" s="14">
        <f>SUM(L458:L465)</f>
        <v>51659896.484381944</v>
      </c>
    </row>
    <row r="467" spans="1:12" x14ac:dyDescent="0.25">
      <c r="B467" s="27" t="s">
        <v>103</v>
      </c>
      <c r="C467" s="28"/>
      <c r="D467" s="28"/>
      <c r="E467" s="29"/>
      <c r="F467" s="28"/>
      <c r="G467" s="28"/>
      <c r="H467" s="28"/>
      <c r="I467" s="30"/>
      <c r="J467" s="31"/>
      <c r="K467" s="17">
        <f>SQRT(K466)</f>
        <v>185.8260835656107</v>
      </c>
      <c r="L467" s="17"/>
    </row>
    <row r="468" spans="1:12" x14ac:dyDescent="0.25">
      <c r="B468" s="27" t="s">
        <v>104</v>
      </c>
      <c r="C468" s="28"/>
      <c r="D468" s="28"/>
      <c r="E468" s="29"/>
      <c r="F468" s="28"/>
      <c r="G468" s="28"/>
      <c r="H468" s="28"/>
      <c r="I468" s="30"/>
      <c r="J468" s="31"/>
      <c r="K468" s="32">
        <f>K467^4/L466</f>
        <v>23.081985503750925</v>
      </c>
      <c r="L468" s="17"/>
    </row>
    <row r="469" spans="1:12" x14ac:dyDescent="0.25">
      <c r="B469" s="27" t="s">
        <v>105</v>
      </c>
      <c r="C469" s="28"/>
      <c r="D469" s="28"/>
      <c r="E469" s="29"/>
      <c r="F469" s="28"/>
      <c r="G469" s="28"/>
      <c r="H469" s="28"/>
      <c r="I469" s="30"/>
      <c r="J469" s="31"/>
      <c r="K469" s="33">
        <f>1.96+(2.5/K468)+(2.3/K468^2)+(2.2/K468^3)+(3.7/K468^4)</f>
        <v>2.0728184998862669</v>
      </c>
      <c r="L469" s="17"/>
    </row>
    <row r="470" spans="1:12" x14ac:dyDescent="0.25">
      <c r="B470" s="27" t="s">
        <v>106</v>
      </c>
      <c r="C470" s="28"/>
      <c r="D470" s="28"/>
      <c r="E470" s="29"/>
      <c r="F470" s="28"/>
      <c r="G470" s="28"/>
      <c r="H470" s="28"/>
      <c r="I470" s="30"/>
      <c r="J470" s="31"/>
      <c r="K470" s="48">
        <f>K469*K467</f>
        <v>385.18374377620927</v>
      </c>
      <c r="L470" s="17"/>
    </row>
    <row r="471" spans="1:12" x14ac:dyDescent="0.25">
      <c r="B471" s="34" t="s">
        <v>107</v>
      </c>
      <c r="C471" s="35"/>
      <c r="D471" s="35"/>
      <c r="E471" s="36"/>
      <c r="F471" s="35"/>
      <c r="G471" s="35"/>
      <c r="H471" s="35"/>
      <c r="I471" s="37"/>
      <c r="J471" s="38"/>
      <c r="K471" s="112">
        <f>K469*K467/1000</f>
        <v>0.38518374377620929</v>
      </c>
      <c r="L471" s="20"/>
    </row>
    <row r="472" spans="1:12" x14ac:dyDescent="0.25">
      <c r="B472" s="39" t="s">
        <v>110</v>
      </c>
      <c r="K472" s="258">
        <f>IFERROR(INDEX(Database!$BE$4:$BE$11, MATCH(1, (B453&gt;=Database!$BC$4:$BC$11)*(B453&lt;=Database!$BD$4:$BD$11), 0)),0)</f>
        <v>0</v>
      </c>
    </row>
    <row r="476" spans="1:12" x14ac:dyDescent="0.3">
      <c r="A476" s="316" t="s">
        <v>303</v>
      </c>
      <c r="B476">
        <f>IF(C63="custom",B120,B119)</f>
        <v>0</v>
      </c>
      <c r="C476" s="43" t="s">
        <v>30</v>
      </c>
    </row>
    <row r="477" spans="1:12" x14ac:dyDescent="0.3">
      <c r="B477" s="8">
        <f>B476*1000</f>
        <v>0</v>
      </c>
      <c r="C477" s="8" t="s">
        <v>31</v>
      </c>
      <c r="D477" s="8"/>
      <c r="E477" s="8" t="s">
        <v>33</v>
      </c>
      <c r="F477" s="47">
        <f>IF($C$18="M1",
   SUM(IFERROR(INDEX(
      Database!$CB$4:$CD$33,
      MATCH(K121:O121, Database!$CB$4:$CB$33, 0),
      3), 0)),
   SUM(IFERROR(INDEX(CHOOSE(
      MATCH($C$18, Database!$A$8:$A$10, 0),
      Database!$BP$4:$BR$21,
      Database!$BT$4:$BV$21,
      Database!$CB$4:$CD$33,
      Database!$BX$4:$BZ$21),
      MATCH(Database!$Z$31:$AI$31, INDEX(
         CHOOSE(MATCH($C$18, Database!$A$8:$A$10, 0),
            Database!$BP$4:$BR$21,
            Database!$BT$4:$BV$21,
            Database!$CB$4:$CD$33,
            Database!$BX$4:$BZ$21),,1),
         0),
      3), 0))
   )</f>
        <v>0</v>
      </c>
      <c r="G477" s="8" t="s">
        <v>31</v>
      </c>
      <c r="H477" s="8"/>
      <c r="I477" s="8"/>
      <c r="J477" s="8"/>
      <c r="K477" s="8"/>
      <c r="L477" s="8"/>
    </row>
    <row r="478" spans="1:12" x14ac:dyDescent="0.3">
      <c r="B478" s="8"/>
      <c r="C478" s="8"/>
      <c r="D478" s="8"/>
      <c r="E478" s="8"/>
      <c r="F478" s="127"/>
      <c r="G478" s="8"/>
      <c r="H478" s="8"/>
      <c r="I478" s="8"/>
      <c r="K478" s="8"/>
      <c r="L478" s="8"/>
    </row>
    <row r="479" spans="1:12" ht="15.6" x14ac:dyDescent="0.25">
      <c r="B479" s="10" t="s">
        <v>85</v>
      </c>
      <c r="C479" s="10" t="s">
        <v>86</v>
      </c>
      <c r="D479" s="10" t="s">
        <v>87</v>
      </c>
      <c r="E479" s="10" t="s">
        <v>33</v>
      </c>
      <c r="F479" s="10" t="s">
        <v>88</v>
      </c>
      <c r="G479" s="10" t="s">
        <v>89</v>
      </c>
      <c r="H479" s="11" t="s">
        <v>90</v>
      </c>
      <c r="I479" s="10" t="s">
        <v>91</v>
      </c>
      <c r="J479" s="11" t="s">
        <v>92</v>
      </c>
      <c r="K479" s="11" t="s">
        <v>93</v>
      </c>
      <c r="L479" s="10" t="s">
        <v>94</v>
      </c>
    </row>
    <row r="480" spans="1:12" x14ac:dyDescent="0.25">
      <c r="B480" s="12">
        <v>1</v>
      </c>
      <c r="C480" s="12">
        <v>2</v>
      </c>
      <c r="D480" s="12">
        <v>3</v>
      </c>
      <c r="E480" s="12">
        <v>4</v>
      </c>
      <c r="F480" s="12">
        <v>5</v>
      </c>
      <c r="G480" s="12">
        <v>6</v>
      </c>
      <c r="H480" s="12">
        <v>7</v>
      </c>
      <c r="I480" s="12">
        <v>8</v>
      </c>
      <c r="J480" s="12">
        <v>9</v>
      </c>
      <c r="K480" s="12">
        <v>10</v>
      </c>
      <c r="L480" s="12">
        <v>11</v>
      </c>
    </row>
    <row r="481" spans="2:17" x14ac:dyDescent="0.25">
      <c r="B481" s="13" t="s">
        <v>95</v>
      </c>
      <c r="C481" s="14" t="s">
        <v>31</v>
      </c>
      <c r="D481" s="14" t="s">
        <v>96</v>
      </c>
      <c r="E481" s="15">
        <f>F477</f>
        <v>0</v>
      </c>
      <c r="F481" s="14">
        <v>2</v>
      </c>
      <c r="G481" s="14">
        <v>60</v>
      </c>
      <c r="H481" s="14">
        <f t="shared" ref="H481:H484" si="103">E481/F481</f>
        <v>0</v>
      </c>
      <c r="I481" s="14">
        <v>1</v>
      </c>
      <c r="J481" s="14">
        <f t="shared" ref="J481:J484" si="104">H481*I481</f>
        <v>0</v>
      </c>
      <c r="K481" s="14">
        <f t="shared" ref="K481:K484" si="105">J481^2</f>
        <v>0</v>
      </c>
      <c r="L481" s="14">
        <f t="shared" ref="L481:L484" si="106">J481^4/G481</f>
        <v>0</v>
      </c>
    </row>
    <row r="482" spans="2:17" x14ac:dyDescent="0.25">
      <c r="B482" s="16" t="s">
        <v>97</v>
      </c>
      <c r="C482" s="14" t="s">
        <v>31</v>
      </c>
      <c r="D482" s="17" t="s">
        <v>98</v>
      </c>
      <c r="E482" s="18">
        <f>E460</f>
        <v>80</v>
      </c>
      <c r="F482" s="17">
        <v>1</v>
      </c>
      <c r="G482" s="17">
        <f>IF(T229&gt;T231,1000,9)</f>
        <v>9</v>
      </c>
      <c r="H482" s="17">
        <f t="shared" si="103"/>
        <v>80</v>
      </c>
      <c r="I482" s="17">
        <v>1</v>
      </c>
      <c r="J482" s="17">
        <f t="shared" si="104"/>
        <v>80</v>
      </c>
      <c r="K482" s="17">
        <f t="shared" si="105"/>
        <v>6400</v>
      </c>
      <c r="L482" s="17">
        <f t="shared" si="106"/>
        <v>4551111.111111111</v>
      </c>
      <c r="N482" s="303" t="s">
        <v>109</v>
      </c>
      <c r="O482" s="303">
        <f>IF(ISNUMBER(Database!AY21),Database!AY21,VALUE(LEFT(Database!AY21,LEN(Database!AY21)-1)))</f>
        <v>20000</v>
      </c>
      <c r="P482" s="303">
        <f>IFERROR( INDEX(CHOOSE(
    MATCH($C$18,Database!$A$8:$A$11,0),
  Database!$BI$4:$BI$27,
    Database!$BJ$4:$BJ$27,
   Database!$BI$4:$BI$27,
 Database!$BL$4:$BL$27   ),
   MATCH(O482,Database!$BG$4:$BG$27,   0)),  0 )</f>
        <v>1000</v>
      </c>
      <c r="Q482" s="303" t="s">
        <v>31</v>
      </c>
    </row>
    <row r="483" spans="2:17" x14ac:dyDescent="0.25">
      <c r="B483" s="16" t="s">
        <v>99</v>
      </c>
      <c r="C483" s="14" t="s">
        <v>31</v>
      </c>
      <c r="D483" s="17" t="s">
        <v>100</v>
      </c>
      <c r="E483" s="18">
        <f>0.08*P482</f>
        <v>80</v>
      </c>
      <c r="F483" s="17">
        <v>1</v>
      </c>
      <c r="G483" s="17">
        <v>4</v>
      </c>
      <c r="H483" s="17">
        <f t="shared" si="103"/>
        <v>80</v>
      </c>
      <c r="I483" s="17">
        <v>1</v>
      </c>
      <c r="J483" s="17">
        <f t="shared" si="104"/>
        <v>80</v>
      </c>
      <c r="K483" s="17">
        <f t="shared" si="105"/>
        <v>6400</v>
      </c>
      <c r="L483" s="17">
        <f t="shared" si="106"/>
        <v>10240000</v>
      </c>
      <c r="N483" s="303" t="s">
        <v>109</v>
      </c>
      <c r="O483" s="303">
        <f>IF(ISNUMBER(Database!AY22),Database!AY22,VALUE(LEFT(Database!AY22,LEN(Database!AY22)-1)))</f>
        <v>20000</v>
      </c>
      <c r="P483" s="303">
        <f>IFERROR( INDEX(CHOOSE(
    MATCH($C$18,Database!$A$8:$A$11,0),
  Database!$BI$4:$BI$27,
    Database!$BJ$4:$BJ$27,
   Database!$BI$4:$BI$27,
 Database!$BL$4:$BL$27   ),
   MATCH(O483,Database!$BG$4:$BG$27,   0)),  0 )</f>
        <v>1000</v>
      </c>
      <c r="Q483" s="303" t="s">
        <v>31</v>
      </c>
    </row>
    <row r="484" spans="2:17" x14ac:dyDescent="0.25">
      <c r="B484" s="16" t="s">
        <v>99</v>
      </c>
      <c r="C484" s="14" t="s">
        <v>31</v>
      </c>
      <c r="D484" s="17" t="s">
        <v>100</v>
      </c>
      <c r="E484" s="18">
        <f t="shared" ref="E484:E487" si="107">0.08*P483</f>
        <v>80</v>
      </c>
      <c r="F484" s="17">
        <v>1</v>
      </c>
      <c r="G484" s="17">
        <v>4</v>
      </c>
      <c r="H484" s="17">
        <f t="shared" si="103"/>
        <v>80</v>
      </c>
      <c r="I484" s="17">
        <v>1</v>
      </c>
      <c r="J484" s="17">
        <f t="shared" si="104"/>
        <v>80</v>
      </c>
      <c r="K484" s="17">
        <f t="shared" si="105"/>
        <v>6400</v>
      </c>
      <c r="L484" s="17">
        <f t="shared" si="106"/>
        <v>10240000</v>
      </c>
      <c r="N484" s="303" t="s">
        <v>109</v>
      </c>
      <c r="O484" s="303">
        <f>IF(ISNUMBER(Database!AY23),Database!AY23,VALUE(LEFT(Database!AY23,LEN(Database!AY23)-1)))</f>
        <v>20000</v>
      </c>
      <c r="P484" s="303">
        <f>IFERROR( INDEX(CHOOSE(
    MATCH($C$18,Database!$A$8:$A$11,0),
  Database!$BI$4:$BI$27,
    Database!$BJ$4:$BJ$27,
   Database!$BI$4:$BI$27,
 Database!$BL$4:$BL$27   ),
   MATCH(O484,Database!$BG$4:$BG$27,   0)),  0 )</f>
        <v>1000</v>
      </c>
      <c r="Q484" s="303" t="s">
        <v>31</v>
      </c>
    </row>
    <row r="485" spans="2:17" x14ac:dyDescent="0.25">
      <c r="B485" s="16" t="s">
        <v>99</v>
      </c>
      <c r="C485" s="14" t="s">
        <v>31</v>
      </c>
      <c r="D485" s="17" t="s">
        <v>100</v>
      </c>
      <c r="E485" s="18">
        <f t="shared" si="107"/>
        <v>80</v>
      </c>
      <c r="F485" s="17">
        <v>1</v>
      </c>
      <c r="G485" s="17">
        <v>4</v>
      </c>
      <c r="H485" s="17">
        <f>E485/F485</f>
        <v>80</v>
      </c>
      <c r="I485" s="17">
        <v>1</v>
      </c>
      <c r="J485" s="17">
        <f>H485*I485</f>
        <v>80</v>
      </c>
      <c r="K485" s="17">
        <f>J485^2</f>
        <v>6400</v>
      </c>
      <c r="L485" s="17">
        <f>J485^4/G485</f>
        <v>10240000</v>
      </c>
      <c r="N485" s="303" t="s">
        <v>109</v>
      </c>
      <c r="O485" s="303">
        <f>IF(ISNUMBER(Database!AY24),Database!AY24,VALUE(LEFT(Database!AY24,LEN(Database!AY24)-1)))</f>
        <v>20000</v>
      </c>
      <c r="P485" s="303">
        <f>IFERROR( INDEX(CHOOSE(
    MATCH($C$18,Database!$A$8:$A$11,0),
  Database!$BI$4:$BI$27,
    Database!$BJ$4:$BJ$27,
   Database!$BI$4:$BI$27,
 Database!$BL$4:$BL$27   ),
   MATCH(O485,Database!$BG$4:$BG$27,   0)),  0 )</f>
        <v>1000</v>
      </c>
      <c r="Q485" s="303" t="s">
        <v>31</v>
      </c>
    </row>
    <row r="486" spans="2:17" x14ac:dyDescent="0.25">
      <c r="B486" s="16" t="s">
        <v>99</v>
      </c>
      <c r="C486" s="14" t="s">
        <v>31</v>
      </c>
      <c r="D486" s="17" t="s">
        <v>100</v>
      </c>
      <c r="E486" s="18">
        <f t="shared" si="107"/>
        <v>80</v>
      </c>
      <c r="F486" s="17">
        <v>1</v>
      </c>
      <c r="G486" s="17">
        <v>4</v>
      </c>
      <c r="H486" s="17">
        <f>E486/F486</f>
        <v>80</v>
      </c>
      <c r="I486" s="17">
        <v>1</v>
      </c>
      <c r="J486" s="17">
        <f>H486*I486</f>
        <v>80</v>
      </c>
      <c r="K486" s="17">
        <f>J486^2</f>
        <v>6400</v>
      </c>
      <c r="L486" s="17">
        <f>J486^4/G486</f>
        <v>10240000</v>
      </c>
      <c r="N486" s="303" t="s">
        <v>109</v>
      </c>
      <c r="O486" s="303">
        <f>IF(ISNUMBER(Database!AY25),Database!AY25,VALUE(LEFT(Database!AY25,LEN(Database!AY25)-1)))</f>
        <v>20000</v>
      </c>
      <c r="P486" s="303">
        <f>IFERROR( INDEX(CHOOSE(
    MATCH($C$18,Database!$A$8:$A$11,0),
  Database!$BI$4:$BI$27,
    Database!$BJ$4:$BJ$27,
   Database!$BI$4:$BI$27,
 Database!$BL$4:$BL$27   ),
   MATCH(O486,Database!$BG$4:$BG$27,   0)),  0 )</f>
        <v>1000</v>
      </c>
      <c r="Q486" s="303" t="s">
        <v>31</v>
      </c>
    </row>
    <row r="487" spans="2:17" x14ac:dyDescent="0.25">
      <c r="B487" s="16" t="s">
        <v>99</v>
      </c>
      <c r="C487" s="14" t="s">
        <v>31</v>
      </c>
      <c r="D487" s="17" t="s">
        <v>100</v>
      </c>
      <c r="E487" s="18">
        <f t="shared" si="107"/>
        <v>80</v>
      </c>
      <c r="F487" s="17">
        <v>1</v>
      </c>
      <c r="G487" s="17">
        <v>4</v>
      </c>
      <c r="H487" s="17">
        <f>E487/F487</f>
        <v>80</v>
      </c>
      <c r="I487" s="17">
        <v>1</v>
      </c>
      <c r="J487" s="17">
        <f>H487*I487</f>
        <v>80</v>
      </c>
      <c r="K487" s="17">
        <f>J487^2</f>
        <v>6400</v>
      </c>
      <c r="L487" s="17">
        <f>J487^4/G487</f>
        <v>10240000</v>
      </c>
    </row>
    <row r="488" spans="2:17" x14ac:dyDescent="0.25">
      <c r="B488" s="19" t="s">
        <v>101</v>
      </c>
      <c r="C488" s="14" t="s">
        <v>31</v>
      </c>
      <c r="D488" s="20" t="s">
        <v>100</v>
      </c>
      <c r="E488" s="21">
        <v>0.5</v>
      </c>
      <c r="F488" s="20">
        <f>SQRT(3)</f>
        <v>1.7320508075688772</v>
      </c>
      <c r="G488" s="20">
        <v>1000</v>
      </c>
      <c r="H488" s="20">
        <f t="shared" ref="H488" si="108">E488/F488</f>
        <v>0.28867513459481292</v>
      </c>
      <c r="I488" s="20">
        <v>1</v>
      </c>
      <c r="J488" s="20">
        <f t="shared" ref="J488" si="109">H488*I488</f>
        <v>0.28867513459481292</v>
      </c>
      <c r="K488" s="20">
        <f t="shared" ref="K488" si="110">J488^2</f>
        <v>8.3333333333333356E-2</v>
      </c>
      <c r="L488" s="20">
        <f t="shared" ref="L488" si="111">J488^4/G488</f>
        <v>6.9444444444444482E-6</v>
      </c>
    </row>
    <row r="489" spans="2:17" x14ac:dyDescent="0.25">
      <c r="B489" s="22" t="s">
        <v>102</v>
      </c>
      <c r="C489" s="23"/>
      <c r="D489" s="23"/>
      <c r="E489" s="24"/>
      <c r="F489" s="23"/>
      <c r="G489" s="23"/>
      <c r="H489" s="23"/>
      <c r="I489" s="25"/>
      <c r="J489" s="26"/>
      <c r="K489" s="14">
        <f>SUM(K481:K488)</f>
        <v>38400.083333333336</v>
      </c>
      <c r="L489" s="14">
        <f>SUM(L481:L488)</f>
        <v>55751111.111118056</v>
      </c>
    </row>
    <row r="490" spans="2:17" x14ac:dyDescent="0.25">
      <c r="B490" s="27" t="s">
        <v>103</v>
      </c>
      <c r="C490" s="28"/>
      <c r="D490" s="28"/>
      <c r="E490" s="29"/>
      <c r="F490" s="28"/>
      <c r="G490" s="28"/>
      <c r="H490" s="28"/>
      <c r="I490" s="30"/>
      <c r="J490" s="31"/>
      <c r="K490" s="17">
        <f>SQRT(K489)</f>
        <v>195.95939205185684</v>
      </c>
      <c r="L490" s="17"/>
    </row>
    <row r="491" spans="2:17" ht="13.95" customHeight="1" x14ac:dyDescent="0.25">
      <c r="B491" s="27" t="s">
        <v>104</v>
      </c>
      <c r="C491" s="28"/>
      <c r="D491" s="28"/>
      <c r="E491" s="29"/>
      <c r="F491" s="28"/>
      <c r="G491" s="28"/>
      <c r="H491" s="28"/>
      <c r="I491" s="30"/>
      <c r="J491" s="31"/>
      <c r="K491" s="32">
        <f>K490^4/L489</f>
        <v>26.449094387876372</v>
      </c>
      <c r="L491" s="17"/>
    </row>
    <row r="492" spans="2:17" x14ac:dyDescent="0.25">
      <c r="B492" s="27" t="s">
        <v>105</v>
      </c>
      <c r="C492" s="28"/>
      <c r="D492" s="28"/>
      <c r="E492" s="29"/>
      <c r="F492" s="28"/>
      <c r="G492" s="28"/>
      <c r="H492" s="28"/>
      <c r="I492" s="30"/>
      <c r="J492" s="31"/>
      <c r="K492" s="33">
        <f>1.96+(2.5/K491)+(2.3/K491^2)+(2.2/K491^3)+(3.7/K491^4)</f>
        <v>2.0579354639285081</v>
      </c>
      <c r="L492" s="17"/>
    </row>
    <row r="493" spans="2:17" x14ac:dyDescent="0.25">
      <c r="B493" s="27" t="s">
        <v>106</v>
      </c>
      <c r="C493" s="28"/>
      <c r="D493" s="28"/>
      <c r="E493" s="29"/>
      <c r="F493" s="28"/>
      <c r="G493" s="28"/>
      <c r="H493" s="28"/>
      <c r="I493" s="30"/>
      <c r="J493" s="31"/>
      <c r="K493" s="48">
        <f>K492*K490</f>
        <v>403.27178239338639</v>
      </c>
      <c r="L493" s="17"/>
    </row>
    <row r="494" spans="2:17" x14ac:dyDescent="0.25">
      <c r="B494" s="34" t="s">
        <v>107</v>
      </c>
      <c r="C494" s="35"/>
      <c r="D494" s="35"/>
      <c r="E494" s="36"/>
      <c r="F494" s="35"/>
      <c r="G494" s="35"/>
      <c r="H494" s="35"/>
      <c r="I494" s="37"/>
      <c r="J494" s="38"/>
      <c r="K494" s="112">
        <f>K492*K490/1000</f>
        <v>0.4032717823933864</v>
      </c>
      <c r="L494" s="20"/>
    </row>
    <row r="495" spans="2:17" x14ac:dyDescent="0.25">
      <c r="B495" s="39" t="s">
        <v>110</v>
      </c>
      <c r="K495" s="258">
        <f t="array" ref="K495">IFERROR(INDEX(Database!$BE$4:$BE$11, MATCH(1, (B476&gt;=Database!$BC$4:$BC$11)*(B476&lt;=Database!$BD$4:$BD$11), 0)),0)</f>
        <v>0.12</v>
      </c>
    </row>
    <row r="500" spans="1:17" x14ac:dyDescent="0.3">
      <c r="A500" s="316" t="s">
        <v>304</v>
      </c>
      <c r="B500">
        <f>IF(C87="custom",B124,B123)</f>
        <v>0</v>
      </c>
      <c r="C500" s="43" t="s">
        <v>30</v>
      </c>
    </row>
    <row r="501" spans="1:17" x14ac:dyDescent="0.3">
      <c r="B501" s="8">
        <f>B500*1000</f>
        <v>0</v>
      </c>
      <c r="C501" s="8" t="s">
        <v>31</v>
      </c>
      <c r="D501" s="8"/>
      <c r="E501" s="8" t="s">
        <v>33</v>
      </c>
      <c r="F501" s="47">
        <f>IF($C$18="M1",
   SUM(IFERROR(INDEX(
      Database!$CB$4:$CD$33,
      MATCH(K125:O125, Database!$CB$4:$CB$33, 0),
      3), 0)),
   SUM(IFERROR(INDEX(CHOOSE(
      MATCH($C$18, Database!$A$8:$A$10, 0),
      Database!$BP$4:$BR$21,
      Database!$BT$4:$BV$21,
      Database!$CB$4:$CD$33,
      Database!$BX$4:$BZ$21),
      MATCH(Database!$Z$31:$AI$31, INDEX(
         CHOOSE(MATCH($C$18, Database!$A$8:$A$10, 0),
            Database!$BP$4:$BR$21,
            Database!$BT$4:$BV$21,
            Database!$CB$4:$CD$33,
            Database!$BX$4:$BZ$21),,1),
         0),
      3), 0))
   )</f>
        <v>0</v>
      </c>
      <c r="G501" s="8" t="s">
        <v>31</v>
      </c>
      <c r="H501" s="8"/>
      <c r="I501" s="8"/>
      <c r="J501" s="8"/>
      <c r="K501" s="8"/>
      <c r="L501" s="8"/>
    </row>
    <row r="502" spans="1:17" x14ac:dyDescent="0.3">
      <c r="B502" s="8"/>
      <c r="C502" s="8"/>
      <c r="D502" s="8"/>
      <c r="E502" s="8"/>
      <c r="F502" s="127"/>
      <c r="G502" s="8"/>
      <c r="H502" s="8"/>
      <c r="I502" s="8"/>
      <c r="K502" s="8"/>
      <c r="L502" s="8"/>
    </row>
    <row r="503" spans="1:17" ht="15.6" x14ac:dyDescent="0.25">
      <c r="B503" s="10" t="s">
        <v>85</v>
      </c>
      <c r="C503" s="10" t="s">
        <v>86</v>
      </c>
      <c r="D503" s="10" t="s">
        <v>87</v>
      </c>
      <c r="E503" s="10" t="s">
        <v>33</v>
      </c>
      <c r="F503" s="10" t="s">
        <v>88</v>
      </c>
      <c r="G503" s="10" t="s">
        <v>89</v>
      </c>
      <c r="H503" s="11" t="s">
        <v>90</v>
      </c>
      <c r="I503" s="10" t="s">
        <v>91</v>
      </c>
      <c r="J503" s="11" t="s">
        <v>92</v>
      </c>
      <c r="K503" s="11" t="s">
        <v>93</v>
      </c>
      <c r="L503" s="10" t="s">
        <v>94</v>
      </c>
    </row>
    <row r="504" spans="1:17" x14ac:dyDescent="0.25">
      <c r="B504" s="12">
        <v>1</v>
      </c>
      <c r="C504" s="12">
        <v>2</v>
      </c>
      <c r="D504" s="12">
        <v>3</v>
      </c>
      <c r="E504" s="12">
        <v>4</v>
      </c>
      <c r="F504" s="12">
        <v>5</v>
      </c>
      <c r="G504" s="12">
        <v>6</v>
      </c>
      <c r="H504" s="12">
        <v>7</v>
      </c>
      <c r="I504" s="12">
        <v>8</v>
      </c>
      <c r="J504" s="12">
        <v>9</v>
      </c>
      <c r="K504" s="12">
        <v>10</v>
      </c>
      <c r="L504" s="12">
        <v>11</v>
      </c>
    </row>
    <row r="505" spans="1:17" x14ac:dyDescent="0.25">
      <c r="B505" s="13" t="s">
        <v>95</v>
      </c>
      <c r="C505" s="14" t="s">
        <v>31</v>
      </c>
      <c r="D505" s="14" t="s">
        <v>96</v>
      </c>
      <c r="E505" s="15">
        <f>F501</f>
        <v>0</v>
      </c>
      <c r="F505" s="14">
        <v>2</v>
      </c>
      <c r="G505" s="14">
        <v>60</v>
      </c>
      <c r="H505" s="14">
        <f t="shared" ref="H505:H508" si="112">E505/F505</f>
        <v>0</v>
      </c>
      <c r="I505" s="14">
        <v>1</v>
      </c>
      <c r="J505" s="14">
        <f t="shared" ref="J505:J508" si="113">H505*I505</f>
        <v>0</v>
      </c>
      <c r="K505" s="14">
        <f t="shared" ref="K505:K508" si="114">J505^2</f>
        <v>0</v>
      </c>
      <c r="L505" s="14">
        <f t="shared" ref="L505:L508" si="115">J505^4/G505</f>
        <v>0</v>
      </c>
    </row>
    <row r="506" spans="1:17" x14ac:dyDescent="0.25">
      <c r="B506" s="16" t="s">
        <v>97</v>
      </c>
      <c r="C506" s="14" t="s">
        <v>31</v>
      </c>
      <c r="D506" s="17" t="s">
        <v>98</v>
      </c>
      <c r="E506" s="18">
        <f>E484</f>
        <v>80</v>
      </c>
      <c r="F506" s="17">
        <v>1</v>
      </c>
      <c r="G506" s="17">
        <f>IF(T253&gt;T255,1000,9)</f>
        <v>9</v>
      </c>
      <c r="H506" s="17">
        <f t="shared" si="112"/>
        <v>80</v>
      </c>
      <c r="I506" s="17">
        <v>1</v>
      </c>
      <c r="J506" s="17">
        <f t="shared" si="113"/>
        <v>80</v>
      </c>
      <c r="K506" s="17">
        <f t="shared" si="114"/>
        <v>6400</v>
      </c>
      <c r="L506" s="17">
        <f t="shared" si="115"/>
        <v>4551111.111111111</v>
      </c>
      <c r="N506" s="303" t="s">
        <v>109</v>
      </c>
      <c r="O506" s="303">
        <f>IF(ISNUMBER(Database!AZ21),Database!AZ21,VALUE(LEFT(Database!AZ21,LEN(Database!AZ21)-1)))</f>
        <v>20000</v>
      </c>
      <c r="P506" s="303">
        <f>IFERROR( INDEX(CHOOSE(
    MATCH($C$18,Database!$A$8:$A$11,0),
  Database!$BI$4:$BI$27,
    Database!$BJ$4:$BJ$27,
   Database!$BI$4:$BI$27,
 Database!$BL$4:$BL$27   ),
   MATCH(O506,Database!$BG$4:$BG$27,   0)),  0 )</f>
        <v>1000</v>
      </c>
      <c r="Q506" s="303" t="s">
        <v>31</v>
      </c>
    </row>
    <row r="507" spans="1:17" x14ac:dyDescent="0.25">
      <c r="B507" s="16" t="s">
        <v>99</v>
      </c>
      <c r="C507" s="14" t="s">
        <v>31</v>
      </c>
      <c r="D507" s="17" t="s">
        <v>100</v>
      </c>
      <c r="E507" s="18">
        <f>0.08*P506</f>
        <v>80</v>
      </c>
      <c r="F507" s="17">
        <v>1</v>
      </c>
      <c r="G507" s="17">
        <v>4</v>
      </c>
      <c r="H507" s="17">
        <f t="shared" si="112"/>
        <v>80</v>
      </c>
      <c r="I507" s="17">
        <v>1</v>
      </c>
      <c r="J507" s="17">
        <f t="shared" si="113"/>
        <v>80</v>
      </c>
      <c r="K507" s="17">
        <f t="shared" si="114"/>
        <v>6400</v>
      </c>
      <c r="L507" s="17">
        <f t="shared" si="115"/>
        <v>10240000</v>
      </c>
      <c r="N507" s="303" t="s">
        <v>109</v>
      </c>
      <c r="O507" s="303">
        <f>IF(ISNUMBER(Database!AZ22),Database!AZ22,VALUE(LEFT(Database!AZ22,LEN(Database!AZ22)-1)))</f>
        <v>20000</v>
      </c>
      <c r="P507" s="303">
        <f>IFERROR( INDEX(CHOOSE(
    MATCH($C$18,Database!$A$8:$A$11,0),
  Database!$BI$4:$BI$27,
    Database!$BJ$4:$BJ$27,
   Database!$BI$4:$BI$27,
 Database!$BL$4:$BL$27   ),
   MATCH(O507,Database!$BG$4:$BG$27,   0)),  0 )</f>
        <v>1000</v>
      </c>
      <c r="Q507" s="303" t="s">
        <v>31</v>
      </c>
    </row>
    <row r="508" spans="1:17" x14ac:dyDescent="0.25">
      <c r="B508" s="16" t="s">
        <v>99</v>
      </c>
      <c r="C508" s="14" t="s">
        <v>31</v>
      </c>
      <c r="D508" s="17" t="s">
        <v>100</v>
      </c>
      <c r="E508" s="18">
        <f t="shared" ref="E508:E511" si="116">0.08*P507</f>
        <v>80</v>
      </c>
      <c r="F508" s="17">
        <v>1</v>
      </c>
      <c r="G508" s="17">
        <v>4</v>
      </c>
      <c r="H508" s="17">
        <f t="shared" si="112"/>
        <v>80</v>
      </c>
      <c r="I508" s="17">
        <v>1</v>
      </c>
      <c r="J508" s="17">
        <f t="shared" si="113"/>
        <v>80</v>
      </c>
      <c r="K508" s="17">
        <f t="shared" si="114"/>
        <v>6400</v>
      </c>
      <c r="L508" s="17">
        <f t="shared" si="115"/>
        <v>10240000</v>
      </c>
      <c r="N508" s="303" t="s">
        <v>109</v>
      </c>
      <c r="O508" s="303">
        <f>IF(ISNUMBER(Database!AZ23),Database!AZ23,VALUE(LEFT(Database!AZ23,LEN(Database!AZ23)-1)))</f>
        <v>20000</v>
      </c>
      <c r="P508" s="303">
        <f>IFERROR( INDEX(CHOOSE(
    MATCH($C$18,Database!$A$8:$A$11,0),
  Database!$BI$4:$BI$27,
    Database!$BJ$4:$BJ$27,
   Database!$BI$4:$BI$27,
 Database!$BL$4:$BL$27   ),
   MATCH(O508,Database!$BG$4:$BG$27,   0)),  0 )</f>
        <v>1000</v>
      </c>
      <c r="Q508" s="303" t="s">
        <v>31</v>
      </c>
    </row>
    <row r="509" spans="1:17" x14ac:dyDescent="0.25">
      <c r="B509" s="16" t="s">
        <v>99</v>
      </c>
      <c r="C509" s="14" t="s">
        <v>31</v>
      </c>
      <c r="D509" s="17" t="s">
        <v>100</v>
      </c>
      <c r="E509" s="18">
        <f t="shared" si="116"/>
        <v>80</v>
      </c>
      <c r="F509" s="17">
        <v>1</v>
      </c>
      <c r="G509" s="17">
        <v>4</v>
      </c>
      <c r="H509" s="17">
        <f>E509/F509</f>
        <v>80</v>
      </c>
      <c r="I509" s="17">
        <v>1</v>
      </c>
      <c r="J509" s="17">
        <f>H509*I509</f>
        <v>80</v>
      </c>
      <c r="K509" s="17">
        <f>J509^2</f>
        <v>6400</v>
      </c>
      <c r="L509" s="17">
        <f>J509^4/G509</f>
        <v>10240000</v>
      </c>
      <c r="N509" s="303" t="s">
        <v>109</v>
      </c>
      <c r="O509" s="303">
        <f>IF(ISNUMBER(Database!AZ24),Database!AZ24,VALUE(LEFT(Database!AZ24,LEN(Database!AZ24)-1)))</f>
        <v>20000</v>
      </c>
      <c r="P509" s="303">
        <f>IFERROR( INDEX(CHOOSE(
    MATCH($C$18,Database!$A$8:$A$11,0),
  Database!$BI$4:$BI$27,
    Database!$BJ$4:$BJ$27,
   Database!$BI$4:$BI$27,
 Database!$BL$4:$BL$27   ),
   MATCH(O509,Database!$BG$4:$BG$27,   0)),  0 )</f>
        <v>1000</v>
      </c>
      <c r="Q509" s="303" t="s">
        <v>31</v>
      </c>
    </row>
    <row r="510" spans="1:17" x14ac:dyDescent="0.25">
      <c r="B510" s="16" t="s">
        <v>99</v>
      </c>
      <c r="C510" s="14" t="s">
        <v>31</v>
      </c>
      <c r="D510" s="17" t="s">
        <v>100</v>
      </c>
      <c r="E510" s="18">
        <f t="shared" si="116"/>
        <v>80</v>
      </c>
      <c r="F510" s="17">
        <v>1</v>
      </c>
      <c r="G510" s="17">
        <v>4</v>
      </c>
      <c r="H510" s="17">
        <f>E510/F510</f>
        <v>80</v>
      </c>
      <c r="I510" s="17">
        <v>1</v>
      </c>
      <c r="J510" s="17">
        <f>H510*I510</f>
        <v>80</v>
      </c>
      <c r="K510" s="17">
        <f>J510^2</f>
        <v>6400</v>
      </c>
      <c r="L510" s="17">
        <f>J510^4/G510</f>
        <v>10240000</v>
      </c>
      <c r="N510" s="303" t="s">
        <v>109</v>
      </c>
      <c r="O510" s="303">
        <f>IF(ISNUMBER(Database!AZ25),Database!AZ25,VALUE(LEFT(Database!AZ25,LEN(Database!AZ25)-1)))</f>
        <v>20000</v>
      </c>
      <c r="P510" s="303">
        <f>IFERROR( INDEX(CHOOSE(
    MATCH($C$18,Database!$A$8:$A$11,0),
  Database!$BI$4:$BI$27,
    Database!$BJ$4:$BJ$27,
   Database!$BI$4:$BI$27,
 Database!$BL$4:$BL$27   ),
   MATCH(O510,Database!$BG$4:$BG$27,   0)),  0 )</f>
        <v>1000</v>
      </c>
      <c r="Q510" s="303" t="s">
        <v>31</v>
      </c>
    </row>
    <row r="511" spans="1:17" x14ac:dyDescent="0.25">
      <c r="B511" s="16" t="s">
        <v>99</v>
      </c>
      <c r="C511" s="14" t="s">
        <v>31</v>
      </c>
      <c r="D511" s="17" t="s">
        <v>100</v>
      </c>
      <c r="E511" s="18">
        <f t="shared" si="116"/>
        <v>80</v>
      </c>
      <c r="F511" s="17">
        <v>1</v>
      </c>
      <c r="G511" s="17">
        <v>4</v>
      </c>
      <c r="H511" s="17">
        <f>E511/F511</f>
        <v>80</v>
      </c>
      <c r="I511" s="17">
        <v>1</v>
      </c>
      <c r="J511" s="17">
        <f>H511*I511</f>
        <v>80</v>
      </c>
      <c r="K511" s="17">
        <f>J511^2</f>
        <v>6400</v>
      </c>
      <c r="L511" s="17">
        <f>J511^4/G511</f>
        <v>10240000</v>
      </c>
    </row>
    <row r="512" spans="1:17" x14ac:dyDescent="0.25">
      <c r="B512" s="19" t="s">
        <v>101</v>
      </c>
      <c r="C512" s="14" t="s">
        <v>31</v>
      </c>
      <c r="D512" s="20" t="s">
        <v>100</v>
      </c>
      <c r="E512" s="21">
        <v>0.5</v>
      </c>
      <c r="F512" s="20">
        <f>SQRT(3)</f>
        <v>1.7320508075688772</v>
      </c>
      <c r="G512" s="20">
        <v>1000</v>
      </c>
      <c r="H512" s="20">
        <f t="shared" ref="H512" si="117">E512/F512</f>
        <v>0.28867513459481292</v>
      </c>
      <c r="I512" s="20">
        <v>1</v>
      </c>
      <c r="J512" s="20">
        <f t="shared" ref="J512" si="118">H512*I512</f>
        <v>0.28867513459481292</v>
      </c>
      <c r="K512" s="20">
        <f t="shared" ref="K512" si="119">J512^2</f>
        <v>8.3333333333333356E-2</v>
      </c>
      <c r="L512" s="20">
        <f t="shared" ref="L512" si="120">J512^4/G512</f>
        <v>6.9444444444444482E-6</v>
      </c>
    </row>
    <row r="513" spans="1:12" x14ac:dyDescent="0.25">
      <c r="B513" s="22" t="s">
        <v>102</v>
      </c>
      <c r="C513" s="23"/>
      <c r="D513" s="23"/>
      <c r="E513" s="24"/>
      <c r="F513" s="23"/>
      <c r="G513" s="23"/>
      <c r="H513" s="23"/>
      <c r="I513" s="25"/>
      <c r="J513" s="26"/>
      <c r="K513" s="14">
        <f>SUM(K505:K512)</f>
        <v>38400.083333333336</v>
      </c>
      <c r="L513" s="14">
        <f>SUM(L505:L512)</f>
        <v>55751111.111118056</v>
      </c>
    </row>
    <row r="514" spans="1:12" x14ac:dyDescent="0.25">
      <c r="B514" s="27" t="s">
        <v>103</v>
      </c>
      <c r="C514" s="28"/>
      <c r="D514" s="28"/>
      <c r="E514" s="29"/>
      <c r="F514" s="28"/>
      <c r="G514" s="28"/>
      <c r="H514" s="28"/>
      <c r="I514" s="30"/>
      <c r="J514" s="31"/>
      <c r="K514" s="17">
        <f>SQRT(K513)</f>
        <v>195.95939205185684</v>
      </c>
      <c r="L514" s="17"/>
    </row>
    <row r="515" spans="1:12" x14ac:dyDescent="0.25">
      <c r="B515" s="27" t="s">
        <v>104</v>
      </c>
      <c r="C515" s="28"/>
      <c r="D515" s="28"/>
      <c r="E515" s="29"/>
      <c r="F515" s="28"/>
      <c r="G515" s="28"/>
      <c r="H515" s="28"/>
      <c r="I515" s="30"/>
      <c r="J515" s="31"/>
      <c r="K515" s="32">
        <f>K514^4/L513</f>
        <v>26.449094387876372</v>
      </c>
      <c r="L515" s="17"/>
    </row>
    <row r="516" spans="1:12" x14ac:dyDescent="0.25">
      <c r="B516" s="27" t="s">
        <v>105</v>
      </c>
      <c r="C516" s="28"/>
      <c r="D516" s="28"/>
      <c r="E516" s="29"/>
      <c r="F516" s="28"/>
      <c r="G516" s="28"/>
      <c r="H516" s="28"/>
      <c r="I516" s="30"/>
      <c r="J516" s="31"/>
      <c r="K516" s="33">
        <f>1.96+(2.5/K515)+(2.3/K515^2)+(2.2/K515^3)+(3.7/K515^4)</f>
        <v>2.0579354639285081</v>
      </c>
      <c r="L516" s="17"/>
    </row>
    <row r="517" spans="1:12" x14ac:dyDescent="0.25">
      <c r="B517" s="27" t="s">
        <v>106</v>
      </c>
      <c r="C517" s="28"/>
      <c r="D517" s="28"/>
      <c r="E517" s="29"/>
      <c r="F517" s="28"/>
      <c r="G517" s="28"/>
      <c r="H517" s="28"/>
      <c r="I517" s="30"/>
      <c r="J517" s="31"/>
      <c r="K517" s="48">
        <f>K516*K514</f>
        <v>403.27178239338639</v>
      </c>
      <c r="L517" s="17"/>
    </row>
    <row r="518" spans="1:12" x14ac:dyDescent="0.25">
      <c r="B518" s="34" t="s">
        <v>107</v>
      </c>
      <c r="C518" s="35"/>
      <c r="D518" s="35"/>
      <c r="E518" s="36"/>
      <c r="F518" s="35"/>
      <c r="G518" s="35"/>
      <c r="H518" s="35"/>
      <c r="I518" s="37"/>
      <c r="J518" s="38"/>
      <c r="K518" s="112">
        <f>K516*K514/1000</f>
        <v>0.4032717823933864</v>
      </c>
      <c r="L518" s="20"/>
    </row>
    <row r="519" spans="1:12" x14ac:dyDescent="0.25">
      <c r="B519" s="39" t="s">
        <v>110</v>
      </c>
      <c r="K519" s="258">
        <f t="array" ref="K519">IFERROR(INDEX(Database!$BE$4:$BE$11, MATCH(1, (B500&gt;=Database!$BC$4:$BC$11)*(B500&lt;=Database!$BD$4:$BD$11), 0)),0)</f>
        <v>0.12</v>
      </c>
    </row>
    <row r="523" spans="1:12" x14ac:dyDescent="0.3">
      <c r="A523" s="316" t="s">
        <v>305</v>
      </c>
      <c r="B523">
        <f>IF(C110="custom",B128,B127)</f>
        <v>0</v>
      </c>
      <c r="C523" s="43" t="s">
        <v>30</v>
      </c>
    </row>
    <row r="524" spans="1:12" x14ac:dyDescent="0.3">
      <c r="B524" s="8">
        <f>B523*1000</f>
        <v>0</v>
      </c>
      <c r="C524" s="8" t="s">
        <v>31</v>
      </c>
      <c r="D524" s="8"/>
      <c r="E524" s="8" t="s">
        <v>33</v>
      </c>
      <c r="F524" s="47">
        <f>IF($C$18="M1",
   SUM(IFERROR(INDEX(
      Database!$CB$4:$CD$33,
      MATCH(K129:O129, Database!$CB$4:$CB$33, 0),
      3), 0)),
   SUM(IFERROR(INDEX(CHOOSE(
      MATCH($C$18, Database!$A$8:$A$10, 0),
      Database!$BP$4:$BR$21,
      Database!$BT$4:$BV$21,
      Database!$CB$4:$CD$33,
      Database!$BX$4:$BZ$21),
      MATCH(Database!$Z$31:$AI$31, INDEX(
         CHOOSE(MATCH($C$18, Database!$A$8:$A$10, 0),
            Database!$BP$4:$BR$21,
            Database!$BT$4:$BV$21,
            Database!$CB$4:$CD$33,
            Database!$BX$4:$BZ$21),,1),
         0),
      3), 0))
   )</f>
        <v>0</v>
      </c>
      <c r="G524" s="8" t="s">
        <v>31</v>
      </c>
      <c r="H524" s="8"/>
      <c r="I524" s="8"/>
      <c r="J524" s="8"/>
      <c r="K524" s="8"/>
      <c r="L524" s="8"/>
    </row>
    <row r="525" spans="1:12" x14ac:dyDescent="0.3">
      <c r="B525" s="8"/>
      <c r="C525" s="8"/>
      <c r="D525" s="8"/>
      <c r="E525" s="8"/>
      <c r="F525" s="127"/>
      <c r="G525" s="8"/>
      <c r="H525" s="8"/>
      <c r="I525" s="8"/>
      <c r="K525" s="8"/>
      <c r="L525" s="8"/>
    </row>
    <row r="526" spans="1:12" ht="15.6" x14ac:dyDescent="0.25">
      <c r="B526" s="10" t="s">
        <v>85</v>
      </c>
      <c r="C526" s="10" t="s">
        <v>86</v>
      </c>
      <c r="D526" s="10" t="s">
        <v>87</v>
      </c>
      <c r="E526" s="10" t="s">
        <v>33</v>
      </c>
      <c r="F526" s="10" t="s">
        <v>88</v>
      </c>
      <c r="G526" s="10" t="s">
        <v>89</v>
      </c>
      <c r="H526" s="11" t="s">
        <v>90</v>
      </c>
      <c r="I526" s="10" t="s">
        <v>91</v>
      </c>
      <c r="J526" s="11" t="s">
        <v>92</v>
      </c>
      <c r="K526" s="11" t="s">
        <v>93</v>
      </c>
      <c r="L526" s="10" t="s">
        <v>94</v>
      </c>
    </row>
    <row r="527" spans="1:12" x14ac:dyDescent="0.25">
      <c r="B527" s="12">
        <v>1</v>
      </c>
      <c r="C527" s="12">
        <v>2</v>
      </c>
      <c r="D527" s="12">
        <v>3</v>
      </c>
      <c r="E527" s="12">
        <v>4</v>
      </c>
      <c r="F527" s="12">
        <v>5</v>
      </c>
      <c r="G527" s="12">
        <v>6</v>
      </c>
      <c r="H527" s="12">
        <v>7</v>
      </c>
      <c r="I527" s="12">
        <v>8</v>
      </c>
      <c r="J527" s="12">
        <v>9</v>
      </c>
      <c r="K527" s="12">
        <v>10</v>
      </c>
      <c r="L527" s="12">
        <v>11</v>
      </c>
    </row>
    <row r="528" spans="1:12" x14ac:dyDescent="0.25">
      <c r="B528" s="13" t="s">
        <v>95</v>
      </c>
      <c r="C528" s="14" t="s">
        <v>31</v>
      </c>
      <c r="D528" s="14" t="s">
        <v>96</v>
      </c>
      <c r="E528" s="15">
        <f>F524</f>
        <v>0</v>
      </c>
      <c r="F528" s="14">
        <v>2</v>
      </c>
      <c r="G528" s="14">
        <v>60</v>
      </c>
      <c r="H528" s="14">
        <f t="shared" ref="H528:H531" si="121">E528/F528</f>
        <v>0</v>
      </c>
      <c r="I528" s="14">
        <v>1</v>
      </c>
      <c r="J528" s="14">
        <f t="shared" ref="J528:J531" si="122">H528*I528</f>
        <v>0</v>
      </c>
      <c r="K528" s="14">
        <f t="shared" ref="K528:K531" si="123">J528^2</f>
        <v>0</v>
      </c>
      <c r="L528" s="14">
        <f t="shared" ref="L528:L531" si="124">J528^4/G528</f>
        <v>0</v>
      </c>
    </row>
    <row r="529" spans="2:17" x14ac:dyDescent="0.25">
      <c r="B529" s="16" t="s">
        <v>97</v>
      </c>
      <c r="C529" s="14" t="s">
        <v>31</v>
      </c>
      <c r="D529" s="17" t="s">
        <v>98</v>
      </c>
      <c r="E529" s="18">
        <f>E507</f>
        <v>80</v>
      </c>
      <c r="F529" s="17">
        <v>1</v>
      </c>
      <c r="G529" s="17">
        <f>IF(T276&gt;T278,1000,9)</f>
        <v>9</v>
      </c>
      <c r="H529" s="17">
        <f t="shared" si="121"/>
        <v>80</v>
      </c>
      <c r="I529" s="17">
        <v>1</v>
      </c>
      <c r="J529" s="17">
        <f t="shared" si="122"/>
        <v>80</v>
      </c>
      <c r="K529" s="17">
        <f t="shared" si="123"/>
        <v>6400</v>
      </c>
      <c r="L529" s="17">
        <f t="shared" si="124"/>
        <v>4551111.111111111</v>
      </c>
      <c r="N529" s="303" t="s">
        <v>109</v>
      </c>
      <c r="O529" s="303">
        <f>IF(ISNUMBER(Database!BA21),Database!BA21,VALUE(LEFT(Database!BA21,LEN(Database!BA21)-1)))</f>
        <v>20000</v>
      </c>
      <c r="P529" s="303">
        <f>IFERROR( INDEX(CHOOSE(
    MATCH($C$18,Database!$A$8:$A$11,0),
  Database!$BI$4:$BI$27,
    Database!$BJ$4:$BJ$27,
   Database!$BI$4:$BI$27,
 Database!$BL$4:$BL$27   ),
   MATCH(O529,Database!$BG$4:$BG$27,   0)),  0 )</f>
        <v>1000</v>
      </c>
      <c r="Q529" s="303" t="s">
        <v>31</v>
      </c>
    </row>
    <row r="530" spans="2:17" x14ac:dyDescent="0.25">
      <c r="B530" s="16" t="s">
        <v>99</v>
      </c>
      <c r="C530" s="14" t="s">
        <v>31</v>
      </c>
      <c r="D530" s="17" t="s">
        <v>100</v>
      </c>
      <c r="E530" s="18">
        <f>0.08*P529</f>
        <v>80</v>
      </c>
      <c r="F530" s="17">
        <v>1</v>
      </c>
      <c r="G530" s="17">
        <v>4</v>
      </c>
      <c r="H530" s="17">
        <f t="shared" si="121"/>
        <v>80</v>
      </c>
      <c r="I530" s="17">
        <v>1</v>
      </c>
      <c r="J530" s="17">
        <f t="shared" si="122"/>
        <v>80</v>
      </c>
      <c r="K530" s="17">
        <f t="shared" si="123"/>
        <v>6400</v>
      </c>
      <c r="L530" s="17">
        <f t="shared" si="124"/>
        <v>10240000</v>
      </c>
      <c r="N530" s="303" t="s">
        <v>109</v>
      </c>
      <c r="O530" s="303">
        <f>IF(ISNUMBER(Database!BA22),Database!BA22,VALUE(LEFT(Database!BA22,LEN(Database!BA22)-1)))</f>
        <v>20000</v>
      </c>
      <c r="P530" s="303">
        <f>IFERROR( INDEX(CHOOSE(
    MATCH($C$18,Database!$A$8:$A$11,0),
  Database!$BI$4:$BI$27,
    Database!$BJ$4:$BJ$27,
   Database!$BI$4:$BI$27,
 Database!$BL$4:$BL$27   ),
   MATCH(O530,Database!$BG$4:$BG$27,   0)),  0 )</f>
        <v>1000</v>
      </c>
      <c r="Q530" s="303" t="s">
        <v>31</v>
      </c>
    </row>
    <row r="531" spans="2:17" x14ac:dyDescent="0.25">
      <c r="B531" s="16" t="s">
        <v>99</v>
      </c>
      <c r="C531" s="14" t="s">
        <v>31</v>
      </c>
      <c r="D531" s="17" t="s">
        <v>100</v>
      </c>
      <c r="E531" s="18">
        <f t="shared" ref="E531:E534" si="125">0.08*P530</f>
        <v>80</v>
      </c>
      <c r="F531" s="17">
        <v>1</v>
      </c>
      <c r="G531" s="17">
        <v>4</v>
      </c>
      <c r="H531" s="17">
        <f t="shared" si="121"/>
        <v>80</v>
      </c>
      <c r="I531" s="17">
        <v>1</v>
      </c>
      <c r="J531" s="17">
        <f t="shared" si="122"/>
        <v>80</v>
      </c>
      <c r="K531" s="17">
        <f t="shared" si="123"/>
        <v>6400</v>
      </c>
      <c r="L531" s="17">
        <f t="shared" si="124"/>
        <v>10240000</v>
      </c>
      <c r="N531" s="303" t="s">
        <v>109</v>
      </c>
      <c r="O531" s="303">
        <f>IF(ISNUMBER(Database!BA23),Database!BA23,VALUE(LEFT(Database!BA23,LEN(Database!BA23)-1)))</f>
        <v>20000</v>
      </c>
      <c r="P531" s="303">
        <f>IFERROR( INDEX(CHOOSE(
    MATCH($C$18,Database!$A$8:$A$11,0),
  Database!$BI$4:$BI$27,
    Database!$BJ$4:$BJ$27,
   Database!$BI$4:$BI$27,
 Database!$BL$4:$BL$27   ),
   MATCH(O531,Database!$BG$4:$BG$27,   0)),  0 )</f>
        <v>1000</v>
      </c>
      <c r="Q531" s="303" t="s">
        <v>31</v>
      </c>
    </row>
    <row r="532" spans="2:17" x14ac:dyDescent="0.25">
      <c r="B532" s="16" t="s">
        <v>99</v>
      </c>
      <c r="C532" s="14" t="s">
        <v>31</v>
      </c>
      <c r="D532" s="17" t="s">
        <v>100</v>
      </c>
      <c r="E532" s="18">
        <f t="shared" si="125"/>
        <v>80</v>
      </c>
      <c r="F532" s="17">
        <v>1</v>
      </c>
      <c r="G532" s="17">
        <v>4</v>
      </c>
      <c r="H532" s="17">
        <f>E532/F532</f>
        <v>80</v>
      </c>
      <c r="I532" s="17">
        <v>1</v>
      </c>
      <c r="J532" s="17">
        <f>H532*I532</f>
        <v>80</v>
      </c>
      <c r="K532" s="17">
        <f>J532^2</f>
        <v>6400</v>
      </c>
      <c r="L532" s="17">
        <f>J532^4/G532</f>
        <v>10240000</v>
      </c>
      <c r="N532" s="303" t="s">
        <v>109</v>
      </c>
      <c r="O532" s="303">
        <f>IF(ISNUMBER(Database!BA24),Database!BA24,VALUE(LEFT(Database!BA24,LEN(Database!BA24)-1)))</f>
        <v>20000</v>
      </c>
      <c r="P532" s="303">
        <f>IFERROR( INDEX(CHOOSE(
    MATCH($C$18,Database!$A$8:$A$11,0),
  Database!$BI$4:$BI$27,
    Database!$BJ$4:$BJ$27,
   Database!$BI$4:$BI$27,
 Database!$BL$4:$BL$27   ),
   MATCH(O532,Database!$BG$4:$BG$27,   0)),  0 )</f>
        <v>1000</v>
      </c>
      <c r="Q532" s="303" t="s">
        <v>31</v>
      </c>
    </row>
    <row r="533" spans="2:17" x14ac:dyDescent="0.25">
      <c r="B533" s="16" t="s">
        <v>99</v>
      </c>
      <c r="C533" s="14" t="s">
        <v>31</v>
      </c>
      <c r="D533" s="17" t="s">
        <v>100</v>
      </c>
      <c r="E533" s="18">
        <f t="shared" si="125"/>
        <v>80</v>
      </c>
      <c r="F533" s="17">
        <v>1</v>
      </c>
      <c r="G533" s="17">
        <v>4</v>
      </c>
      <c r="H533" s="17">
        <f>E533/F533</f>
        <v>80</v>
      </c>
      <c r="I533" s="17">
        <v>1</v>
      </c>
      <c r="J533" s="17">
        <f>H533*I533</f>
        <v>80</v>
      </c>
      <c r="K533" s="17">
        <f>J533^2</f>
        <v>6400</v>
      </c>
      <c r="L533" s="17">
        <f>J533^4/G533</f>
        <v>10240000</v>
      </c>
      <c r="N533" s="303" t="s">
        <v>109</v>
      </c>
      <c r="O533" s="303">
        <f>IF(ISNUMBER(Database!BA25),Database!BA25,VALUE(LEFT(Database!BA25,LEN(Database!BA25)-1)))</f>
        <v>20000</v>
      </c>
      <c r="P533" s="303">
        <f>IFERROR( INDEX(CHOOSE(
    MATCH($C$18,Database!$A$8:$A$11,0),
  Database!$BI$4:$BI$27,
    Database!$BJ$4:$BJ$27,
   Database!$BI$4:$BI$27,
 Database!$BL$4:$BL$27   ),
   MATCH(O533,Database!$BG$4:$BG$27,   0)),  0 )</f>
        <v>1000</v>
      </c>
      <c r="Q533" s="303" t="s">
        <v>31</v>
      </c>
    </row>
    <row r="534" spans="2:17" x14ac:dyDescent="0.25">
      <c r="B534" s="16" t="s">
        <v>99</v>
      </c>
      <c r="C534" s="14" t="s">
        <v>31</v>
      </c>
      <c r="D534" s="17" t="s">
        <v>100</v>
      </c>
      <c r="E534" s="18">
        <f t="shared" si="125"/>
        <v>80</v>
      </c>
      <c r="F534" s="17">
        <v>1</v>
      </c>
      <c r="G534" s="17">
        <v>4</v>
      </c>
      <c r="H534" s="17">
        <f>E534/F534</f>
        <v>80</v>
      </c>
      <c r="I534" s="17">
        <v>1</v>
      </c>
      <c r="J534" s="17">
        <f>H534*I534</f>
        <v>80</v>
      </c>
      <c r="K534" s="17">
        <f>J534^2</f>
        <v>6400</v>
      </c>
      <c r="L534" s="17">
        <f>J534^4/G534</f>
        <v>10240000</v>
      </c>
    </row>
    <row r="535" spans="2:17" x14ac:dyDescent="0.25">
      <c r="B535" s="19" t="s">
        <v>101</v>
      </c>
      <c r="C535" s="14" t="s">
        <v>31</v>
      </c>
      <c r="D535" s="20" t="s">
        <v>100</v>
      </c>
      <c r="E535" s="21">
        <v>0.5</v>
      </c>
      <c r="F535" s="20">
        <f>SQRT(3)</f>
        <v>1.7320508075688772</v>
      </c>
      <c r="G535" s="20">
        <v>1000</v>
      </c>
      <c r="H535" s="20">
        <f t="shared" ref="H535" si="126">E535/F535</f>
        <v>0.28867513459481292</v>
      </c>
      <c r="I535" s="20">
        <v>1</v>
      </c>
      <c r="J535" s="20">
        <f t="shared" ref="J535" si="127">H535*I535</f>
        <v>0.28867513459481292</v>
      </c>
      <c r="K535" s="20">
        <f t="shared" ref="K535" si="128">J535^2</f>
        <v>8.3333333333333356E-2</v>
      </c>
      <c r="L535" s="20">
        <f t="shared" ref="L535" si="129">J535^4/G535</f>
        <v>6.9444444444444482E-6</v>
      </c>
    </row>
    <row r="536" spans="2:17" x14ac:dyDescent="0.25">
      <c r="B536" s="22" t="s">
        <v>102</v>
      </c>
      <c r="C536" s="23"/>
      <c r="D536" s="23"/>
      <c r="E536" s="24"/>
      <c r="F536" s="23"/>
      <c r="G536" s="23"/>
      <c r="H536" s="23"/>
      <c r="I536" s="25"/>
      <c r="J536" s="26"/>
      <c r="K536" s="14">
        <f>SUM(K528:K535)</f>
        <v>38400.083333333336</v>
      </c>
      <c r="L536" s="14">
        <f>SUM(L528:L535)</f>
        <v>55751111.111118056</v>
      </c>
    </row>
    <row r="537" spans="2:17" x14ac:dyDescent="0.25">
      <c r="B537" s="27" t="s">
        <v>103</v>
      </c>
      <c r="C537" s="28"/>
      <c r="D537" s="28"/>
      <c r="E537" s="29"/>
      <c r="F537" s="28"/>
      <c r="G537" s="28"/>
      <c r="H537" s="28"/>
      <c r="I537" s="30"/>
      <c r="J537" s="31"/>
      <c r="K537" s="17">
        <f>SQRT(K536)</f>
        <v>195.95939205185684</v>
      </c>
      <c r="L537" s="17"/>
    </row>
    <row r="538" spans="2:17" x14ac:dyDescent="0.25">
      <c r="B538" s="27" t="s">
        <v>104</v>
      </c>
      <c r="C538" s="28"/>
      <c r="D538" s="28"/>
      <c r="E538" s="29"/>
      <c r="F538" s="28"/>
      <c r="G538" s="28"/>
      <c r="H538" s="28"/>
      <c r="I538" s="30"/>
      <c r="J538" s="31"/>
      <c r="K538" s="32">
        <f>K537^4/L536</f>
        <v>26.449094387876372</v>
      </c>
      <c r="L538" s="17"/>
    </row>
    <row r="539" spans="2:17" x14ac:dyDescent="0.25">
      <c r="B539" s="27" t="s">
        <v>105</v>
      </c>
      <c r="C539" s="28"/>
      <c r="D539" s="28"/>
      <c r="E539" s="29"/>
      <c r="F539" s="28"/>
      <c r="G539" s="28"/>
      <c r="H539" s="28"/>
      <c r="I539" s="30"/>
      <c r="J539" s="31"/>
      <c r="K539" s="33">
        <f>1.96+(2.5/K538)+(2.3/K538^2)+(2.2/K538^3)+(3.7/K538^4)</f>
        <v>2.0579354639285081</v>
      </c>
      <c r="L539" s="17"/>
    </row>
    <row r="540" spans="2:17" x14ac:dyDescent="0.25">
      <c r="B540" s="27" t="s">
        <v>106</v>
      </c>
      <c r="C540" s="28"/>
      <c r="D540" s="28"/>
      <c r="E540" s="29"/>
      <c r="F540" s="28"/>
      <c r="G540" s="28"/>
      <c r="H540" s="28"/>
      <c r="I540" s="30"/>
      <c r="J540" s="31"/>
      <c r="K540" s="48">
        <f>K539*K537</f>
        <v>403.27178239338639</v>
      </c>
      <c r="L540" s="17"/>
    </row>
    <row r="541" spans="2:17" x14ac:dyDescent="0.25">
      <c r="B541" s="34" t="s">
        <v>107</v>
      </c>
      <c r="C541" s="35"/>
      <c r="D541" s="35"/>
      <c r="E541" s="36"/>
      <c r="F541" s="35"/>
      <c r="G541" s="35"/>
      <c r="H541" s="35"/>
      <c r="I541" s="37"/>
      <c r="J541" s="38"/>
      <c r="K541" s="112">
        <f>K539*K537/1000</f>
        <v>0.4032717823933864</v>
      </c>
      <c r="L541" s="20"/>
    </row>
    <row r="542" spans="2:17" x14ac:dyDescent="0.25">
      <c r="B542" s="39" t="s">
        <v>110</v>
      </c>
      <c r="K542" s="258">
        <f t="array" ref="K542">IFERROR(INDEX(Database!$BE$4:$BE$11, MATCH(1, (B523&gt;=Database!$BC$4:$BC$11)*(B523&lt;=Database!$BD$4:$BD$11), 0)),0)</f>
        <v>0.12</v>
      </c>
    </row>
  </sheetData>
  <mergeCells count="44">
    <mergeCell ref="F16:J16"/>
    <mergeCell ref="K65:O65"/>
    <mergeCell ref="C43:C44"/>
    <mergeCell ref="J43:J44"/>
    <mergeCell ref="C45:C46"/>
    <mergeCell ref="J45:J46"/>
    <mergeCell ref="C39:C40"/>
    <mergeCell ref="J39:J40"/>
    <mergeCell ref="C41:C42"/>
    <mergeCell ref="J41:J42"/>
    <mergeCell ref="C49:C50"/>
    <mergeCell ref="J49:J50"/>
    <mergeCell ref="C51:C52"/>
    <mergeCell ref="J51:J52"/>
    <mergeCell ref="C47:C48"/>
    <mergeCell ref="J47:J48"/>
    <mergeCell ref="J53:J54"/>
    <mergeCell ref="A84:A87"/>
    <mergeCell ref="C55:C56"/>
    <mergeCell ref="J55:J56"/>
    <mergeCell ref="C57:C58"/>
    <mergeCell ref="J57:J58"/>
    <mergeCell ref="C66:C67"/>
    <mergeCell ref="A68:A71"/>
    <mergeCell ref="A72:A75"/>
    <mergeCell ref="A76:A79"/>
    <mergeCell ref="A80:A83"/>
    <mergeCell ref="F153:F154"/>
    <mergeCell ref="A112:A115"/>
    <mergeCell ref="A116:A119"/>
    <mergeCell ref="A120:A123"/>
    <mergeCell ref="C53:C54"/>
    <mergeCell ref="A124:A127"/>
    <mergeCell ref="A128:A131"/>
    <mergeCell ref="A170:E170"/>
    <mergeCell ref="A88:A91"/>
    <mergeCell ref="A92:A95"/>
    <mergeCell ref="A96:A99"/>
    <mergeCell ref="A100:A103"/>
    <mergeCell ref="A104:A107"/>
    <mergeCell ref="A108:A111"/>
    <mergeCell ref="C153:C154"/>
    <mergeCell ref="D153:D154"/>
    <mergeCell ref="E153:E154"/>
  </mergeCells>
  <phoneticPr fontId="67" type="noConversion"/>
  <conditionalFormatting sqref="B68 B116 B120 B124 B128">
    <cfRule type="expression" dxfId="38" priority="16">
      <formula>$C$19="custom"</formula>
    </cfRule>
  </conditionalFormatting>
  <conditionalFormatting sqref="B69">
    <cfRule type="expression" dxfId="37" priority="44">
      <formula>$C$19="custom"</formula>
    </cfRule>
    <cfRule type="expression" dxfId="36" priority="15">
      <formula>$C$19&lt;&gt;"custom"</formula>
    </cfRule>
  </conditionalFormatting>
  <conditionalFormatting sqref="B72">
    <cfRule type="expression" dxfId="35" priority="17">
      <formula>$C$19="custom"</formula>
    </cfRule>
  </conditionalFormatting>
  <conditionalFormatting sqref="B73">
    <cfRule type="expression" dxfId="34" priority="4">
      <formula>$C$19&lt;&gt;"custom"</formula>
    </cfRule>
    <cfRule type="expression" dxfId="33" priority="37">
      <formula>$C$19="custom"</formula>
    </cfRule>
  </conditionalFormatting>
  <conditionalFormatting sqref="B76">
    <cfRule type="expression" dxfId="32" priority="18">
      <formula>$C$19="custom"</formula>
    </cfRule>
  </conditionalFormatting>
  <conditionalFormatting sqref="B77">
    <cfRule type="expression" dxfId="31" priority="5">
      <formula>$C$19&lt;&gt;"custom"</formula>
    </cfRule>
    <cfRule type="expression" dxfId="30" priority="38">
      <formula>$C$19="custom"</formula>
    </cfRule>
  </conditionalFormatting>
  <conditionalFormatting sqref="B80">
    <cfRule type="expression" dxfId="29" priority="19">
      <formula>$C$19="custom"</formula>
    </cfRule>
  </conditionalFormatting>
  <conditionalFormatting sqref="B81">
    <cfRule type="expression" dxfId="28" priority="6">
      <formula>$C$19&lt;&gt;"custom"</formula>
    </cfRule>
    <cfRule type="expression" dxfId="27" priority="39">
      <formula>$C$19="custom"</formula>
    </cfRule>
  </conditionalFormatting>
  <conditionalFormatting sqref="B84">
    <cfRule type="expression" dxfId="26" priority="20">
      <formula>$C$19="custom"</formula>
    </cfRule>
  </conditionalFormatting>
  <conditionalFormatting sqref="B85">
    <cfRule type="expression" dxfId="25" priority="7">
      <formula>$C$19&lt;&gt;"custom"</formula>
    </cfRule>
    <cfRule type="expression" dxfId="24" priority="31">
      <formula>$C$19="custom"</formula>
    </cfRule>
  </conditionalFormatting>
  <conditionalFormatting sqref="B88">
    <cfRule type="expression" dxfId="23" priority="21">
      <formula>$C$19="custom"</formula>
    </cfRule>
  </conditionalFormatting>
  <conditionalFormatting sqref="B89">
    <cfRule type="expression" dxfId="22" priority="8">
      <formula>$C$19&lt;&gt;"custom"</formula>
    </cfRule>
    <cfRule type="expression" dxfId="21" priority="32">
      <formula>$C$19="custom"</formula>
    </cfRule>
  </conditionalFormatting>
  <conditionalFormatting sqref="B92">
    <cfRule type="expression" dxfId="20" priority="22">
      <formula>$C$19="custom"</formula>
    </cfRule>
  </conditionalFormatting>
  <conditionalFormatting sqref="B93">
    <cfRule type="expression" dxfId="19" priority="9">
      <formula>$C$19&lt;&gt;"custom"</formula>
    </cfRule>
    <cfRule type="expression" dxfId="18" priority="33">
      <formula>$C$19="custom"</formula>
    </cfRule>
  </conditionalFormatting>
  <conditionalFormatting sqref="B96">
    <cfRule type="expression" dxfId="17" priority="23">
      <formula>$C$19="custom"</formula>
    </cfRule>
  </conditionalFormatting>
  <conditionalFormatting sqref="B97">
    <cfRule type="expression" dxfId="16" priority="10">
      <formula>$C$19&lt;&gt;"custom"</formula>
    </cfRule>
    <cfRule type="expression" dxfId="15" priority="34">
      <formula>$C$19="custom"</formula>
    </cfRule>
  </conditionalFormatting>
  <conditionalFormatting sqref="B100">
    <cfRule type="expression" dxfId="14" priority="24">
      <formula>$C$19="custom"</formula>
    </cfRule>
  </conditionalFormatting>
  <conditionalFormatting sqref="B101">
    <cfRule type="expression" dxfId="13" priority="28">
      <formula>$C$19="custom"</formula>
    </cfRule>
    <cfRule type="expression" dxfId="12" priority="11">
      <formula>$C$19&lt;&gt;"custom"</formula>
    </cfRule>
  </conditionalFormatting>
  <conditionalFormatting sqref="B104">
    <cfRule type="expression" dxfId="11" priority="25">
      <formula>$C$19="custom"</formula>
    </cfRule>
  </conditionalFormatting>
  <conditionalFormatting sqref="B105">
    <cfRule type="expression" dxfId="10" priority="29">
      <formula>$C$19="custom"</formula>
    </cfRule>
    <cfRule type="expression" dxfId="9" priority="12">
      <formula>$C$19&lt;&gt;"custom"</formula>
    </cfRule>
  </conditionalFormatting>
  <conditionalFormatting sqref="B108">
    <cfRule type="expression" dxfId="8" priority="26">
      <formula>$C$19="custom"</formula>
    </cfRule>
  </conditionalFormatting>
  <conditionalFormatting sqref="B109">
    <cfRule type="expression" dxfId="7" priority="30">
      <formula>$C$19="custom"</formula>
    </cfRule>
    <cfRule type="expression" dxfId="6" priority="13">
      <formula>$C$19&lt;&gt;"custom"</formula>
    </cfRule>
  </conditionalFormatting>
  <conditionalFormatting sqref="B112">
    <cfRule type="expression" dxfId="5" priority="27">
      <formula>$C$19="custom"</formula>
    </cfRule>
  </conditionalFormatting>
  <conditionalFormatting sqref="B113 B117 B121 B125 B129">
    <cfRule type="expression" dxfId="4" priority="14">
      <formula>$C$19&lt;&gt;"custom"</formula>
    </cfRule>
    <cfRule type="expression" dxfId="3" priority="36">
      <formula>$C$19="custom"</formula>
    </cfRule>
  </conditionalFormatting>
  <conditionalFormatting sqref="F16:J17 K17:O17">
    <cfRule type="expression" dxfId="2" priority="3">
      <formula>$C$18&lt;&gt;"M1"</formula>
    </cfRule>
  </conditionalFormatting>
  <conditionalFormatting sqref="P68:T69 P72:T73 P76:T77 P80:T81 P84:T85 P88:T89 P92:T92 P96:T96 P100:T100 P104:T104 K65:O92 K94:O96 K93:T93 K98:O100 K97:T97 K102:O104 K101:T101 K106:O129 K105:T105">
    <cfRule type="expression" dxfId="1" priority="2">
      <formula>$C$18&lt;&gt;"M1"</formula>
    </cfRule>
  </conditionalFormatting>
  <conditionalFormatting sqref="F18:O18">
    <cfRule type="expression" dxfId="0" priority="1">
      <formula>$C$18&lt;&gt;"M1"</formula>
    </cfRule>
  </conditionalFormatting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3508836-DDA0-4630-AE88-5D7332FCA656}">
          <x14:formula1>
            <xm:f>Database!$CB$4:$CB$33</xm:f>
          </x14:formula1>
          <xm:sqref>K129:O129 K105:T105 K125:O125 K121:O121 K117:O117 K113:O113 K109:O109 K101:T101 K97:T97 K93:T93 K89:T89 K85:T85 K69:T69 K81:T81 K77:T77 K73:T73 F18:O18</xm:sqref>
        </x14:dataValidation>
        <x14:dataValidation type="list" allowBlank="1" showInputMessage="1" showErrorMessage="1" xr:uid="{C65925A4-CB28-4187-AC0F-6525A3F2A10A}">
          <x14:formula1>
            <xm:f>Database!$E$8:$E$9</xm:f>
          </x14:formula1>
          <xm:sqref>D137</xm:sqref>
        </x14:dataValidation>
        <x14:dataValidation type="list" showInputMessage="1" showErrorMessage="1" xr:uid="{0FBFB459-D215-4AFF-A165-BA319A6A6634}">
          <x14:formula1>
            <xm:f>Database!$A$8:$A$11</xm:f>
          </x14:formula1>
          <xm:sqref>C18</xm:sqref>
        </x14:dataValidation>
        <x14:dataValidation type="list" allowBlank="1" showInputMessage="1" showErrorMessage="1" xr:uid="{3427B69C-C1FC-41B0-87EC-EAC7F6783558}">
          <x14:formula1>
            <xm:f>Database!$D$8:$D$9</xm:f>
          </x14:formula1>
          <xm:sqref>C19</xm:sqref>
        </x14:dataValidation>
        <x14:dataValidation type="list" allowBlank="1" showInputMessage="1" showErrorMessage="1" xr:uid="{5B83452A-CEA6-4BA6-B375-F9E9F4C17F7C}">
          <x14:formula1>
            <xm:f>Database!$F$8:$F$10</xm:f>
          </x14:formula1>
          <xm:sqref>C20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A99C3-6A5C-458A-8859-E3945742B5C6}">
  <sheetPr codeName="Sheet4"/>
  <dimension ref="B2:L35"/>
  <sheetViews>
    <sheetView workbookViewId="0">
      <selection activeCell="C19" sqref="C19"/>
    </sheetView>
  </sheetViews>
  <sheetFormatPr defaultRowHeight="14.4" x14ac:dyDescent="0.3"/>
  <cols>
    <col min="1" max="1" width="1.88671875" customWidth="1"/>
    <col min="2" max="2" width="12.6640625" bestFit="1" customWidth="1"/>
    <col min="3" max="4" width="10.88671875" bestFit="1" customWidth="1"/>
  </cols>
  <sheetData>
    <row r="2" spans="2:12" x14ac:dyDescent="0.3">
      <c r="B2" s="200"/>
      <c r="C2" s="211" t="s">
        <v>308</v>
      </c>
      <c r="D2" s="214" t="s">
        <v>309</v>
      </c>
      <c r="E2" s="215" t="s">
        <v>258</v>
      </c>
      <c r="F2" s="43" t="s">
        <v>86</v>
      </c>
      <c r="G2" s="207" t="s">
        <v>322</v>
      </c>
      <c r="H2" s="208"/>
      <c r="I2" s="208"/>
      <c r="J2" s="208"/>
      <c r="K2" s="209"/>
      <c r="L2" s="209"/>
    </row>
    <row r="3" spans="2:12" x14ac:dyDescent="0.3">
      <c r="B3" s="202" t="s">
        <v>160</v>
      </c>
      <c r="C3" s="203">
        <f>'U95'!C8</f>
        <v>28.6</v>
      </c>
      <c r="D3" s="203">
        <f>'U95'!C11</f>
        <v>61.2</v>
      </c>
      <c r="E3" s="124">
        <v>1010</v>
      </c>
      <c r="F3" s="43" t="s">
        <v>331</v>
      </c>
      <c r="G3" s="210" t="s">
        <v>317</v>
      </c>
      <c r="H3" s="208"/>
      <c r="I3" s="208"/>
      <c r="J3" s="210" t="s">
        <v>318</v>
      </c>
      <c r="K3" s="208"/>
      <c r="L3" s="209"/>
    </row>
    <row r="4" spans="2:12" x14ac:dyDescent="0.3">
      <c r="B4" s="202" t="s">
        <v>310</v>
      </c>
      <c r="C4" s="203">
        <f>'U95'!C9</f>
        <v>28.6</v>
      </c>
      <c r="D4" s="203">
        <f>'U95'!C12</f>
        <v>61.2</v>
      </c>
      <c r="E4" s="124">
        <v>1009</v>
      </c>
      <c r="F4" s="43" t="s">
        <v>331</v>
      </c>
      <c r="G4" s="211" t="s">
        <v>319</v>
      </c>
      <c r="H4" s="211" t="s">
        <v>320</v>
      </c>
      <c r="I4" s="201" t="s">
        <v>313</v>
      </c>
      <c r="J4" s="211" t="s">
        <v>321</v>
      </c>
      <c r="K4" s="211" t="s">
        <v>320</v>
      </c>
      <c r="L4" s="202" t="s">
        <v>313</v>
      </c>
    </row>
    <row r="5" spans="2:12" x14ac:dyDescent="0.3">
      <c r="B5" s="202" t="s">
        <v>311</v>
      </c>
      <c r="C5" s="204">
        <f>AVERAGE(C3:C4)</f>
        <v>28.6</v>
      </c>
      <c r="D5" s="203">
        <f>AVERAGE(D3:D4)</f>
        <v>61.2</v>
      </c>
      <c r="E5" s="203">
        <f>AVERAGE(E3:E4)</f>
        <v>1009.5</v>
      </c>
      <c r="F5" s="43" t="s">
        <v>331</v>
      </c>
      <c r="G5" s="201">
        <v>20</v>
      </c>
      <c r="H5" s="201">
        <v>0.1</v>
      </c>
      <c r="I5" s="201">
        <v>2</v>
      </c>
      <c r="J5" s="201">
        <v>40</v>
      </c>
      <c r="K5" s="201">
        <v>0.2</v>
      </c>
      <c r="L5" s="203">
        <v>2.5</v>
      </c>
    </row>
    <row r="6" spans="2:12" x14ac:dyDescent="0.3">
      <c r="B6" s="201" t="s">
        <v>312</v>
      </c>
      <c r="C6" s="205">
        <f>C5+FORECAST(C5,H5:H9,G5:G9)</f>
        <v>28.316000000000003</v>
      </c>
      <c r="D6" s="204">
        <f>D5+FORECAST(D5,K5:K9,J5:J9)</f>
        <v>60.963200000000001</v>
      </c>
      <c r="E6" s="216">
        <f>FORECAST(E5,G15:G25,H15:H25)*0.75</f>
        <v>759.26295371597121</v>
      </c>
      <c r="F6" s="43" t="s">
        <v>330</v>
      </c>
      <c r="G6" s="201">
        <v>25</v>
      </c>
      <c r="H6" s="201">
        <v>-0.2</v>
      </c>
      <c r="I6" s="200">
        <v>2</v>
      </c>
      <c r="J6" s="201">
        <v>50</v>
      </c>
      <c r="K6" s="201">
        <v>-0.3</v>
      </c>
      <c r="L6" s="203">
        <v>2.8</v>
      </c>
    </row>
    <row r="7" spans="2:12" x14ac:dyDescent="0.3">
      <c r="B7" s="202" t="s">
        <v>313</v>
      </c>
      <c r="C7" s="205">
        <v>2</v>
      </c>
      <c r="D7" s="205">
        <f>FORECAST(D6,L5:L9,J5:J9)</f>
        <v>2.6142208</v>
      </c>
      <c r="E7" s="124">
        <f>I15</f>
        <v>1</v>
      </c>
      <c r="F7" s="43" t="s">
        <v>330</v>
      </c>
      <c r="G7" s="201">
        <v>30</v>
      </c>
      <c r="H7" s="201">
        <v>-0.3</v>
      </c>
      <c r="I7" s="200">
        <v>2</v>
      </c>
      <c r="J7" s="201">
        <v>60</v>
      </c>
      <c r="K7" s="201">
        <v>-0.3</v>
      </c>
      <c r="L7" s="203">
        <v>3.2</v>
      </c>
    </row>
    <row r="8" spans="2:12" x14ac:dyDescent="0.3">
      <c r="B8" s="202" t="s">
        <v>314</v>
      </c>
      <c r="C8" s="205">
        <f>(MAX(C3:C4)-C5+C5-MIN(C3:C4))/2</f>
        <v>0</v>
      </c>
      <c r="D8" s="205">
        <f>(MAX(D3:D4)-D5+D5-MIN(D3:D4))/2</f>
        <v>0</v>
      </c>
      <c r="E8" s="205">
        <f>(MAX(E3:E4)-E5+E5-MIN(E3:E4))/2</f>
        <v>0.5</v>
      </c>
      <c r="F8" s="43" t="s">
        <v>330</v>
      </c>
      <c r="G8" s="201">
        <v>35</v>
      </c>
      <c r="H8" s="201">
        <v>-0.6</v>
      </c>
      <c r="I8" s="200">
        <v>2</v>
      </c>
      <c r="J8" s="201">
        <v>70</v>
      </c>
      <c r="K8" s="201">
        <v>-0.1</v>
      </c>
      <c r="L8" s="203">
        <v>2</v>
      </c>
    </row>
    <row r="9" spans="2:12" x14ac:dyDescent="0.3">
      <c r="B9" s="202" t="s">
        <v>315</v>
      </c>
      <c r="C9" s="205">
        <f>C7+C8</f>
        <v>2</v>
      </c>
      <c r="D9" s="205">
        <f>D7+D8</f>
        <v>2.6142208</v>
      </c>
      <c r="E9" s="205">
        <f>E7+E8</f>
        <v>1.5</v>
      </c>
      <c r="F9" s="43" t="s">
        <v>330</v>
      </c>
      <c r="G9" s="201">
        <v>40</v>
      </c>
      <c r="H9" s="201">
        <v>-0.7</v>
      </c>
      <c r="I9" s="200">
        <v>2</v>
      </c>
      <c r="J9" s="201">
        <v>80</v>
      </c>
      <c r="K9" s="201">
        <v>-0.6</v>
      </c>
      <c r="L9" s="203">
        <v>2.6</v>
      </c>
    </row>
    <row r="10" spans="2:12" x14ac:dyDescent="0.3">
      <c r="B10" s="206" t="s">
        <v>316</v>
      </c>
      <c r="C10" s="203" t="str">
        <f>FIXED(C6,1) &amp; " ± "&amp;FIXED(C8,1)</f>
        <v>28,3 ± 0,0</v>
      </c>
      <c r="D10" s="203" t="str">
        <f>FIXED(D6,0) &amp; " ± "&amp;FIXED(D8,0)</f>
        <v>61 ± 0</v>
      </c>
      <c r="E10" s="203" t="str">
        <f>FIXED(E6,0) &amp; " ± "&amp;FIXED(E8,0)</f>
        <v>759 ± 1</v>
      </c>
      <c r="F10" s="43" t="s">
        <v>330</v>
      </c>
    </row>
    <row r="12" spans="2:12" x14ac:dyDescent="0.25">
      <c r="G12" s="213" t="s">
        <v>329</v>
      </c>
    </row>
    <row r="13" spans="2:12" ht="4.95" customHeight="1" x14ac:dyDescent="0.3"/>
    <row r="14" spans="2:12" ht="57.6" x14ac:dyDescent="0.3">
      <c r="G14" s="193" t="s">
        <v>326</v>
      </c>
      <c r="H14" s="193" t="s">
        <v>327</v>
      </c>
      <c r="I14" s="193" t="s">
        <v>328</v>
      </c>
    </row>
    <row r="15" spans="2:12" x14ac:dyDescent="0.3">
      <c r="G15" s="124">
        <v>940</v>
      </c>
      <c r="H15" s="124">
        <v>936</v>
      </c>
      <c r="I15" s="124">
        <v>1</v>
      </c>
    </row>
    <row r="16" spans="2:12" x14ac:dyDescent="0.3">
      <c r="G16" s="124">
        <v>960</v>
      </c>
      <c r="H16" s="124">
        <v>957</v>
      </c>
      <c r="I16" s="124">
        <v>1</v>
      </c>
    </row>
    <row r="17" spans="2:12" x14ac:dyDescent="0.3">
      <c r="G17" s="124">
        <v>980</v>
      </c>
      <c r="H17" s="124">
        <v>977</v>
      </c>
      <c r="I17" s="124">
        <v>1</v>
      </c>
    </row>
    <row r="18" spans="2:12" x14ac:dyDescent="0.3">
      <c r="G18" s="124">
        <v>990</v>
      </c>
      <c r="H18" s="124">
        <v>987</v>
      </c>
      <c r="I18" s="124">
        <v>1</v>
      </c>
    </row>
    <row r="19" spans="2:12" x14ac:dyDescent="0.3">
      <c r="G19" s="124">
        <v>1000</v>
      </c>
      <c r="H19" s="124">
        <v>997</v>
      </c>
      <c r="I19" s="124">
        <v>1</v>
      </c>
    </row>
    <row r="20" spans="2:12" x14ac:dyDescent="0.3">
      <c r="G20" s="124">
        <v>1010</v>
      </c>
      <c r="H20" s="124">
        <v>1007</v>
      </c>
      <c r="I20" s="124">
        <v>1</v>
      </c>
    </row>
    <row r="21" spans="2:12" x14ac:dyDescent="0.3">
      <c r="G21" s="124">
        <v>1020</v>
      </c>
      <c r="H21" s="124">
        <v>1017</v>
      </c>
      <c r="I21" s="124">
        <v>1</v>
      </c>
    </row>
    <row r="22" spans="2:12" x14ac:dyDescent="0.3">
      <c r="G22" s="124">
        <v>1030</v>
      </c>
      <c r="H22" s="124">
        <v>1027</v>
      </c>
      <c r="I22" s="124">
        <v>1</v>
      </c>
    </row>
    <row r="23" spans="2:12" x14ac:dyDescent="0.3">
      <c r="G23" s="124">
        <v>1040</v>
      </c>
      <c r="H23" s="124">
        <v>1037</v>
      </c>
      <c r="I23" s="124">
        <v>1</v>
      </c>
    </row>
    <row r="24" spans="2:12" x14ac:dyDescent="0.3">
      <c r="G24" s="124">
        <v>1050</v>
      </c>
      <c r="H24" s="124">
        <v>1048</v>
      </c>
      <c r="I24" s="124">
        <v>1</v>
      </c>
    </row>
    <row r="25" spans="2:12" x14ac:dyDescent="0.3">
      <c r="G25" s="124">
        <v>1060</v>
      </c>
      <c r="H25" s="124">
        <v>1058</v>
      </c>
      <c r="I25" s="124">
        <v>1</v>
      </c>
    </row>
    <row r="27" spans="2:12" x14ac:dyDescent="0.3">
      <c r="B27" s="200"/>
      <c r="C27" s="211" t="s">
        <v>308</v>
      </c>
      <c r="D27" s="214" t="s">
        <v>309</v>
      </c>
      <c r="E27" s="215" t="s">
        <v>258</v>
      </c>
      <c r="F27" s="43" t="s">
        <v>86</v>
      </c>
      <c r="G27" s="207" t="s">
        <v>343</v>
      </c>
      <c r="H27" s="208"/>
      <c r="I27" s="208"/>
      <c r="J27" s="208"/>
      <c r="K27" s="232"/>
      <c r="L27" s="232"/>
    </row>
    <row r="28" spans="2:12" x14ac:dyDescent="0.3">
      <c r="B28" s="202" t="s">
        <v>160</v>
      </c>
      <c r="C28" s="202">
        <f>'U95'!C8</f>
        <v>28.6</v>
      </c>
      <c r="D28" s="202">
        <f>'U95'!C11</f>
        <v>61.2</v>
      </c>
      <c r="E28" s="124">
        <v>925</v>
      </c>
      <c r="F28" s="43" t="s">
        <v>331</v>
      </c>
      <c r="G28" s="210" t="s">
        <v>317</v>
      </c>
      <c r="H28" s="208"/>
      <c r="I28" s="208"/>
      <c r="J28" s="210" t="s">
        <v>318</v>
      </c>
      <c r="K28" s="208"/>
      <c r="L28" s="232"/>
    </row>
    <row r="29" spans="2:12" x14ac:dyDescent="0.3">
      <c r="B29" s="202" t="s">
        <v>310</v>
      </c>
      <c r="C29" s="202">
        <f>'U95'!C9</f>
        <v>28.6</v>
      </c>
      <c r="D29" s="202">
        <f>'U95'!C12</f>
        <v>61.2</v>
      </c>
      <c r="E29" s="124">
        <v>925</v>
      </c>
      <c r="F29" s="43" t="s">
        <v>331</v>
      </c>
      <c r="G29" s="211" t="s">
        <v>319</v>
      </c>
      <c r="H29" s="211" t="s">
        <v>320</v>
      </c>
      <c r="I29" s="201" t="s">
        <v>313</v>
      </c>
      <c r="J29" s="211" t="s">
        <v>321</v>
      </c>
      <c r="K29" s="211" t="s">
        <v>320</v>
      </c>
      <c r="L29" s="202" t="s">
        <v>313</v>
      </c>
    </row>
    <row r="30" spans="2:12" x14ac:dyDescent="0.3">
      <c r="B30" s="202" t="s">
        <v>311</v>
      </c>
      <c r="C30" s="233">
        <f>AVERAGE(C28:C29)</f>
        <v>28.6</v>
      </c>
      <c r="D30" s="202">
        <f>AVERAGE(D28:D29)</f>
        <v>61.2</v>
      </c>
      <c r="E30" s="202">
        <f>AVERAGE(E28:E29)</f>
        <v>925</v>
      </c>
      <c r="F30" s="43" t="s">
        <v>331</v>
      </c>
      <c r="G30" s="201">
        <v>19.7</v>
      </c>
      <c r="H30" s="201">
        <v>0.3</v>
      </c>
      <c r="I30" s="201">
        <v>2</v>
      </c>
      <c r="J30" s="201">
        <v>42</v>
      </c>
      <c r="K30" s="201">
        <v>-2</v>
      </c>
      <c r="L30" s="202">
        <v>3</v>
      </c>
    </row>
    <row r="31" spans="2:12" x14ac:dyDescent="0.3">
      <c r="B31" s="201" t="s">
        <v>312</v>
      </c>
      <c r="C31" s="234">
        <f>C30+FORECAST(C30,H30:H34,G30:G34)</f>
        <v>29.353333762078559</v>
      </c>
      <c r="D31" s="233">
        <f>D30+FORECAST(D30,K30:K34,J30:J34)</f>
        <v>59.589504866694881</v>
      </c>
      <c r="E31" s="216">
        <f>FORECAST(E30,G15:G25,H15:H25)*0.75</f>
        <v>696.60958240631953</v>
      </c>
      <c r="F31" s="43" t="s">
        <v>330</v>
      </c>
      <c r="G31" s="201">
        <v>24.6</v>
      </c>
      <c r="H31" s="201">
        <v>0.4</v>
      </c>
      <c r="I31" s="200">
        <v>2</v>
      </c>
      <c r="J31" s="201">
        <v>53</v>
      </c>
      <c r="K31" s="201">
        <v>-3</v>
      </c>
      <c r="L31" s="202">
        <v>3</v>
      </c>
    </row>
    <row r="32" spans="2:12" x14ac:dyDescent="0.3">
      <c r="B32" s="202" t="s">
        <v>313</v>
      </c>
      <c r="C32" s="234">
        <v>2</v>
      </c>
      <c r="D32" s="234">
        <f>FORECAST(D31,L30:L34,J30:J34)</f>
        <v>2.8178672864153227</v>
      </c>
      <c r="E32" s="124">
        <f>I15</f>
        <v>1</v>
      </c>
      <c r="F32" s="43" t="s">
        <v>330</v>
      </c>
      <c r="G32" s="201">
        <v>29.5</v>
      </c>
      <c r="H32" s="201">
        <v>0.5</v>
      </c>
      <c r="I32" s="200">
        <v>2</v>
      </c>
      <c r="J32" s="201">
        <v>61</v>
      </c>
      <c r="K32" s="201">
        <v>-1</v>
      </c>
      <c r="L32" s="202">
        <v>3</v>
      </c>
    </row>
    <row r="33" spans="2:12" x14ac:dyDescent="0.3">
      <c r="B33" s="202" t="s">
        <v>314</v>
      </c>
      <c r="C33" s="234">
        <f>(MAX(C28:C29)-C30+C30-MIN(C28:C29))/2</f>
        <v>0</v>
      </c>
      <c r="D33" s="234">
        <f>(MAX(D28:D29)-D30+D30-MIN(D28:D29))/2</f>
        <v>0</v>
      </c>
      <c r="E33" s="234">
        <f>(MAX(E28:E29)-E30+E30-MIN(E28:E29))/2</f>
        <v>0</v>
      </c>
      <c r="F33" s="43" t="s">
        <v>330</v>
      </c>
      <c r="G33" s="201">
        <v>33.799999999999997</v>
      </c>
      <c r="H33" s="201">
        <v>1.2</v>
      </c>
      <c r="I33" s="200">
        <v>2</v>
      </c>
      <c r="J33" s="201">
        <v>70</v>
      </c>
      <c r="K33" s="201">
        <v>0</v>
      </c>
      <c r="L33" s="202">
        <v>2</v>
      </c>
    </row>
    <row r="34" spans="2:12" x14ac:dyDescent="0.3">
      <c r="B34" s="202" t="s">
        <v>315</v>
      </c>
      <c r="C34" s="234">
        <f>C32+C33</f>
        <v>2</v>
      </c>
      <c r="D34" s="234">
        <f>D32+D33</f>
        <v>2.8178672864153227</v>
      </c>
      <c r="E34" s="234">
        <f>E32+E33</f>
        <v>1</v>
      </c>
      <c r="F34" s="43" t="s">
        <v>330</v>
      </c>
      <c r="G34" s="201">
        <v>40</v>
      </c>
      <c r="H34" s="201">
        <v>1.7</v>
      </c>
      <c r="I34" s="200">
        <v>2</v>
      </c>
      <c r="J34" s="201">
        <v>82</v>
      </c>
      <c r="K34" s="201">
        <v>-2</v>
      </c>
      <c r="L34" s="202">
        <v>3</v>
      </c>
    </row>
    <row r="35" spans="2:12" x14ac:dyDescent="0.3">
      <c r="B35" s="206" t="s">
        <v>316</v>
      </c>
      <c r="C35" s="202" t="str">
        <f>FIXED(C31,1) &amp; " ± "&amp;FIXED(C33,1)</f>
        <v>29,4 ± 0,0</v>
      </c>
      <c r="D35" s="202" t="str">
        <f>FIXED(D31,1) &amp; " ± "&amp;FIXED(D33,1)</f>
        <v>59,6 ± 0,0</v>
      </c>
      <c r="E35" s="202" t="str">
        <f>FIXED(E31,0) &amp; " ± "&amp;FIXED(E33,0)</f>
        <v>697 ± 0</v>
      </c>
      <c r="F35" s="43" t="s">
        <v>330</v>
      </c>
      <c r="G35" s="235"/>
      <c r="H35" s="235"/>
      <c r="I35" s="235"/>
      <c r="J35" s="235"/>
      <c r="K35" s="235"/>
      <c r="L35" s="23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AF10F-C089-4E6B-B5E9-639639B47024}">
  <sheetPr codeName="Sheet5">
    <tabColor rgb="FFFFC000"/>
  </sheetPr>
  <dimension ref="A5:K157"/>
  <sheetViews>
    <sheetView tabSelected="1" showWhiteSpace="0" view="pageBreakPreview" topLeftCell="A93" zoomScale="60" zoomScaleNormal="100" zoomScalePageLayoutView="80" workbookViewId="0">
      <selection activeCell="E78" sqref="E78"/>
    </sheetView>
  </sheetViews>
  <sheetFormatPr defaultRowHeight="14.4" x14ac:dyDescent="0.3"/>
  <cols>
    <col min="1" max="1" width="12.33203125" customWidth="1"/>
    <col min="2" max="2" width="10" customWidth="1"/>
    <col min="3" max="3" width="9" customWidth="1"/>
    <col min="4" max="4" width="10" customWidth="1"/>
    <col min="5" max="5" width="9.6640625" customWidth="1"/>
    <col min="6" max="6" width="10.33203125" customWidth="1"/>
    <col min="7" max="7" width="10" customWidth="1"/>
    <col min="11" max="11" width="6.109375" customWidth="1"/>
  </cols>
  <sheetData>
    <row r="5" spans="1:11" x14ac:dyDescent="0.3">
      <c r="B5" s="43"/>
    </row>
    <row r="7" spans="1:11" ht="22.8" x14ac:dyDescent="0.3">
      <c r="A7" s="364" t="s">
        <v>221</v>
      </c>
      <c r="B7" s="364"/>
      <c r="C7" s="364"/>
      <c r="D7" s="364"/>
      <c r="E7" s="364"/>
      <c r="F7" s="364"/>
      <c r="G7" s="364"/>
      <c r="H7" s="364"/>
      <c r="I7" s="364"/>
      <c r="J7" s="364"/>
      <c r="K7" s="364"/>
    </row>
    <row r="8" spans="1:11" ht="18" x14ac:dyDescent="0.3">
      <c r="A8" s="365" t="s">
        <v>222</v>
      </c>
      <c r="B8" s="365"/>
      <c r="C8" s="365"/>
      <c r="D8" s="365"/>
      <c r="E8" s="365"/>
      <c r="F8" s="365"/>
      <c r="G8" s="365"/>
      <c r="H8" s="365"/>
      <c r="I8" s="365"/>
      <c r="J8" s="365"/>
      <c r="K8" s="365"/>
    </row>
    <row r="9" spans="1:11" x14ac:dyDescent="0.3">
      <c r="A9" s="368" t="str">
        <f>CONCATENATE("Nomor / Number : ",'FORM Baru'!AG22)</f>
        <v>Nomor / Number : 0021-2.2/KALIBRASI BBLM/III/2026</v>
      </c>
      <c r="B9" s="368"/>
      <c r="C9" s="368"/>
      <c r="D9" s="368"/>
      <c r="E9" s="368"/>
      <c r="F9" s="368"/>
      <c r="G9" s="368"/>
      <c r="H9" s="368"/>
      <c r="I9" s="368"/>
      <c r="J9" s="368"/>
      <c r="K9" s="368"/>
    </row>
    <row r="11" spans="1:11" x14ac:dyDescent="0.3">
      <c r="E11" s="43"/>
    </row>
    <row r="14" spans="1:11" x14ac:dyDescent="0.3">
      <c r="B14" s="175" t="s">
        <v>224</v>
      </c>
      <c r="C14" s="161"/>
      <c r="D14" s="161"/>
    </row>
    <row r="15" spans="1:11" x14ac:dyDescent="0.3">
      <c r="B15" s="174" t="s">
        <v>223</v>
      </c>
    </row>
    <row r="17" spans="2:7" ht="15.6" x14ac:dyDescent="0.3">
      <c r="B17" s="172" t="s">
        <v>0</v>
      </c>
      <c r="D17" s="231" t="s">
        <v>3</v>
      </c>
      <c r="E17" s="172" t="s">
        <v>339</v>
      </c>
      <c r="F17" s="172"/>
    </row>
    <row r="18" spans="2:7" x14ac:dyDescent="0.3">
      <c r="B18" s="178" t="s">
        <v>225</v>
      </c>
      <c r="E18" s="172"/>
      <c r="F18" s="172"/>
    </row>
    <row r="19" spans="2:7" ht="15.6" x14ac:dyDescent="0.3">
      <c r="B19" s="177" t="s">
        <v>226</v>
      </c>
      <c r="D19" s="231" t="s">
        <v>3</v>
      </c>
      <c r="E19" s="172" t="str">
        <f>CONCATENATE(,'U95'!C3)</f>
        <v/>
      </c>
      <c r="F19" s="172"/>
    </row>
    <row r="20" spans="2:7" x14ac:dyDescent="0.3">
      <c r="B20" s="176" t="s">
        <v>227</v>
      </c>
      <c r="E20" s="172"/>
      <c r="F20" s="172"/>
    </row>
    <row r="21" spans="2:7" ht="15.6" x14ac:dyDescent="0.3">
      <c r="B21" s="177" t="s">
        <v>228</v>
      </c>
      <c r="D21" s="231" t="s">
        <v>3</v>
      </c>
      <c r="E21" s="172" t="str">
        <f>CONCATENATE('U95'!C4)</f>
        <v/>
      </c>
      <c r="F21" s="172"/>
    </row>
    <row r="22" spans="2:7" x14ac:dyDescent="0.3">
      <c r="B22" s="176" t="s">
        <v>229</v>
      </c>
      <c r="E22" s="172"/>
      <c r="F22" s="172"/>
    </row>
    <row r="23" spans="2:7" ht="15.6" x14ac:dyDescent="0.3">
      <c r="B23" s="172" t="s">
        <v>230</v>
      </c>
      <c r="D23" s="231" t="s">
        <v>3</v>
      </c>
      <c r="E23" s="172" t="str">
        <f>'U95'!C6</f>
        <v>-</v>
      </c>
      <c r="F23" s="172"/>
    </row>
    <row r="24" spans="2:7" x14ac:dyDescent="0.3">
      <c r="B24" s="178" t="s">
        <v>231</v>
      </c>
      <c r="E24" s="172"/>
      <c r="F24" s="172"/>
    </row>
    <row r="25" spans="2:7" ht="15.6" x14ac:dyDescent="0.3">
      <c r="B25" s="172" t="s">
        <v>232</v>
      </c>
      <c r="D25" s="231" t="s">
        <v>3</v>
      </c>
      <c r="E25" s="172" t="str">
        <f>CONCATENATE('U95'!C5)</f>
        <v/>
      </c>
      <c r="F25" s="172"/>
    </row>
    <row r="26" spans="2:7" x14ac:dyDescent="0.3">
      <c r="B26" s="178" t="s">
        <v>233</v>
      </c>
      <c r="E26" s="172"/>
      <c r="F26" s="172"/>
    </row>
    <row r="27" spans="2:7" ht="15.6" x14ac:dyDescent="0.3">
      <c r="B27" s="172" t="s">
        <v>234</v>
      </c>
      <c r="D27" s="231" t="s">
        <v>3</v>
      </c>
      <c r="E27" s="172" t="s">
        <v>172</v>
      </c>
      <c r="G27" s="172" t="str">
        <f>CONCATENATE(":"," ",IF('U95'!C20="kg",'U95'!C7/1000,'U95'!C7)," ",'U95'!C20)</f>
        <v>: 200 kg</v>
      </c>
    </row>
    <row r="28" spans="2:7" x14ac:dyDescent="0.3">
      <c r="B28" s="176" t="s">
        <v>235</v>
      </c>
      <c r="E28" s="172" t="s">
        <v>342</v>
      </c>
      <c r="G28" s="172" t="str">
        <f>CONCATENATE(":"," ",IF('U95'!C20="kg",'U95'!E6,'U95'!E7)," ",'U95'!C20)</f>
        <v>: 0,01 kg</v>
      </c>
    </row>
    <row r="30" spans="2:7" ht="14.25" customHeight="1" x14ac:dyDescent="0.3">
      <c r="B30" s="182" t="s">
        <v>236</v>
      </c>
      <c r="C30" s="182"/>
      <c r="D30" s="182"/>
    </row>
    <row r="31" spans="2:7" ht="14.25" customHeight="1" x14ac:dyDescent="0.3">
      <c r="B31" s="181" t="s">
        <v>237</v>
      </c>
      <c r="C31" s="181"/>
      <c r="D31" s="181"/>
    </row>
    <row r="32" spans="2:7" x14ac:dyDescent="0.3">
      <c r="B32" s="179"/>
      <c r="C32" s="179"/>
      <c r="D32" s="179"/>
    </row>
    <row r="33" spans="2:11" ht="15.6" x14ac:dyDescent="0.3">
      <c r="B33" s="172" t="s">
        <v>238</v>
      </c>
      <c r="D33" s="231" t="s">
        <v>3</v>
      </c>
      <c r="E33" s="172" t="str">
        <f>'FORM Baru'!AG10</f>
        <v>Laboratorium Geoteknik - Universitas Katolik Parahyangan</v>
      </c>
    </row>
    <row r="34" spans="2:11" ht="14.25" customHeight="1" x14ac:dyDescent="0.3">
      <c r="B34" s="178" t="s">
        <v>239</v>
      </c>
      <c r="D34" s="180"/>
      <c r="E34" s="172"/>
    </row>
    <row r="36" spans="2:11" ht="15.45" customHeight="1" x14ac:dyDescent="0.3">
      <c r="B36" s="172" t="s">
        <v>240</v>
      </c>
      <c r="D36" s="231" t="s">
        <v>3</v>
      </c>
      <c r="E36" s="370" t="str">
        <f>'FORM Baru'!AG11</f>
        <v>Jl. Ciumbuleuit No.94, Hegarmanah, Kec. Cidadap, Kota Bandung, Jawa Barat 40141</v>
      </c>
      <c r="F36" s="370"/>
      <c r="G36" s="370"/>
      <c r="H36" s="370"/>
      <c r="I36" s="370"/>
      <c r="J36" s="370"/>
      <c r="K36" s="370"/>
    </row>
    <row r="37" spans="2:11" ht="14.25" customHeight="1" x14ac:dyDescent="0.3">
      <c r="B37" s="178" t="s">
        <v>241</v>
      </c>
      <c r="D37" s="172"/>
      <c r="E37" s="370"/>
      <c r="F37" s="370"/>
      <c r="G37" s="370"/>
      <c r="H37" s="370"/>
      <c r="I37" s="370"/>
      <c r="J37" s="370"/>
      <c r="K37" s="370"/>
    </row>
    <row r="39" spans="2:11" x14ac:dyDescent="0.3">
      <c r="G39" s="368" t="s">
        <v>272</v>
      </c>
      <c r="H39" s="368"/>
      <c r="I39" s="368"/>
      <c r="J39" s="368"/>
    </row>
    <row r="40" spans="2:11" x14ac:dyDescent="0.3">
      <c r="G40" s="369" t="s">
        <v>242</v>
      </c>
      <c r="H40" s="369"/>
      <c r="I40" s="369"/>
      <c r="J40" s="369"/>
    </row>
    <row r="41" spans="2:11" x14ac:dyDescent="0.3">
      <c r="H41" s="185"/>
    </row>
    <row r="42" spans="2:11" x14ac:dyDescent="0.3">
      <c r="H42" s="173" t="str">
        <f>CONCATENATE("Diterbitkan Tanggal ",'FORM Baru'!AG25)</f>
        <v>Diterbitkan Tanggal 1 Maret 2026</v>
      </c>
    </row>
    <row r="43" spans="2:11" x14ac:dyDescent="0.3">
      <c r="H43" s="184" t="s">
        <v>243</v>
      </c>
    </row>
    <row r="45" spans="2:11" x14ac:dyDescent="0.3">
      <c r="B45" s="212"/>
    </row>
    <row r="46" spans="2:11" x14ac:dyDescent="0.3">
      <c r="F46" s="190" t="s">
        <v>386</v>
      </c>
      <c r="G46" s="183"/>
      <c r="H46" s="183"/>
      <c r="I46" s="183"/>
      <c r="J46" s="183"/>
      <c r="K46" s="183"/>
    </row>
    <row r="47" spans="2:11" x14ac:dyDescent="0.3">
      <c r="F47" s="175" t="s">
        <v>387</v>
      </c>
      <c r="G47" s="186"/>
    </row>
    <row r="48" spans="2:11" x14ac:dyDescent="0.3">
      <c r="F48" s="187" t="s">
        <v>388</v>
      </c>
    </row>
    <row r="51" spans="6:11" x14ac:dyDescent="0.3">
      <c r="G51" s="172"/>
      <c r="H51" s="172"/>
      <c r="I51" s="172"/>
      <c r="J51" s="172"/>
      <c r="K51" s="172"/>
    </row>
    <row r="61" spans="6:11" x14ac:dyDescent="0.3">
      <c r="F61" s="187" t="s">
        <v>244</v>
      </c>
      <c r="G61" s="187" t="str">
        <f>CONCATENATE(MID(A9,16,LEN(A9)-13))</f>
        <v>: 0021-2.2/KALIBRASI BBLM/III/2026</v>
      </c>
    </row>
    <row r="62" spans="6:11" x14ac:dyDescent="0.3">
      <c r="F62" s="187" t="s">
        <v>245</v>
      </c>
      <c r="G62" s="187" t="str">
        <f>CONCATENATE(":"," ",'FORM Baru'!AG9)</f>
        <v>: K085-9</v>
      </c>
    </row>
    <row r="63" spans="6:11" x14ac:dyDescent="0.3">
      <c r="F63" s="187" t="s">
        <v>246</v>
      </c>
      <c r="G63" s="187" t="s">
        <v>271</v>
      </c>
    </row>
    <row r="65" spans="2:9" x14ac:dyDescent="0.3">
      <c r="B65" s="366" t="s">
        <v>247</v>
      </c>
      <c r="C65" s="366"/>
      <c r="D65" s="366"/>
      <c r="E65" s="366"/>
      <c r="F65" s="366"/>
    </row>
    <row r="66" spans="2:9" x14ac:dyDescent="0.3">
      <c r="B66" s="172" t="s">
        <v>175</v>
      </c>
      <c r="D66" s="172" t="str">
        <f>CONCATENATE(": ",E17)</f>
        <v>: Neraca / Timbangan</v>
      </c>
      <c r="E66" s="172"/>
      <c r="F66" s="172"/>
      <c r="G66" s="172"/>
    </row>
    <row r="67" spans="2:9" x14ac:dyDescent="0.3">
      <c r="B67" s="172" t="s">
        <v>248</v>
      </c>
      <c r="D67" s="172" t="str">
        <f>CONCATENATE(":"," ",E19," "," / "," ",E21)</f>
        <v xml:space="preserve">:   /  </v>
      </c>
      <c r="E67" s="172"/>
      <c r="F67" s="172"/>
      <c r="G67" s="172"/>
    </row>
    <row r="68" spans="2:9" x14ac:dyDescent="0.3">
      <c r="B68" s="172" t="s">
        <v>249</v>
      </c>
      <c r="D68" s="172" t="str">
        <f>CONCATENATE(": ",E23)</f>
        <v>: -</v>
      </c>
      <c r="E68" s="172"/>
      <c r="F68" s="172"/>
      <c r="G68" s="172"/>
    </row>
    <row r="69" spans="2:9" x14ac:dyDescent="0.3">
      <c r="B69" s="172" t="s">
        <v>250</v>
      </c>
      <c r="D69" s="172" t="str">
        <f>CONCATENATE(": ",E25)</f>
        <v xml:space="preserve">: </v>
      </c>
      <c r="E69" s="172"/>
      <c r="F69" s="172"/>
      <c r="G69" s="172"/>
    </row>
    <row r="70" spans="2:9" x14ac:dyDescent="0.3">
      <c r="B70" s="172" t="s">
        <v>172</v>
      </c>
      <c r="D70" s="172" t="str">
        <f>G27</f>
        <v>: 200 kg</v>
      </c>
      <c r="E70" s="172"/>
    </row>
    <row r="71" spans="2:9" x14ac:dyDescent="0.3">
      <c r="B71" s="172" t="s">
        <v>251</v>
      </c>
      <c r="D71" s="172" t="str">
        <f>G28</f>
        <v>: 0,01 kg</v>
      </c>
      <c r="E71" s="172"/>
      <c r="G71" s="183" t="s">
        <v>253</v>
      </c>
      <c r="I71" s="183"/>
    </row>
    <row r="72" spans="2:9" x14ac:dyDescent="0.3">
      <c r="B72" s="172" t="s">
        <v>252</v>
      </c>
      <c r="D72" s="172" t="s">
        <v>259</v>
      </c>
      <c r="E72" s="172"/>
      <c r="G72" s="172" t="s">
        <v>255</v>
      </c>
      <c r="I72" s="172" t="str">
        <f>CONCATENATE(":"," ","(",'Koreksi themohygro rotronic 202'!C35,")"," ºC")</f>
        <v>: (29,4 ± 0,0) ºC</v>
      </c>
    </row>
    <row r="73" spans="2:9" x14ac:dyDescent="0.3">
      <c r="B73" s="172" t="s">
        <v>254</v>
      </c>
      <c r="D73" s="172" t="str">
        <f>CONCATENATE(":"," ",'FORM Baru'!AG20)</f>
        <v>: 12 Februari 2026</v>
      </c>
      <c r="E73" s="172"/>
      <c r="G73" s="172" t="s">
        <v>256</v>
      </c>
      <c r="I73" s="172" t="str">
        <f>CONCATENATE(":"," ","(",'Koreksi themohygro rotronic 202'!D35,")"," %RH")</f>
        <v>: (59,6 ± 0,0) %RH</v>
      </c>
    </row>
    <row r="74" spans="2:9" x14ac:dyDescent="0.3">
      <c r="B74" s="172" t="s">
        <v>11</v>
      </c>
      <c r="D74" s="172" t="str">
        <f>CONCATENATE(":"," ",'FORM Baru'!AG21)</f>
        <v>: 18 Februari 2026</v>
      </c>
      <c r="E74" s="188"/>
      <c r="G74" s="172" t="s">
        <v>258</v>
      </c>
      <c r="I74" s="172" t="str">
        <f>CONCATENATE(":"," ","(",'Koreksi themohygro rotronic 202'!E10,")"," mmHg")</f>
        <v>: (759 ± 1) mmHg</v>
      </c>
    </row>
    <row r="75" spans="2:9" x14ac:dyDescent="0.3">
      <c r="B75" s="172" t="s">
        <v>257</v>
      </c>
      <c r="D75" s="172" t="str">
        <f>CONCATENATE(":"," ",'FORM Baru'!AG12)</f>
        <v>: Universitas Katolik Parahyangan</v>
      </c>
      <c r="E75" s="172"/>
    </row>
    <row r="76" spans="2:9" x14ac:dyDescent="0.3">
      <c r="B76" s="172"/>
      <c r="D76" s="172"/>
      <c r="E76" s="172"/>
      <c r="F76" s="172"/>
      <c r="G76" s="172"/>
    </row>
    <row r="77" spans="2:9" x14ac:dyDescent="0.3">
      <c r="B77" s="172" t="s">
        <v>260</v>
      </c>
      <c r="C77" s="172"/>
      <c r="E77" s="172" t="s">
        <v>262</v>
      </c>
    </row>
    <row r="78" spans="2:9" x14ac:dyDescent="0.3">
      <c r="E78" s="172" t="str">
        <f>CONCATENATE("  ",IF('U95'!C20="kg",'U95'!D24/1000,'U95'!D24)," ",'U95'!C20," ","sebesar"," ",
'U95'!AI182," ",'U95'!C20)</f>
        <v xml:space="preserve">  200 kg sebesar -100,10 kg</v>
      </c>
    </row>
    <row r="79" spans="2:9" ht="7.2" customHeight="1" x14ac:dyDescent="0.3"/>
    <row r="80" spans="2:9" x14ac:dyDescent="0.3">
      <c r="B80" s="172" t="s">
        <v>261</v>
      </c>
      <c r="C80" s="172"/>
      <c r="E80" s="172" t="s">
        <v>345</v>
      </c>
    </row>
    <row r="81" spans="2:8" x14ac:dyDescent="0.3">
      <c r="E81" s="172" t="s">
        <v>347</v>
      </c>
    </row>
    <row r="83" spans="2:8" x14ac:dyDescent="0.3">
      <c r="E83" s="189" t="s">
        <v>263</v>
      </c>
    </row>
    <row r="85" spans="2:8" x14ac:dyDescent="0.3">
      <c r="B85" s="183" t="s">
        <v>264</v>
      </c>
    </row>
    <row r="87" spans="2:8" ht="14.7" customHeight="1" x14ac:dyDescent="0.3">
      <c r="B87" s="354" t="s">
        <v>267</v>
      </c>
      <c r="C87" s="354" t="s">
        <v>265</v>
      </c>
      <c r="D87" s="354"/>
      <c r="E87" s="354" t="s">
        <v>266</v>
      </c>
      <c r="F87" s="354"/>
      <c r="G87" s="354"/>
      <c r="H87" s="354"/>
    </row>
    <row r="88" spans="2:8" x14ac:dyDescent="0.3">
      <c r="B88" s="355"/>
      <c r="C88" s="355"/>
      <c r="D88" s="355"/>
      <c r="E88" s="355"/>
      <c r="F88" s="355"/>
      <c r="G88" s="355"/>
      <c r="H88" s="355"/>
    </row>
    <row r="89" spans="2:8" x14ac:dyDescent="0.3">
      <c r="B89" s="227" t="str">
        <f>'U95'!C20</f>
        <v>kg</v>
      </c>
      <c r="C89" s="353" t="str">
        <f>'U95'!C20</f>
        <v>kg</v>
      </c>
      <c r="D89" s="353"/>
      <c r="E89" s="353" t="str">
        <f>'U95'!C20</f>
        <v>kg</v>
      </c>
      <c r="F89" s="353"/>
      <c r="G89" s="353"/>
      <c r="H89" s="353"/>
    </row>
    <row r="90" spans="2:8" x14ac:dyDescent="0.3">
      <c r="B90" s="218">
        <f>'U95'!Z202</f>
        <v>100</v>
      </c>
      <c r="C90" s="367" t="str">
        <f>'U95'!AB202</f>
        <v>0,32</v>
      </c>
      <c r="D90" s="367"/>
      <c r="E90" s="362" t="str">
        <f>'U95'!AD202</f>
        <v>1,00</v>
      </c>
      <c r="F90" s="362"/>
      <c r="G90" s="362"/>
      <c r="H90" s="362"/>
    </row>
    <row r="91" spans="2:8" x14ac:dyDescent="0.3">
      <c r="B91" s="218">
        <f>'U95'!Z203</f>
        <v>200</v>
      </c>
      <c r="C91" s="367" t="str">
        <f>'U95'!AB203</f>
        <v>0,21</v>
      </c>
      <c r="D91" s="367"/>
      <c r="E91" s="362" t="str">
        <f>'U95'!AD203</f>
        <v>0,80</v>
      </c>
      <c r="F91" s="362"/>
      <c r="G91" s="362"/>
      <c r="H91" s="362"/>
    </row>
    <row r="93" spans="2:8" x14ac:dyDescent="0.3">
      <c r="B93" s="183" t="s">
        <v>274</v>
      </c>
    </row>
    <row r="95" spans="2:8" ht="16.2" x14ac:dyDescent="0.3">
      <c r="B95" s="378" t="s">
        <v>275</v>
      </c>
      <c r="C95" s="230" t="s">
        <v>22</v>
      </c>
      <c r="D95" s="360" t="s">
        <v>285</v>
      </c>
      <c r="E95" s="360"/>
      <c r="F95" s="360" t="s">
        <v>458</v>
      </c>
      <c r="G95" s="360"/>
      <c r="H95" s="360"/>
    </row>
    <row r="96" spans="2:8" x14ac:dyDescent="0.3">
      <c r="B96" s="378"/>
      <c r="C96" s="227" t="str">
        <f>'U95'!C20</f>
        <v>kg</v>
      </c>
      <c r="D96" s="353" t="str">
        <f>'U95'!C20</f>
        <v>kg</v>
      </c>
      <c r="E96" s="353"/>
      <c r="F96" s="353" t="str">
        <f>IF(D96="g","mg","g")</f>
        <v>g</v>
      </c>
      <c r="G96" s="353"/>
      <c r="H96" s="353"/>
    </row>
    <row r="97" spans="2:8" x14ac:dyDescent="0.3">
      <c r="B97" s="228" t="s">
        <v>276</v>
      </c>
      <c r="C97" s="229">
        <f>'U95'!Y182</f>
        <v>20</v>
      </c>
      <c r="D97" s="351" t="str">
        <f>'U95'!AD182</f>
        <v>-0,010</v>
      </c>
      <c r="E97" s="351"/>
      <c r="F97" s="375" t="str">
        <f>'U95'!AB182</f>
        <v>508</v>
      </c>
      <c r="G97" s="376"/>
      <c r="H97" s="377"/>
    </row>
    <row r="98" spans="2:8" x14ac:dyDescent="0.3">
      <c r="B98" s="228" t="s">
        <v>277</v>
      </c>
      <c r="C98" s="229">
        <f>'U95'!Y183</f>
        <v>40</v>
      </c>
      <c r="D98" s="351" t="str">
        <f>'U95'!AD183</f>
        <v>0,070</v>
      </c>
      <c r="E98" s="351"/>
      <c r="F98" s="375" t="str">
        <f>'U95'!AB183</f>
        <v>508</v>
      </c>
      <c r="G98" s="376"/>
      <c r="H98" s="377"/>
    </row>
    <row r="99" spans="2:8" x14ac:dyDescent="0.3">
      <c r="B99" s="228" t="s">
        <v>278</v>
      </c>
      <c r="C99" s="229">
        <f>'U95'!Y184</f>
        <v>60</v>
      </c>
      <c r="D99" s="351" t="str">
        <f>'U95'!AD184</f>
        <v>0,050</v>
      </c>
      <c r="E99" s="351"/>
      <c r="F99" s="375" t="str">
        <f>'U95'!AB184</f>
        <v>508</v>
      </c>
      <c r="G99" s="376"/>
      <c r="H99" s="377"/>
    </row>
    <row r="100" spans="2:8" x14ac:dyDescent="0.3">
      <c r="B100" s="228" t="s">
        <v>279</v>
      </c>
      <c r="C100" s="229">
        <f>'U95'!Y185</f>
        <v>80</v>
      </c>
      <c r="D100" s="351" t="str">
        <f>'U95'!AD185</f>
        <v>0,000</v>
      </c>
      <c r="E100" s="351"/>
      <c r="F100" s="375" t="str">
        <f>'U95'!AB185</f>
        <v>508</v>
      </c>
      <c r="G100" s="376"/>
      <c r="H100" s="377"/>
    </row>
    <row r="101" spans="2:8" x14ac:dyDescent="0.3">
      <c r="B101" s="228" t="s">
        <v>280</v>
      </c>
      <c r="C101" s="229">
        <f>'U95'!Y186</f>
        <v>100</v>
      </c>
      <c r="D101" s="351" t="str">
        <f>'U95'!AD186</f>
        <v>0,000</v>
      </c>
      <c r="E101" s="351"/>
      <c r="F101" s="375" t="str">
        <f>'U95'!AB186</f>
        <v>508</v>
      </c>
      <c r="G101" s="376"/>
      <c r="H101" s="377"/>
    </row>
    <row r="102" spans="2:8" x14ac:dyDescent="0.3">
      <c r="B102" s="228" t="s">
        <v>281</v>
      </c>
      <c r="C102" s="229">
        <f>'U95'!Y187</f>
        <v>120</v>
      </c>
      <c r="D102" s="351" t="str">
        <f>'U95'!AD187</f>
        <v>-20,000</v>
      </c>
      <c r="E102" s="351"/>
      <c r="F102" s="375" t="str">
        <f>'U95'!AB187</f>
        <v>332</v>
      </c>
      <c r="G102" s="376"/>
      <c r="H102" s="377"/>
    </row>
    <row r="103" spans="2:8" x14ac:dyDescent="0.3">
      <c r="B103" s="228" t="s">
        <v>282</v>
      </c>
      <c r="C103" s="229">
        <f>'U95'!Y188</f>
        <v>140</v>
      </c>
      <c r="D103" s="351" t="str">
        <f>'U95'!AD188</f>
        <v>-40,000</v>
      </c>
      <c r="E103" s="351"/>
      <c r="F103" s="375" t="str">
        <f>'U95'!AB188</f>
        <v>332</v>
      </c>
      <c r="G103" s="376"/>
      <c r="H103" s="377"/>
    </row>
    <row r="104" spans="2:8" x14ac:dyDescent="0.3">
      <c r="B104" s="339" t="s">
        <v>283</v>
      </c>
      <c r="C104" s="229">
        <f>'U95'!Y189</f>
        <v>160</v>
      </c>
      <c r="D104" s="374" t="str">
        <f>'U95'!AD189</f>
        <v>-60,000</v>
      </c>
      <c r="E104" s="374"/>
      <c r="F104" s="371" t="str">
        <f>'U95'!AB189</f>
        <v>332</v>
      </c>
      <c r="G104" s="372"/>
      <c r="H104" s="373"/>
    </row>
    <row r="105" spans="2:8" x14ac:dyDescent="0.3">
      <c r="B105" s="228" t="s">
        <v>284</v>
      </c>
      <c r="C105" s="229">
        <f>'U95'!Y190</f>
        <v>180</v>
      </c>
      <c r="D105" s="351" t="str">
        <f>'U95'!AD190</f>
        <v>-80,000</v>
      </c>
      <c r="E105" s="351"/>
      <c r="F105" s="352" t="str">
        <f>'U95'!AB190</f>
        <v>332</v>
      </c>
      <c r="G105" s="352"/>
      <c r="H105" s="352"/>
    </row>
    <row r="106" spans="2:8" x14ac:dyDescent="0.3">
      <c r="B106" s="228" t="s">
        <v>307</v>
      </c>
      <c r="C106" s="229">
        <f>'U95'!Y191</f>
        <v>200</v>
      </c>
      <c r="D106" s="351" t="str">
        <f>'U95'!AD191</f>
        <v>-99,100</v>
      </c>
      <c r="E106" s="351"/>
      <c r="F106" s="352" t="str">
        <f>'U95'!AB191</f>
        <v>332</v>
      </c>
      <c r="G106" s="352"/>
      <c r="H106" s="352"/>
    </row>
    <row r="107" spans="2:8" x14ac:dyDescent="0.3">
      <c r="B107" s="228" t="s">
        <v>474</v>
      </c>
      <c r="C107" s="229">
        <f>'U95'!Y192</f>
        <v>20</v>
      </c>
      <c r="D107" s="351" t="str">
        <f>'U95'!AD192</f>
        <v>49,498</v>
      </c>
      <c r="E107" s="351"/>
      <c r="F107" s="352" t="str">
        <f>'U95'!AB192</f>
        <v>332</v>
      </c>
      <c r="G107" s="352"/>
      <c r="H107" s="352"/>
    </row>
    <row r="108" spans="2:8" x14ac:dyDescent="0.3">
      <c r="B108" s="228" t="s">
        <v>475</v>
      </c>
      <c r="C108" s="229">
        <f>'U95'!Y193</f>
        <v>20</v>
      </c>
      <c r="D108" s="351" t="str">
        <f>'U95'!AD193</f>
        <v>54,000</v>
      </c>
      <c r="E108" s="351"/>
      <c r="F108" s="352" t="str">
        <f>'U95'!AB193</f>
        <v>332</v>
      </c>
      <c r="G108" s="352"/>
      <c r="H108" s="352"/>
    </row>
    <row r="117" spans="2:9" x14ac:dyDescent="0.3">
      <c r="F117" s="187" t="s">
        <v>244</v>
      </c>
      <c r="G117" s="187" t="str">
        <f>G61</f>
        <v>: 0021-2.2/KALIBRASI BBLM/III/2026</v>
      </c>
    </row>
    <row r="118" spans="2:9" x14ac:dyDescent="0.3">
      <c r="F118" s="187" t="s">
        <v>245</v>
      </c>
      <c r="G118" s="187" t="str">
        <f>G62</f>
        <v>: K085-9</v>
      </c>
    </row>
    <row r="119" spans="2:9" x14ac:dyDescent="0.3">
      <c r="F119" s="187" t="s">
        <v>246</v>
      </c>
      <c r="G119" s="187" t="s">
        <v>270</v>
      </c>
    </row>
    <row r="120" spans="2:9" x14ac:dyDescent="0.3">
      <c r="F120" s="187"/>
      <c r="G120" s="187"/>
    </row>
    <row r="121" spans="2:9" x14ac:dyDescent="0.3">
      <c r="B121" s="190" t="s">
        <v>273</v>
      </c>
    </row>
    <row r="123" spans="2:9" x14ac:dyDescent="0.3">
      <c r="B123" s="172" t="str">
        <f>CONCATENATE("Berat massa ", IF('U95'!C20="kg",'U95'!$E$137/1000,'U95'!$E$137)," ",'U95'!C20," diletakkan pada posisi tengah (0), depan (1), belakang (2), kiri (3) dan")</f>
        <v>Berat massa 100 kg diletakkan pada posisi tengah (0), depan (1), belakang (2), kiri (3) dan</v>
      </c>
    </row>
    <row r="124" spans="2:9" x14ac:dyDescent="0.3">
      <c r="B124" s="187" t="s">
        <v>340</v>
      </c>
    </row>
    <row r="125" spans="2:9" x14ac:dyDescent="0.3">
      <c r="B125" s="187" t="str">
        <f>CONCATENATE("Pembacaan timbangan (dalam ",'U95'!C20,") untuk setiap posisi relatif terhadap pembacaan")</f>
        <v>Pembacaan timbangan (dalam kg) untuk setiap posisi relatif terhadap pembacaan</v>
      </c>
    </row>
    <row r="126" spans="2:9" x14ac:dyDescent="0.3">
      <c r="B126" s="187" t="s">
        <v>268</v>
      </c>
    </row>
    <row r="128" spans="2:9" x14ac:dyDescent="0.3">
      <c r="B128" s="360" t="s">
        <v>136</v>
      </c>
      <c r="C128" s="363" t="s">
        <v>129</v>
      </c>
      <c r="D128" s="363"/>
      <c r="E128" s="354" t="s">
        <v>344</v>
      </c>
      <c r="F128" s="354"/>
      <c r="G128" s="354"/>
      <c r="H128" s="354" t="s">
        <v>269</v>
      </c>
      <c r="I128" s="354"/>
    </row>
    <row r="129" spans="2:9" x14ac:dyDescent="0.3">
      <c r="B129" s="361"/>
      <c r="C129" s="360"/>
      <c r="D129" s="360"/>
      <c r="E129" s="355"/>
      <c r="F129" s="355"/>
      <c r="G129" s="355"/>
      <c r="H129" s="355"/>
      <c r="I129" s="355"/>
    </row>
    <row r="130" spans="2:9" x14ac:dyDescent="0.3">
      <c r="B130" s="353"/>
      <c r="C130" s="353" t="str">
        <f>'U95'!C20</f>
        <v>kg</v>
      </c>
      <c r="D130" s="353"/>
      <c r="E130" s="353" t="str">
        <f>'U95'!C20</f>
        <v>kg</v>
      </c>
      <c r="F130" s="353"/>
      <c r="G130" s="353"/>
      <c r="H130" s="353" t="str">
        <f>'U95'!C20</f>
        <v>kg</v>
      </c>
      <c r="I130" s="353"/>
    </row>
    <row r="131" spans="2:9" x14ac:dyDescent="0.3">
      <c r="B131" s="229">
        <v>0</v>
      </c>
      <c r="C131" s="362" t="str">
        <f>'U95'!AI183</f>
        <v>0,01</v>
      </c>
      <c r="D131" s="362"/>
      <c r="E131" s="357" t="str">
        <f>'U95'!AI188</f>
        <v>0,00</v>
      </c>
      <c r="F131" s="357"/>
      <c r="G131" s="357"/>
      <c r="H131" s="357" t="str">
        <f>'U95'!AI193</f>
        <v>0,00</v>
      </c>
      <c r="I131" s="357"/>
    </row>
    <row r="132" spans="2:9" x14ac:dyDescent="0.3">
      <c r="B132" s="229">
        <v>1</v>
      </c>
      <c r="C132" s="362" t="str">
        <f>'U95'!AI184</f>
        <v>0,01</v>
      </c>
      <c r="D132" s="362"/>
      <c r="E132" s="357" t="str">
        <f>'U95'!AI189</f>
        <v>0,00</v>
      </c>
      <c r="F132" s="357"/>
      <c r="G132" s="357"/>
      <c r="H132" s="357"/>
      <c r="I132" s="357"/>
    </row>
    <row r="133" spans="2:9" x14ac:dyDescent="0.3">
      <c r="B133" s="229">
        <v>2</v>
      </c>
      <c r="C133" s="362" t="str">
        <f>'U95'!AI185</f>
        <v>0,02</v>
      </c>
      <c r="D133" s="362"/>
      <c r="E133" s="357" t="str">
        <f>'U95'!AI190</f>
        <v>0,00</v>
      </c>
      <c r="F133" s="357"/>
      <c r="G133" s="357"/>
      <c r="H133" s="357"/>
      <c r="I133" s="357"/>
    </row>
    <row r="134" spans="2:9" x14ac:dyDescent="0.3">
      <c r="B134" s="229">
        <v>3</v>
      </c>
      <c r="C134" s="362" t="str">
        <f>'U95'!AI186</f>
        <v>0,01</v>
      </c>
      <c r="D134" s="362"/>
      <c r="E134" s="357" t="str">
        <f>'U95'!AI191</f>
        <v>0,00</v>
      </c>
      <c r="F134" s="357"/>
      <c r="G134" s="357"/>
      <c r="H134" s="357"/>
      <c r="I134" s="357"/>
    </row>
    <row r="135" spans="2:9" x14ac:dyDescent="0.3">
      <c r="B135" s="229">
        <v>4</v>
      </c>
      <c r="C135" s="362" t="str">
        <f>'U95'!AI187</f>
        <v>0,02</v>
      </c>
      <c r="D135" s="362"/>
      <c r="E135" s="357" t="str">
        <f>'U95'!AI192</f>
        <v>0,00</v>
      </c>
      <c r="F135" s="357"/>
      <c r="G135" s="357"/>
      <c r="H135" s="357"/>
      <c r="I135" s="357"/>
    </row>
    <row r="136" spans="2:9" x14ac:dyDescent="0.3">
      <c r="B136" s="197"/>
      <c r="C136" s="198"/>
      <c r="D136" s="198"/>
      <c r="E136" s="198"/>
      <c r="F136" s="198"/>
      <c r="G136" s="198"/>
      <c r="H136" s="199"/>
      <c r="I136" s="199"/>
    </row>
    <row r="137" spans="2:9" x14ac:dyDescent="0.3">
      <c r="B137" s="183" t="s">
        <v>306</v>
      </c>
    </row>
    <row r="139" spans="2:9" x14ac:dyDescent="0.3">
      <c r="B139" s="355" t="s">
        <v>286</v>
      </c>
      <c r="C139" s="355"/>
      <c r="D139" s="355" t="s">
        <v>145</v>
      </c>
      <c r="E139" s="355"/>
    </row>
    <row r="140" spans="2:9" x14ac:dyDescent="0.3">
      <c r="B140" s="356" t="str">
        <f>'U95'!C20</f>
        <v>kg</v>
      </c>
      <c r="C140" s="356"/>
      <c r="D140" s="356" t="str">
        <f>'U95'!C20</f>
        <v>kg</v>
      </c>
      <c r="E140" s="356"/>
    </row>
    <row r="141" spans="2:9" x14ac:dyDescent="0.3">
      <c r="B141" s="358">
        <f>IF('U95'!$C$20="kg",'U95'!D152/1000,'U95'!D152)</f>
        <v>100</v>
      </c>
      <c r="C141" s="358"/>
      <c r="D141" s="359" t="str">
        <f>'U95'!AI194</f>
        <v>0,00</v>
      </c>
      <c r="E141" s="359"/>
    </row>
    <row r="142" spans="2:9" x14ac:dyDescent="0.3">
      <c r="B142" s="358"/>
      <c r="C142" s="358"/>
      <c r="D142" s="359"/>
      <c r="E142" s="359"/>
    </row>
    <row r="144" spans="2:9" x14ac:dyDescent="0.3">
      <c r="B144" s="187" t="s">
        <v>287</v>
      </c>
    </row>
    <row r="145" spans="2:11" x14ac:dyDescent="0.3">
      <c r="B145" s="187" t="str">
        <f>CONCATENATE("-  Alat ini dikalibrasi dengan Massa Standar ",'FORM Baru'!AG23, " ns: ",'FORM Baru'!AG24)</f>
        <v>-  Alat ini dikalibrasi dengan Massa Standar F1  ns: YCS-01-653-00</v>
      </c>
    </row>
    <row r="146" spans="2:11" x14ac:dyDescent="0.3">
      <c r="B146" s="187" t="s">
        <v>430</v>
      </c>
    </row>
    <row r="147" spans="2:11" x14ac:dyDescent="0.3">
      <c r="B147" s="337" t="str">
        <f>CONCATENATE("-","  ","Limit of Performance (LOP) :"," ",'U95'!AI195," ",'U95'!C20,".")</f>
        <v>-  Limit of Performance (LOP) : 100,15 kg.</v>
      </c>
    </row>
    <row r="148" spans="2:11" x14ac:dyDescent="0.3">
      <c r="B148" s="187" t="s">
        <v>288</v>
      </c>
    </row>
    <row r="150" spans="2:11" x14ac:dyDescent="0.3">
      <c r="G150" s="183"/>
      <c r="H150" s="183"/>
      <c r="I150" s="183"/>
      <c r="J150" s="183"/>
      <c r="K150" s="183"/>
    </row>
    <row r="151" spans="2:11" x14ac:dyDescent="0.3">
      <c r="G151" s="183"/>
      <c r="H151" s="183"/>
      <c r="I151" s="183"/>
      <c r="J151" s="183"/>
      <c r="K151" s="183"/>
    </row>
    <row r="156" spans="2:11" x14ac:dyDescent="0.3">
      <c r="G156" s="182"/>
      <c r="H156" s="183"/>
      <c r="I156" s="183"/>
      <c r="J156" s="183"/>
      <c r="K156" s="183"/>
    </row>
    <row r="157" spans="2:11" x14ac:dyDescent="0.3">
      <c r="G157" s="172"/>
      <c r="H157" s="172"/>
      <c r="I157" s="172"/>
      <c r="J157" s="172"/>
      <c r="K157" s="172"/>
    </row>
  </sheetData>
  <mergeCells count="69">
    <mergeCell ref="B95:B96"/>
    <mergeCell ref="E91:H91"/>
    <mergeCell ref="D101:E101"/>
    <mergeCell ref="D102:E102"/>
    <mergeCell ref="D103:E103"/>
    <mergeCell ref="C91:D91"/>
    <mergeCell ref="F96:H96"/>
    <mergeCell ref="F97:H97"/>
    <mergeCell ref="F98:H98"/>
    <mergeCell ref="F99:H99"/>
    <mergeCell ref="D99:E99"/>
    <mergeCell ref="D100:E100"/>
    <mergeCell ref="D96:E96"/>
    <mergeCell ref="F100:H100"/>
    <mergeCell ref="F95:H95"/>
    <mergeCell ref="D95:E95"/>
    <mergeCell ref="F104:H104"/>
    <mergeCell ref="D104:E104"/>
    <mergeCell ref="D97:E97"/>
    <mergeCell ref="D98:E98"/>
    <mergeCell ref="F106:H106"/>
    <mergeCell ref="D106:E106"/>
    <mergeCell ref="F105:H105"/>
    <mergeCell ref="D105:E105"/>
    <mergeCell ref="F101:H101"/>
    <mergeCell ref="F102:H102"/>
    <mergeCell ref="F103:H103"/>
    <mergeCell ref="A7:K7"/>
    <mergeCell ref="A8:K8"/>
    <mergeCell ref="B65:F65"/>
    <mergeCell ref="C90:D90"/>
    <mergeCell ref="E90:H90"/>
    <mergeCell ref="B87:B88"/>
    <mergeCell ref="C87:D88"/>
    <mergeCell ref="E87:H88"/>
    <mergeCell ref="C89:D89"/>
    <mergeCell ref="E89:H89"/>
    <mergeCell ref="G39:J39"/>
    <mergeCell ref="G40:J40"/>
    <mergeCell ref="A9:K9"/>
    <mergeCell ref="E36:K37"/>
    <mergeCell ref="B128:B130"/>
    <mergeCell ref="C132:D132"/>
    <mergeCell ref="C133:D133"/>
    <mergeCell ref="C134:D134"/>
    <mergeCell ref="C135:D135"/>
    <mergeCell ref="C131:D131"/>
    <mergeCell ref="C130:D130"/>
    <mergeCell ref="C128:D129"/>
    <mergeCell ref="B140:C140"/>
    <mergeCell ref="D140:E140"/>
    <mergeCell ref="H131:I135"/>
    <mergeCell ref="B141:C142"/>
    <mergeCell ref="D141:E142"/>
    <mergeCell ref="B139:C139"/>
    <mergeCell ref="D139:E139"/>
    <mergeCell ref="E131:G131"/>
    <mergeCell ref="E132:G132"/>
    <mergeCell ref="E133:G133"/>
    <mergeCell ref="E134:G134"/>
    <mergeCell ref="E135:G135"/>
    <mergeCell ref="D107:E107"/>
    <mergeCell ref="F107:H107"/>
    <mergeCell ref="D108:E108"/>
    <mergeCell ref="F108:H108"/>
    <mergeCell ref="E130:G130"/>
    <mergeCell ref="H130:I130"/>
    <mergeCell ref="H128:I129"/>
    <mergeCell ref="E128:G129"/>
  </mergeCells>
  <pageMargins left="0" right="0" top="0.35433070866141736" bottom="3.937007874015748E-2" header="0" footer="0"/>
  <pageSetup paperSize="9"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F8B44-6482-48F3-AC89-90BA51694BA0}">
  <sheetPr codeName="Sheet6">
    <tabColor rgb="FF00B0F0"/>
  </sheetPr>
  <dimension ref="A2:CD349"/>
  <sheetViews>
    <sheetView topLeftCell="O19" workbookViewId="0">
      <selection activeCell="AB23" sqref="AB23"/>
    </sheetView>
  </sheetViews>
  <sheetFormatPr defaultRowHeight="14.4" x14ac:dyDescent="0.3"/>
  <cols>
    <col min="1" max="1" width="19" bestFit="1" customWidth="1"/>
    <col min="2" max="2" width="13.33203125" bestFit="1" customWidth="1"/>
    <col min="3" max="3" width="13.109375" bestFit="1" customWidth="1"/>
    <col min="4" max="7" width="11.5546875" customWidth="1"/>
    <col min="9" max="9" width="17.5546875" customWidth="1"/>
    <col min="25" max="25" width="17.109375" customWidth="1"/>
    <col min="56" max="57" width="9.6640625" customWidth="1"/>
    <col min="58" max="58" width="6.6640625" customWidth="1"/>
    <col min="59" max="59" width="14.5546875" customWidth="1"/>
    <col min="62" max="62" width="10" bestFit="1" customWidth="1"/>
    <col min="66" max="66" width="11" bestFit="1" customWidth="1"/>
    <col min="69" max="69" width="15.44140625" customWidth="1"/>
    <col min="73" max="73" width="10" bestFit="1" customWidth="1"/>
    <col min="77" max="77" width="18.33203125" bestFit="1" customWidth="1"/>
    <col min="81" max="81" width="14.5546875" customWidth="1"/>
  </cols>
  <sheetData>
    <row r="2" spans="1:82" ht="18" x14ac:dyDescent="0.35">
      <c r="BC2" s="140" t="s">
        <v>421</v>
      </c>
      <c r="BG2" s="2" t="s">
        <v>291</v>
      </c>
      <c r="BP2" s="140" t="s">
        <v>358</v>
      </c>
      <c r="BT2" s="140" t="s">
        <v>348</v>
      </c>
      <c r="BX2" s="248" t="s">
        <v>356</v>
      </c>
      <c r="BY2" s="249"/>
      <c r="BZ2" s="249"/>
      <c r="CB2" s="140" t="s">
        <v>359</v>
      </c>
    </row>
    <row r="3" spans="1:82" ht="42.6" customHeight="1" x14ac:dyDescent="0.3">
      <c r="BC3" s="315" t="s">
        <v>418</v>
      </c>
      <c r="BD3" s="315" t="s">
        <v>419</v>
      </c>
      <c r="BE3" s="315" t="s">
        <v>420</v>
      </c>
      <c r="BG3" s="192" t="s">
        <v>405</v>
      </c>
      <c r="BH3" s="192" t="s">
        <v>289</v>
      </c>
      <c r="BI3" s="192" t="s">
        <v>290</v>
      </c>
      <c r="BJ3" s="192" t="s">
        <v>12</v>
      </c>
      <c r="BK3" s="192" t="s">
        <v>13</v>
      </c>
      <c r="BL3" s="192" t="s">
        <v>14</v>
      </c>
      <c r="BM3" s="192" t="s">
        <v>15</v>
      </c>
      <c r="BN3" s="192" t="s">
        <v>16</v>
      </c>
      <c r="BP3" s="194" t="s">
        <v>292</v>
      </c>
      <c r="BQ3" s="194" t="s">
        <v>293</v>
      </c>
      <c r="BR3" s="194" t="s">
        <v>294</v>
      </c>
      <c r="BT3" s="195" t="s">
        <v>292</v>
      </c>
      <c r="BU3" s="195" t="s">
        <v>293</v>
      </c>
      <c r="BV3" s="195" t="s">
        <v>294</v>
      </c>
      <c r="BX3" s="250" t="s">
        <v>292</v>
      </c>
      <c r="BY3" s="250" t="s">
        <v>293</v>
      </c>
      <c r="BZ3" s="250" t="s">
        <v>294</v>
      </c>
      <c r="CB3" s="252" t="s">
        <v>292</v>
      </c>
      <c r="CC3" s="252" t="s">
        <v>293</v>
      </c>
      <c r="CD3" s="252" t="s">
        <v>294</v>
      </c>
    </row>
    <row r="4" spans="1:82" x14ac:dyDescent="0.3">
      <c r="BC4" s="124">
        <v>0</v>
      </c>
      <c r="BD4" s="124">
        <v>250</v>
      </c>
      <c r="BE4" s="124">
        <v>0.12</v>
      </c>
      <c r="BG4" s="310">
        <v>50000</v>
      </c>
      <c r="BH4" s="191">
        <v>25</v>
      </c>
      <c r="BI4" s="191">
        <v>75</v>
      </c>
      <c r="BJ4" s="191">
        <v>250</v>
      </c>
      <c r="BK4" s="191">
        <v>750</v>
      </c>
      <c r="BL4" s="191">
        <v>2500</v>
      </c>
      <c r="BM4" s="191">
        <v>7500</v>
      </c>
      <c r="BN4" s="191">
        <v>25000</v>
      </c>
      <c r="BP4" s="139">
        <v>2000</v>
      </c>
      <c r="BQ4" s="137">
        <v>1999.9985200000001</v>
      </c>
      <c r="BR4" s="118">
        <v>0.32</v>
      </c>
      <c r="BT4" s="124">
        <v>20000</v>
      </c>
      <c r="BU4" s="124">
        <v>20000.026000000002</v>
      </c>
      <c r="BV4" s="124">
        <v>14</v>
      </c>
      <c r="BX4" s="139">
        <v>1E-3</v>
      </c>
      <c r="BY4" s="342">
        <v>1.003E-3</v>
      </c>
      <c r="BZ4" s="118">
        <v>2E-3</v>
      </c>
      <c r="CB4" s="124" t="s">
        <v>178</v>
      </c>
      <c r="CC4" s="124">
        <v>20000.153999999999</v>
      </c>
      <c r="CD4" s="124">
        <v>45</v>
      </c>
    </row>
    <row r="5" spans="1:82" x14ac:dyDescent="0.3">
      <c r="AL5" s="43"/>
      <c r="BC5" s="124">
        <v>250</v>
      </c>
      <c r="BD5" s="124">
        <v>500</v>
      </c>
      <c r="BE5" s="124">
        <v>0.82</v>
      </c>
      <c r="BG5" s="311">
        <v>20000</v>
      </c>
      <c r="BH5" s="191">
        <v>10</v>
      </c>
      <c r="BI5" s="191">
        <v>30</v>
      </c>
      <c r="BJ5" s="191">
        <v>100</v>
      </c>
      <c r="BK5" s="191">
        <v>300</v>
      </c>
      <c r="BL5" s="191">
        <v>1000</v>
      </c>
      <c r="BM5" s="191">
        <v>3000</v>
      </c>
      <c r="BN5" s="191">
        <v>10000</v>
      </c>
      <c r="BP5" s="139">
        <v>1000</v>
      </c>
      <c r="BQ5" s="137">
        <v>1000.00055</v>
      </c>
      <c r="BR5" s="118">
        <v>0.14000000000000001</v>
      </c>
      <c r="BT5" s="124">
        <v>10000</v>
      </c>
      <c r="BU5" s="128">
        <v>10000.040999999999</v>
      </c>
      <c r="BV5" s="124">
        <v>6</v>
      </c>
      <c r="BX5" s="139">
        <v>2E-3</v>
      </c>
      <c r="BY5" s="118">
        <v>2.003E-3</v>
      </c>
      <c r="BZ5" s="118">
        <v>2E-3</v>
      </c>
      <c r="CB5" s="124" t="s">
        <v>179</v>
      </c>
      <c r="CC5" s="124">
        <v>19999.991999999998</v>
      </c>
      <c r="CD5" s="124">
        <v>45</v>
      </c>
    </row>
    <row r="6" spans="1:82" x14ac:dyDescent="0.3">
      <c r="AL6" s="43"/>
      <c r="BC6" s="124">
        <v>500</v>
      </c>
      <c r="BD6" s="124">
        <v>2000</v>
      </c>
      <c r="BE6" s="124">
        <v>1.1000000000000001</v>
      </c>
      <c r="BG6" s="310">
        <v>10000</v>
      </c>
      <c r="BH6" s="191">
        <v>5</v>
      </c>
      <c r="BI6" s="191">
        <v>15</v>
      </c>
      <c r="BJ6" s="191">
        <v>50</v>
      </c>
      <c r="BK6" s="191">
        <v>150</v>
      </c>
      <c r="BL6" s="191">
        <v>500</v>
      </c>
      <c r="BM6" s="191">
        <v>1500</v>
      </c>
      <c r="BN6" s="191">
        <v>5000</v>
      </c>
      <c r="BP6" s="139">
        <v>500</v>
      </c>
      <c r="BQ6" s="151">
        <v>500.00000999999997</v>
      </c>
      <c r="BR6" s="118">
        <v>0.08</v>
      </c>
      <c r="BT6" s="124">
        <v>5000</v>
      </c>
      <c r="BU6" s="125">
        <v>5000.0162799999998</v>
      </c>
      <c r="BV6" s="124">
        <v>2.6</v>
      </c>
      <c r="BX6" s="343" t="s">
        <v>477</v>
      </c>
      <c r="BY6" s="344">
        <v>2.0010000000000002E-3</v>
      </c>
      <c r="BZ6" s="118">
        <v>2E-3</v>
      </c>
      <c r="CB6" s="124" t="s">
        <v>180</v>
      </c>
      <c r="CC6" s="124">
        <v>19999.946</v>
      </c>
      <c r="CD6" s="124">
        <v>45</v>
      </c>
    </row>
    <row r="7" spans="1:82" x14ac:dyDescent="0.3">
      <c r="A7" s="243" t="s">
        <v>349</v>
      </c>
      <c r="B7" s="243" t="s">
        <v>350</v>
      </c>
      <c r="C7" s="243" t="s">
        <v>232</v>
      </c>
      <c r="D7" s="270" t="s">
        <v>376</v>
      </c>
      <c r="E7" s="270" t="s">
        <v>383</v>
      </c>
      <c r="F7" s="326" t="s">
        <v>86</v>
      </c>
      <c r="G7" s="341"/>
      <c r="BC7" s="124">
        <v>2000</v>
      </c>
      <c r="BD7" s="124">
        <v>5000</v>
      </c>
      <c r="BE7" s="124">
        <v>1.7</v>
      </c>
      <c r="BG7" s="311">
        <v>5000</v>
      </c>
      <c r="BH7" s="191">
        <v>2.5</v>
      </c>
      <c r="BI7" s="191">
        <v>7.5</v>
      </c>
      <c r="BJ7" s="191">
        <v>25</v>
      </c>
      <c r="BK7" s="191">
        <v>75</v>
      </c>
      <c r="BL7" s="191">
        <v>250</v>
      </c>
      <c r="BM7" s="191">
        <v>750</v>
      </c>
      <c r="BN7" s="191">
        <v>2500</v>
      </c>
      <c r="BP7" s="139">
        <v>200</v>
      </c>
      <c r="BQ7" s="151">
        <v>200.00001</v>
      </c>
      <c r="BR7" s="118">
        <v>0.04</v>
      </c>
      <c r="BT7" s="124" t="s">
        <v>378</v>
      </c>
      <c r="BU7" s="125">
        <v>2000.00152</v>
      </c>
      <c r="BV7" s="124">
        <v>1.4</v>
      </c>
      <c r="BX7" s="139">
        <v>5.0000000000000001E-3</v>
      </c>
      <c r="BY7" s="344">
        <v>5.0039999999999998E-3</v>
      </c>
      <c r="BZ7" s="118">
        <v>2E-3</v>
      </c>
      <c r="CB7" s="124" t="s">
        <v>181</v>
      </c>
      <c r="CC7" s="124">
        <v>20000.045999999998</v>
      </c>
      <c r="CD7" s="124">
        <v>45</v>
      </c>
    </row>
    <row r="8" spans="1:82" x14ac:dyDescent="0.3">
      <c r="A8" s="244" t="s">
        <v>351</v>
      </c>
      <c r="B8" s="243" t="s">
        <v>352</v>
      </c>
      <c r="C8" s="200" t="s">
        <v>353</v>
      </c>
      <c r="D8" s="128" t="s">
        <v>377</v>
      </c>
      <c r="E8" s="128" t="s">
        <v>384</v>
      </c>
      <c r="F8" s="128" t="s">
        <v>80</v>
      </c>
      <c r="G8" s="43"/>
      <c r="I8" s="140" t="s">
        <v>432</v>
      </c>
      <c r="BC8" s="124">
        <v>5000</v>
      </c>
      <c r="BD8" s="124">
        <v>10000</v>
      </c>
      <c r="BE8" s="124">
        <v>13</v>
      </c>
      <c r="BG8" s="310">
        <v>2000</v>
      </c>
      <c r="BH8" s="191">
        <v>1</v>
      </c>
      <c r="BI8" s="191">
        <v>3</v>
      </c>
      <c r="BJ8" s="191">
        <v>10</v>
      </c>
      <c r="BK8" s="191">
        <v>30</v>
      </c>
      <c r="BL8" s="191">
        <v>100</v>
      </c>
      <c r="BM8" s="191">
        <v>300</v>
      </c>
      <c r="BN8" s="191">
        <v>1000</v>
      </c>
      <c r="BP8" s="259" t="s">
        <v>360</v>
      </c>
      <c r="BQ8" s="151">
        <v>200.00004999999999</v>
      </c>
      <c r="BR8" s="118">
        <v>0.04</v>
      </c>
      <c r="BT8" s="139">
        <v>2000</v>
      </c>
      <c r="BU8" s="154">
        <v>1999.9994200000001</v>
      </c>
      <c r="BV8" s="118">
        <v>1.4</v>
      </c>
      <c r="BX8" s="251">
        <v>0.01</v>
      </c>
      <c r="BY8" s="344">
        <v>1.0002E-2</v>
      </c>
      <c r="BZ8" s="118">
        <v>3.0000000000000001E-3</v>
      </c>
      <c r="CB8" s="124" t="s">
        <v>182</v>
      </c>
      <c r="CC8" s="124">
        <v>20000.031999999999</v>
      </c>
      <c r="CD8" s="124">
        <v>45</v>
      </c>
    </row>
    <row r="9" spans="1:82" x14ac:dyDescent="0.3">
      <c r="A9" s="243" t="s">
        <v>354</v>
      </c>
      <c r="B9" s="200" t="s">
        <v>355</v>
      </c>
      <c r="C9" s="200" t="s">
        <v>341</v>
      </c>
      <c r="D9" s="128" t="s">
        <v>431</v>
      </c>
      <c r="E9" s="128" t="s">
        <v>385</v>
      </c>
      <c r="F9" s="128" t="s">
        <v>30</v>
      </c>
      <c r="G9" s="43"/>
      <c r="I9" t="s">
        <v>364</v>
      </c>
      <c r="J9" t="s">
        <v>366</v>
      </c>
      <c r="K9" t="s">
        <v>367</v>
      </c>
      <c r="L9" t="s">
        <v>368</v>
      </c>
      <c r="M9" t="s">
        <v>369</v>
      </c>
      <c r="N9" t="s">
        <v>370</v>
      </c>
      <c r="O9" t="s">
        <v>371</v>
      </c>
      <c r="P9" t="s">
        <v>372</v>
      </c>
      <c r="Q9" t="s">
        <v>373</v>
      </c>
      <c r="R9" t="s">
        <v>374</v>
      </c>
      <c r="S9" t="s">
        <v>375</v>
      </c>
      <c r="Y9" s="43" t="s">
        <v>381</v>
      </c>
      <c r="BC9" s="124">
        <v>10000</v>
      </c>
      <c r="BD9" s="124">
        <v>20000</v>
      </c>
      <c r="BE9" s="124">
        <v>22</v>
      </c>
      <c r="BG9" s="311">
        <v>1000</v>
      </c>
      <c r="BH9" s="191">
        <v>0.5</v>
      </c>
      <c r="BI9" s="191">
        <v>1.5</v>
      </c>
      <c r="BJ9" s="191">
        <v>5</v>
      </c>
      <c r="BK9" s="191">
        <v>15</v>
      </c>
      <c r="BL9" s="191">
        <v>50</v>
      </c>
      <c r="BM9" s="191">
        <v>150</v>
      </c>
      <c r="BN9" s="191">
        <v>500</v>
      </c>
      <c r="BP9" s="139">
        <v>100</v>
      </c>
      <c r="BQ9" s="151">
        <v>100.00008</v>
      </c>
      <c r="BR9" s="118">
        <v>0.03</v>
      </c>
      <c r="BT9" s="139">
        <v>1000</v>
      </c>
      <c r="BU9" s="154">
        <v>1000.00105</v>
      </c>
      <c r="BV9" s="118">
        <v>1.1000000000000001</v>
      </c>
      <c r="BX9" s="139">
        <v>0.02</v>
      </c>
      <c r="BY9" s="344">
        <v>2.0003E-2</v>
      </c>
      <c r="BZ9" s="118">
        <v>3.0000000000000001E-3</v>
      </c>
      <c r="CB9" s="124" t="s">
        <v>183</v>
      </c>
      <c r="CC9" s="124">
        <v>19999.95</v>
      </c>
      <c r="CD9" s="124">
        <v>45</v>
      </c>
    </row>
    <row r="10" spans="1:82" x14ac:dyDescent="0.3">
      <c r="A10" s="243" t="s">
        <v>356</v>
      </c>
      <c r="B10" s="243" t="s">
        <v>357</v>
      </c>
      <c r="C10" s="200">
        <v>158856</v>
      </c>
      <c r="E10" s="124"/>
      <c r="F10" s="128" t="s">
        <v>31</v>
      </c>
      <c r="G10" s="43"/>
      <c r="I10">
        <v>1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Y10" s="128" t="s">
        <v>382</v>
      </c>
      <c r="Z10" s="124" t="s">
        <v>365</v>
      </c>
      <c r="AA10" s="124" t="s">
        <v>365</v>
      </c>
      <c r="AB10" s="124" t="s">
        <v>365</v>
      </c>
      <c r="AC10" s="124" t="s">
        <v>365</v>
      </c>
      <c r="AD10" s="124" t="s">
        <v>365</v>
      </c>
      <c r="AE10" s="124" t="s">
        <v>365</v>
      </c>
      <c r="AF10" s="124" t="s">
        <v>365</v>
      </c>
      <c r="AG10" s="124" t="s">
        <v>365</v>
      </c>
      <c r="AH10" s="124" t="s">
        <v>365</v>
      </c>
      <c r="AI10" s="124" t="s">
        <v>365</v>
      </c>
      <c r="BC10" s="124">
        <v>20000</v>
      </c>
      <c r="BD10" s="124">
        <v>50000</v>
      </c>
      <c r="BE10" s="124">
        <v>8100</v>
      </c>
      <c r="BG10" s="310">
        <v>500</v>
      </c>
      <c r="BH10" s="191">
        <v>0.25</v>
      </c>
      <c r="BI10" s="191">
        <v>0.75</v>
      </c>
      <c r="BJ10" s="191">
        <v>2.5</v>
      </c>
      <c r="BK10" s="191">
        <v>7.5</v>
      </c>
      <c r="BL10" s="191">
        <v>25</v>
      </c>
      <c r="BM10" s="191">
        <v>75</v>
      </c>
      <c r="BN10" s="191">
        <v>250</v>
      </c>
      <c r="BP10" s="139">
        <v>50</v>
      </c>
      <c r="BQ10" s="151">
        <v>50.000019999999999</v>
      </c>
      <c r="BR10" s="118">
        <v>0.02</v>
      </c>
      <c r="BT10" s="139">
        <v>500</v>
      </c>
      <c r="BU10" s="155">
        <v>499.99860999999999</v>
      </c>
      <c r="BV10" s="118">
        <v>1</v>
      </c>
      <c r="BX10" s="343" t="s">
        <v>478</v>
      </c>
      <c r="BY10" s="344">
        <v>2.0004999999999998E-2</v>
      </c>
      <c r="BZ10" s="118">
        <v>3.0000000000000001E-3</v>
      </c>
      <c r="CB10" s="124" t="s">
        <v>184</v>
      </c>
      <c r="CC10" s="124">
        <v>19999.157999999999</v>
      </c>
      <c r="CD10" s="124">
        <v>45</v>
      </c>
    </row>
    <row r="11" spans="1:82" x14ac:dyDescent="0.3">
      <c r="A11" s="270" t="s">
        <v>178</v>
      </c>
      <c r="B11" s="320" t="s">
        <v>17</v>
      </c>
      <c r="C11" s="321" t="s">
        <v>17</v>
      </c>
      <c r="D11" s="124"/>
      <c r="E11" s="124"/>
      <c r="F11" s="124"/>
      <c r="I11">
        <v>2</v>
      </c>
      <c r="J11">
        <v>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Y11" s="124">
        <v>1</v>
      </c>
      <c r="Z11" s="124" t="e">
        <f>INDEX($J$9:$S$349,MATCH('U95'!$D$24,$I$9:$I$349,0),1)</f>
        <v>#N/A</v>
      </c>
      <c r="AA11" s="124" t="e">
        <f>INDEX($J$9:$S$349,MATCH('U95'!$D$24,$I$9:$I$349,0),2)</f>
        <v>#N/A</v>
      </c>
      <c r="AB11" s="124" t="e">
        <f>INDEX($J$9:$S$349,MATCH('U95'!$D$24,$I$9:$I$349,0),3)</f>
        <v>#N/A</v>
      </c>
      <c r="AC11" s="124" t="e">
        <f>INDEX($J$9:$S$349,MATCH('U95'!$D$24,$I$9:$I$349,0),4)</f>
        <v>#N/A</v>
      </c>
      <c r="AD11" s="124" t="e">
        <f>INDEX($J$9:$S$349,MATCH('U95'!$D$24,$I$9:$I$349,0),5)</f>
        <v>#N/A</v>
      </c>
      <c r="AE11" s="124" t="e">
        <f>INDEX($J$9:$S$349,MATCH('U95'!$D$24,$I$9:$I$349,0),6)</f>
        <v>#N/A</v>
      </c>
      <c r="AF11" s="124" t="e">
        <f>INDEX($J$9:$S$349,MATCH('U95'!$D$24,$I$9:$I$349,0),7)</f>
        <v>#N/A</v>
      </c>
      <c r="AG11" s="124" t="e">
        <f>INDEX($J$9:$S$349,MATCH('U95'!$D$24,$I$9:$I$349,0),8)</f>
        <v>#N/A</v>
      </c>
      <c r="AH11" s="124" t="e">
        <f>INDEX($J$9:$S$349,MATCH('U95'!$D$24,$I$9:$I$349,0),9)</f>
        <v>#N/A</v>
      </c>
      <c r="AI11" s="124" t="e">
        <f>INDEX($J$9:$S$349,MATCH('U95'!$D$24,$I$9:$I$349,0),10)</f>
        <v>#N/A</v>
      </c>
      <c r="BC11" s="124">
        <v>50000</v>
      </c>
      <c r="BD11" s="124">
        <v>500000</v>
      </c>
      <c r="BE11" s="124">
        <v>80000</v>
      </c>
      <c r="BG11" s="311">
        <v>200</v>
      </c>
      <c r="BH11" s="191">
        <v>0.01</v>
      </c>
      <c r="BI11" s="191">
        <v>0.3</v>
      </c>
      <c r="BJ11" s="191">
        <v>1</v>
      </c>
      <c r="BK11" s="191">
        <v>3</v>
      </c>
      <c r="BL11" s="191">
        <v>10</v>
      </c>
      <c r="BM11" s="191">
        <v>30</v>
      </c>
      <c r="BN11" s="191">
        <v>100</v>
      </c>
      <c r="BP11" s="139">
        <v>20</v>
      </c>
      <c r="BQ11" s="152">
        <v>19.999977999999999</v>
      </c>
      <c r="BR11" s="118">
        <v>8.9999999999999993E-3</v>
      </c>
      <c r="BT11" s="139">
        <v>200</v>
      </c>
      <c r="BU11" s="155">
        <v>199.99968000000001</v>
      </c>
      <c r="BV11" s="118">
        <v>0.11</v>
      </c>
      <c r="BX11" s="343">
        <v>0.05</v>
      </c>
      <c r="BY11" s="345">
        <v>5.0005000000000001E-2</v>
      </c>
      <c r="BZ11" s="118">
        <v>3.0000000000000001E-3</v>
      </c>
      <c r="CB11" s="124" t="s">
        <v>185</v>
      </c>
      <c r="CC11" s="124">
        <v>19999.924999999999</v>
      </c>
      <c r="CD11" s="124">
        <v>45</v>
      </c>
    </row>
    <row r="12" spans="1:82" x14ac:dyDescent="0.3">
      <c r="I12">
        <v>3</v>
      </c>
      <c r="J12">
        <v>1</v>
      </c>
      <c r="K12">
        <v>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BG12" s="310">
        <v>100</v>
      </c>
      <c r="BH12" s="191">
        <v>0.05</v>
      </c>
      <c r="BI12" s="191">
        <v>0.15</v>
      </c>
      <c r="BJ12" s="191">
        <v>0.5</v>
      </c>
      <c r="BK12" s="191">
        <v>1.5</v>
      </c>
      <c r="BL12" s="191">
        <v>5</v>
      </c>
      <c r="BM12" s="191">
        <v>15</v>
      </c>
      <c r="BN12" s="191">
        <v>50</v>
      </c>
      <c r="BP12" s="259" t="s">
        <v>361</v>
      </c>
      <c r="BQ12" s="152">
        <v>19.999977000000001</v>
      </c>
      <c r="BR12" s="118">
        <v>8.9999999999999993E-3</v>
      </c>
      <c r="BT12" s="259" t="s">
        <v>360</v>
      </c>
      <c r="BU12" s="155">
        <v>199.99881999999999</v>
      </c>
      <c r="BV12" s="118">
        <v>0.11</v>
      </c>
      <c r="BX12" s="139">
        <v>0.1</v>
      </c>
      <c r="BY12" s="344">
        <v>0.100008</v>
      </c>
      <c r="BZ12" s="118">
        <v>3.0000000000000001E-3</v>
      </c>
      <c r="CB12" s="124" t="s">
        <v>186</v>
      </c>
      <c r="CC12" s="124">
        <v>19999.663</v>
      </c>
      <c r="CD12" s="124">
        <v>45</v>
      </c>
    </row>
    <row r="13" spans="1:82" x14ac:dyDescent="0.3">
      <c r="I13">
        <v>4</v>
      </c>
      <c r="J13">
        <v>2</v>
      </c>
      <c r="K13">
        <v>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BG13" s="311">
        <v>50</v>
      </c>
      <c r="BH13" s="191">
        <v>0.03</v>
      </c>
      <c r="BI13" s="191">
        <v>0.1</v>
      </c>
      <c r="BJ13" s="191">
        <v>0.3</v>
      </c>
      <c r="BK13" s="191">
        <v>1</v>
      </c>
      <c r="BL13" s="191">
        <v>3</v>
      </c>
      <c r="BM13" s="191">
        <v>10</v>
      </c>
      <c r="BN13" s="191">
        <v>30</v>
      </c>
      <c r="BP13" s="139">
        <v>10</v>
      </c>
      <c r="BQ13" s="151">
        <v>9.9999760000000002</v>
      </c>
      <c r="BR13" s="118">
        <v>8.0000000000000002E-3</v>
      </c>
      <c r="BT13" s="139">
        <v>100</v>
      </c>
      <c r="BU13" s="155">
        <v>99.999763000000002</v>
      </c>
      <c r="BV13" s="118">
        <v>6.7000000000000004E-2</v>
      </c>
      <c r="BX13" s="139">
        <v>0.2</v>
      </c>
      <c r="BY13" s="344">
        <v>0.20000899999999999</v>
      </c>
      <c r="BZ13" s="118">
        <v>5.0000000000000001E-3</v>
      </c>
      <c r="CB13" s="124" t="s">
        <v>187</v>
      </c>
      <c r="CC13" s="124">
        <v>19999.617999999999</v>
      </c>
      <c r="CD13" s="124">
        <v>45</v>
      </c>
    </row>
    <row r="14" spans="1:82" x14ac:dyDescent="0.3">
      <c r="I14">
        <v>5</v>
      </c>
      <c r="J14">
        <v>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Y14" s="43"/>
      <c r="BG14" s="310">
        <v>20</v>
      </c>
      <c r="BH14" s="191">
        <v>2.5000000000000001E-2</v>
      </c>
      <c r="BI14" s="191">
        <v>0.08</v>
      </c>
      <c r="BJ14" s="191">
        <v>0.25</v>
      </c>
      <c r="BK14" s="191">
        <v>0.8</v>
      </c>
      <c r="BL14" s="191">
        <v>2.5</v>
      </c>
      <c r="BM14" s="191">
        <v>8</v>
      </c>
      <c r="BN14" s="191">
        <v>25</v>
      </c>
      <c r="BP14" s="139">
        <v>5</v>
      </c>
      <c r="BQ14" s="138">
        <v>5.000006</v>
      </c>
      <c r="BR14" s="118">
        <v>7.0000000000000001E-3</v>
      </c>
      <c r="BT14" s="139">
        <v>50</v>
      </c>
      <c r="BU14" s="155">
        <v>49.999814000000001</v>
      </c>
      <c r="BV14" s="118">
        <v>4.2000000000000003E-2</v>
      </c>
      <c r="BX14" s="343" t="s">
        <v>363</v>
      </c>
      <c r="BY14" s="344">
        <v>0.20000200000000001</v>
      </c>
      <c r="BZ14" s="118">
        <v>5.0000000000000001E-3</v>
      </c>
      <c r="CB14" s="124" t="s">
        <v>188</v>
      </c>
      <c r="CC14" s="124">
        <v>19999.923999999999</v>
      </c>
      <c r="CD14" s="124">
        <v>45</v>
      </c>
    </row>
    <row r="15" spans="1:82" x14ac:dyDescent="0.3">
      <c r="I15">
        <v>6</v>
      </c>
      <c r="J15">
        <v>5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BG15" s="311">
        <v>10</v>
      </c>
      <c r="BH15" s="191">
        <v>0.02</v>
      </c>
      <c r="BI15" s="191">
        <v>0.06</v>
      </c>
      <c r="BJ15" s="191">
        <v>0.2</v>
      </c>
      <c r="BK15" s="191">
        <v>0.6</v>
      </c>
      <c r="BL15" s="191">
        <v>2</v>
      </c>
      <c r="BM15" s="191">
        <v>6</v>
      </c>
      <c r="BN15" s="191">
        <v>20</v>
      </c>
      <c r="BP15" s="139">
        <v>2</v>
      </c>
      <c r="BQ15" s="137">
        <v>2.000013</v>
      </c>
      <c r="BR15" s="118">
        <v>5.0000000000000001E-3</v>
      </c>
      <c r="BT15" s="139">
        <v>20</v>
      </c>
      <c r="BU15" s="156">
        <v>20.000008999999999</v>
      </c>
      <c r="BV15" s="118">
        <v>3.5999999999999997E-2</v>
      </c>
      <c r="BX15" s="139">
        <v>0.5</v>
      </c>
      <c r="BY15" s="345">
        <v>0.50000599999999995</v>
      </c>
      <c r="BZ15" s="118">
        <v>6.0000000000000001E-3</v>
      </c>
      <c r="CB15" s="124" t="s">
        <v>189</v>
      </c>
      <c r="CC15" s="124">
        <v>19999.988000000001</v>
      </c>
      <c r="CD15" s="124">
        <v>45</v>
      </c>
    </row>
    <row r="16" spans="1:82" x14ac:dyDescent="0.3">
      <c r="I16">
        <v>7</v>
      </c>
      <c r="J16">
        <v>5</v>
      </c>
      <c r="K16">
        <v>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AP16" s="43" t="s">
        <v>486</v>
      </c>
      <c r="BG16" s="310">
        <v>5</v>
      </c>
      <c r="BH16" s="191">
        <v>1.4999999999999999E-2</v>
      </c>
      <c r="BI16" s="191">
        <v>0.05</v>
      </c>
      <c r="BJ16" s="191">
        <v>0.15</v>
      </c>
      <c r="BK16" s="191">
        <v>0.5</v>
      </c>
      <c r="BL16" s="191">
        <v>1.5</v>
      </c>
      <c r="BM16" s="191">
        <v>5</v>
      </c>
      <c r="BN16" s="191">
        <v>15</v>
      </c>
      <c r="BP16" s="259" t="s">
        <v>362</v>
      </c>
      <c r="BQ16" s="137">
        <v>2.0000149999999999</v>
      </c>
      <c r="BR16" s="118">
        <v>5.0000000000000001E-3</v>
      </c>
      <c r="BT16" s="259" t="s">
        <v>361</v>
      </c>
      <c r="BU16" s="156">
        <v>20.000048</v>
      </c>
      <c r="BV16" s="118">
        <v>3.5999999999999997E-2</v>
      </c>
      <c r="BX16" s="251">
        <v>1</v>
      </c>
      <c r="BY16" s="118">
        <v>1.000016</v>
      </c>
      <c r="BZ16" s="118">
        <v>7.0000000000000001E-3</v>
      </c>
      <c r="CB16" s="124" t="s">
        <v>190</v>
      </c>
      <c r="CC16" s="124">
        <v>20000.776000000002</v>
      </c>
      <c r="CD16" s="124">
        <v>45</v>
      </c>
    </row>
    <row r="17" spans="9:82" x14ac:dyDescent="0.3">
      <c r="I17">
        <v>8</v>
      </c>
      <c r="J17">
        <v>5</v>
      </c>
      <c r="K17">
        <v>2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U17" s="295" t="s">
        <v>433</v>
      </c>
      <c r="V17" s="140"/>
      <c r="W17" s="140"/>
      <c r="BG17" s="311">
        <v>2</v>
      </c>
      <c r="BH17" s="191">
        <v>1.2E-2</v>
      </c>
      <c r="BI17" s="191">
        <v>0.04</v>
      </c>
      <c r="BJ17" s="191">
        <v>0.12</v>
      </c>
      <c r="BK17" s="191">
        <v>0.4</v>
      </c>
      <c r="BL17" s="191">
        <v>1.2</v>
      </c>
      <c r="BM17" s="191">
        <v>4</v>
      </c>
      <c r="BN17" s="191">
        <v>12</v>
      </c>
      <c r="BP17" s="139">
        <v>1</v>
      </c>
      <c r="BQ17" s="137">
        <v>0.99999700000000002</v>
      </c>
      <c r="BR17" s="118">
        <v>5.0000000000000001E-3</v>
      </c>
      <c r="BT17" s="139">
        <v>10</v>
      </c>
      <c r="BU17" s="155">
        <v>10.000017</v>
      </c>
      <c r="BV17" s="118">
        <v>3.2000000000000001E-2</v>
      </c>
      <c r="BX17" s="139">
        <v>2</v>
      </c>
      <c r="BY17" s="118">
        <v>1.999992</v>
      </c>
      <c r="BZ17" s="118">
        <v>8.9999999999999993E-3</v>
      </c>
      <c r="CB17" s="124" t="s">
        <v>191</v>
      </c>
      <c r="CC17" s="124">
        <v>20000.038</v>
      </c>
      <c r="CD17" s="124">
        <v>45</v>
      </c>
    </row>
    <row r="18" spans="9:82" x14ac:dyDescent="0.3">
      <c r="I18">
        <v>9</v>
      </c>
      <c r="J18">
        <v>5</v>
      </c>
      <c r="K18">
        <v>2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Y18" s="43" t="s">
        <v>380</v>
      </c>
      <c r="AL18" s="43" t="s">
        <v>407</v>
      </c>
      <c r="BG18" s="310">
        <v>1</v>
      </c>
      <c r="BH18" s="191">
        <v>0.01</v>
      </c>
      <c r="BI18" s="191">
        <v>0.03</v>
      </c>
      <c r="BJ18" s="191">
        <v>0.1</v>
      </c>
      <c r="BK18" s="191">
        <v>0.3</v>
      </c>
      <c r="BL18" s="191">
        <v>1</v>
      </c>
      <c r="BM18" s="191">
        <v>3</v>
      </c>
      <c r="BN18" s="191">
        <v>10</v>
      </c>
      <c r="BP18" s="139">
        <v>0.5</v>
      </c>
      <c r="BQ18" s="124">
        <v>0.50001799999999996</v>
      </c>
      <c r="BR18" s="124">
        <v>4.0000000000000001E-3</v>
      </c>
      <c r="BT18" s="139">
        <v>5</v>
      </c>
      <c r="BU18" s="155">
        <v>4.9999399999999996</v>
      </c>
      <c r="BV18" s="118">
        <v>0.05</v>
      </c>
      <c r="BX18" s="343" t="s">
        <v>362</v>
      </c>
      <c r="BY18" s="124">
        <v>1.9999910000000001</v>
      </c>
      <c r="BZ18" s="118">
        <v>8.9999999999999993E-3</v>
      </c>
      <c r="CB18" s="124" t="s">
        <v>192</v>
      </c>
      <c r="CC18" s="124">
        <v>20000.133999999998</v>
      </c>
      <c r="CD18" s="124">
        <v>45</v>
      </c>
    </row>
    <row r="19" spans="9:82" x14ac:dyDescent="0.3">
      <c r="I19">
        <v>10</v>
      </c>
      <c r="J19">
        <v>10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Z19">
        <v>1</v>
      </c>
      <c r="AA19">
        <v>2</v>
      </c>
      <c r="AB19">
        <v>3</v>
      </c>
      <c r="AC19">
        <v>4</v>
      </c>
      <c r="AD19">
        <v>5</v>
      </c>
      <c r="AE19">
        <v>6</v>
      </c>
      <c r="AF19">
        <v>7</v>
      </c>
      <c r="AG19">
        <v>8</v>
      </c>
      <c r="AH19">
        <v>9</v>
      </c>
      <c r="AI19">
        <v>10</v>
      </c>
      <c r="BG19" s="311">
        <v>0.5</v>
      </c>
      <c r="BH19" s="191">
        <v>8.0000000000000002E-3</v>
      </c>
      <c r="BI19" s="191">
        <v>2.5000000000000001E-2</v>
      </c>
      <c r="BJ19" s="191">
        <v>0.08</v>
      </c>
      <c r="BK19" s="191">
        <v>0.25</v>
      </c>
      <c r="BL19" s="191">
        <v>0.8</v>
      </c>
      <c r="BM19" s="191">
        <v>2.5</v>
      </c>
      <c r="BN19" s="191" t="s">
        <v>17</v>
      </c>
      <c r="BP19" s="139">
        <v>0.2</v>
      </c>
      <c r="BQ19" s="124">
        <v>0.200013</v>
      </c>
      <c r="BR19" s="124">
        <v>3.0000000000000001E-3</v>
      </c>
      <c r="BT19" s="139">
        <v>2</v>
      </c>
      <c r="BU19" s="155">
        <v>2</v>
      </c>
      <c r="BV19" s="118">
        <v>0.04</v>
      </c>
      <c r="BX19" s="139">
        <v>5</v>
      </c>
      <c r="BY19" s="118">
        <v>0.50000599999999995</v>
      </c>
      <c r="BZ19" s="118">
        <v>1.0999999999999999E-2</v>
      </c>
      <c r="CB19" s="124" t="s">
        <v>193</v>
      </c>
      <c r="CC19" s="124">
        <v>20000.665000000001</v>
      </c>
      <c r="CD19" s="124">
        <v>45</v>
      </c>
    </row>
    <row r="20" spans="9:82" x14ac:dyDescent="0.3">
      <c r="I20">
        <v>20</v>
      </c>
      <c r="J20">
        <v>20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Y20" s="128" t="s">
        <v>382</v>
      </c>
      <c r="Z20" s="124" t="s">
        <v>365</v>
      </c>
      <c r="AA20" s="124" t="s">
        <v>365</v>
      </c>
      <c r="AB20" s="124" t="s">
        <v>365</v>
      </c>
      <c r="AC20" s="124" t="s">
        <v>365</v>
      </c>
      <c r="AD20" s="124" t="s">
        <v>365</v>
      </c>
      <c r="AE20" s="124" t="s">
        <v>365</v>
      </c>
      <c r="AF20" s="124" t="s">
        <v>365</v>
      </c>
      <c r="AG20" s="124" t="s">
        <v>365</v>
      </c>
      <c r="AH20" s="124" t="s">
        <v>365</v>
      </c>
      <c r="AI20" s="124" t="s">
        <v>365</v>
      </c>
      <c r="AL20" s="128" t="s">
        <v>408</v>
      </c>
      <c r="AM20" s="128" t="s">
        <v>409</v>
      </c>
      <c r="AN20" s="128" t="s">
        <v>410</v>
      </c>
      <c r="AO20" s="128" t="s">
        <v>411</v>
      </c>
      <c r="AP20" s="128" t="s">
        <v>412</v>
      </c>
      <c r="AQ20" s="128" t="s">
        <v>413</v>
      </c>
      <c r="AR20" s="128" t="s">
        <v>414</v>
      </c>
      <c r="AS20" s="128" t="s">
        <v>415</v>
      </c>
      <c r="AT20" s="128" t="s">
        <v>416</v>
      </c>
      <c r="AU20" s="128" t="s">
        <v>417</v>
      </c>
      <c r="AV20" s="128" t="s">
        <v>434</v>
      </c>
      <c r="AW20" s="128" t="s">
        <v>435</v>
      </c>
      <c r="AX20" s="128" t="s">
        <v>487</v>
      </c>
      <c r="AY20" s="128" t="s">
        <v>488</v>
      </c>
      <c r="AZ20" s="128" t="s">
        <v>489</v>
      </c>
      <c r="BA20" s="128" t="s">
        <v>490</v>
      </c>
      <c r="BB20" s="43"/>
      <c r="BC20" s="43"/>
      <c r="BD20" s="43"/>
      <c r="BE20" s="43"/>
      <c r="BG20" s="310">
        <v>0.2</v>
      </c>
      <c r="BH20" s="191">
        <v>6.0000000000000001E-3</v>
      </c>
      <c r="BI20" s="191">
        <v>0.02</v>
      </c>
      <c r="BJ20" s="191">
        <v>0.06</v>
      </c>
      <c r="BK20" s="191">
        <v>0.2</v>
      </c>
      <c r="BL20" s="191">
        <v>0.6</v>
      </c>
      <c r="BM20" s="191">
        <v>2</v>
      </c>
      <c r="BN20" s="191" t="s">
        <v>17</v>
      </c>
      <c r="BP20" s="124" t="s">
        <v>363</v>
      </c>
      <c r="BQ20" s="124">
        <v>0.200015</v>
      </c>
      <c r="BR20" s="124">
        <v>3.0000000000000001E-3</v>
      </c>
      <c r="BT20" s="259" t="s">
        <v>362</v>
      </c>
      <c r="BU20" s="240">
        <v>1.9999800000000001</v>
      </c>
      <c r="BV20" s="118">
        <v>0.04</v>
      </c>
      <c r="BX20" s="251">
        <v>10</v>
      </c>
      <c r="BY20" s="118">
        <v>10.000033</v>
      </c>
      <c r="BZ20" s="118">
        <v>1.4E-2</v>
      </c>
      <c r="CB20" s="124" t="s">
        <v>194</v>
      </c>
      <c r="CC20" s="124">
        <v>20001.643</v>
      </c>
      <c r="CD20" s="124">
        <v>45</v>
      </c>
    </row>
    <row r="21" spans="9:82" x14ac:dyDescent="0.3">
      <c r="I21">
        <v>30</v>
      </c>
      <c r="J21">
        <v>20</v>
      </c>
      <c r="K21">
        <v>10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Y21" s="124">
        <v>1</v>
      </c>
      <c r="Z21" s="124" cm="1">
        <f t="array" ref="Z21">IF('U95'!$C$19="custom",
INDEX($J$9:$S$349,MATCH('U95'!$B$69,$I$9:$I$349,0),Z19),
INDEX($J$9:$S$349,MATCH('U95'!$B$68,$I$9:$I$349,0),Z19))</f>
        <v>20000</v>
      </c>
      <c r="AA21" s="124" cm="1">
        <f t="array" ref="AA21">IF('U95'!$C$19="custom",
INDEX($J$9:$S$349,MATCH('U95'!$B$69,$I$9:$I$349,0),AA19),INDEX($J$9:$S$349,MATCH('U95'!$B$68,$I$9:$I$349,0),AA19))</f>
        <v>0</v>
      </c>
      <c r="AB21" s="124" cm="1">
        <f t="array" ref="AB21">IF('U95'!$C$19="custom",
INDEX($J$9:$S$349,MATCH('U95'!$B$69,$I$9:$I$349,0),AB19),INDEX($J$9:$S$349,MATCH('U95'!$B$68,$I$9:$I$349,0),AB19))</f>
        <v>0</v>
      </c>
      <c r="AC21" s="124" cm="1">
        <f t="array" ref="AC21">IF('U95'!$C$19="custom",
INDEX($J$9:$S$349,MATCH('U95'!$B$69,$I$9:$I$349,0),AC19),INDEX($J$9:$S$349,MATCH('U95'!$B$68,$I$9:$I$349,0),AC19))</f>
        <v>0</v>
      </c>
      <c r="AD21" s="124" cm="1">
        <f t="array" ref="AD21">IF('U95'!$C$19="custom",
INDEX($J$9:$S$349,MATCH('U95'!$B$69,$I$9:$I$349,0),AD19),INDEX($J$9:$S$349,MATCH('U95'!$B$68,$I$9:$I$349,0),AD19))</f>
        <v>0</v>
      </c>
      <c r="AE21" s="124" cm="1">
        <f t="array" ref="AE21">IF('U95'!$C$19="custom",
INDEX($J$9:$S$349,MATCH('U95'!$B$69,$I$9:$I$349,0),AE19),INDEX($J$9:$S$349,MATCH('U95'!$B$68,$I$9:$I$349,0),AE19))</f>
        <v>0</v>
      </c>
      <c r="AF21" s="124" cm="1">
        <f t="array" ref="AF21">IF('U95'!$C$19="custom",
INDEX($J$9:$S$349,MATCH('U95'!$B$69,$I$9:$I$349,0),AF19),INDEX($J$9:$S$349,MATCH('U95'!$B$68,$I$9:$I$349,0),AF19))</f>
        <v>0</v>
      </c>
      <c r="AG21" s="124" cm="1">
        <f t="array" ref="AG21">IF('U95'!$C$19="custom",
INDEX($J$9:$S$349,MATCH('U95'!$B$69,$I$9:$I$349,0),AG19),INDEX($J$9:$S$349,MATCH('U95'!$B$68,$I$9:$I$349,0),AG19))</f>
        <v>0</v>
      </c>
      <c r="AH21" s="124" cm="1">
        <f t="array" ref="AH21">IF('U95'!$C$19="custom",
INDEX($J$9:$S$349,MATCH('U95'!$B$69,$I$9:$I$349,0),AH19),INDEX($J$9:$S$349,MATCH('U95'!$B$68,$I$9:$I$349,0),AH19))</f>
        <v>0</v>
      </c>
      <c r="AI21" s="124" cm="1">
        <f t="array" ref="AI21">IF('U95'!$C$19="custom",
INDEX($J$9:$S$349,MATCH('U95'!$B$69,$I$9:$I$349,0),AI19),INDEX($J$9:$S$349,MATCH('U95'!$B$68,$I$9:$I$349,0),AI19))</f>
        <v>0</v>
      </c>
      <c r="AL21" s="124" cm="1">
        <f t="array" ref="AL21:AL30">TRANSPOSE(Z21:AI21)</f>
        <v>20000</v>
      </c>
      <c r="AM21" s="124" cm="1">
        <f t="array" ref="AM21:AM30">TRANSPOSE(Z22:AI22)</f>
        <v>20000</v>
      </c>
      <c r="AN21" s="124" cm="1">
        <f t="array" ref="AN21:AN30">TRANSPOSE(Z23:AI23)</f>
        <v>20000</v>
      </c>
      <c r="AO21" s="124" cm="1">
        <f t="array" ref="AO21:AO30">TRANSPOSE(Z24:AI24)</f>
        <v>0</v>
      </c>
      <c r="AP21" s="124" cm="1">
        <f t="array" ref="AP21:AP30">TRANSPOSE(Z25:AI25)</f>
        <v>0</v>
      </c>
      <c r="AQ21" s="124" cm="1">
        <f t="array" ref="AQ21:AQ30">TRANSPOSE(Z26:AI26)</f>
        <v>0</v>
      </c>
      <c r="AR21" s="124" cm="1">
        <f t="array" ref="AR21:AR30">TRANSPOSE(Z27:AI27)</f>
        <v>0</v>
      </c>
      <c r="AS21" s="124" t="e" cm="1">
        <f t="array" ref="AS21:AS30">TRANSPOSE(Z28:AI28)</f>
        <v>#N/A</v>
      </c>
      <c r="AT21" s="124" t="e" cm="1">
        <f t="array" ref="AT21:AT30">TRANSPOSE(Z29:AI29)</f>
        <v>#N/A</v>
      </c>
      <c r="AU21" s="124" t="e" cm="1">
        <f t="array" ref="AU21:AU30">TRANSPOSE(Z30:AI30)</f>
        <v>#N/A</v>
      </c>
      <c r="AV21" s="124" cm="1">
        <f t="array" ref="AV21:AV30">TRANSPOSE(Z31:AI31)</f>
        <v>20000</v>
      </c>
      <c r="AW21" s="124">
        <f t="array" ref="AW21:AW30">TRANSPOSE(Z32:AI32)</f>
        <v>20000</v>
      </c>
      <c r="AX21" s="124">
        <f t="array" ref="AX21">TRANSPOSE($Z$33:$AI$33)</f>
        <v>20000</v>
      </c>
      <c r="AY21" s="124">
        <f t="array" ref="AY21">TRANSPOSE($Z$34:$AI$34)</f>
        <v>20000</v>
      </c>
      <c r="AZ21" s="124">
        <f t="array" ref="AZ21">TRANSPOSE($Z$35:$AI$35)</f>
        <v>20000</v>
      </c>
      <c r="BA21" s="124">
        <f t="array" ref="BA21">TRANSPOSE($Z$36:$AI$36)</f>
        <v>20000</v>
      </c>
      <c r="BG21" s="311">
        <v>0.1</v>
      </c>
      <c r="BH21" s="191">
        <v>5.0000000000000001E-3</v>
      </c>
      <c r="BI21" s="191">
        <v>1.4999999999999999E-2</v>
      </c>
      <c r="BJ21" s="191">
        <v>0.05</v>
      </c>
      <c r="BK21" s="191">
        <v>0.15</v>
      </c>
      <c r="BL21" s="191">
        <v>0.5</v>
      </c>
      <c r="BM21" s="191">
        <v>1.5</v>
      </c>
      <c r="BN21" s="191" t="s">
        <v>17</v>
      </c>
      <c r="BP21" s="139">
        <v>0.1</v>
      </c>
      <c r="BQ21" s="124">
        <v>0.10000299999999999</v>
      </c>
      <c r="BR21" s="124">
        <v>2E-3</v>
      </c>
      <c r="BT21" s="139">
        <v>1</v>
      </c>
      <c r="BU21" s="240">
        <v>1</v>
      </c>
      <c r="BV21" s="241">
        <v>0.03</v>
      </c>
      <c r="BX21" s="139">
        <v>20</v>
      </c>
      <c r="BY21" s="118">
        <v>20.000035</v>
      </c>
      <c r="BZ21" s="118">
        <v>1.7999999999999999E-2</v>
      </c>
      <c r="CB21" s="124" t="s">
        <v>195</v>
      </c>
      <c r="CC21" s="124">
        <v>10001.52</v>
      </c>
      <c r="CD21" s="124">
        <v>26</v>
      </c>
    </row>
    <row r="22" spans="9:82" x14ac:dyDescent="0.3">
      <c r="I22">
        <v>40</v>
      </c>
      <c r="J22">
        <v>20</v>
      </c>
      <c r="K22" s="43" t="s">
        <v>361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Y22" s="124">
        <f>Y21+1</f>
        <v>2</v>
      </c>
      <c r="Z22" s="124" cm="1">
        <f t="array" ref="Z22">IF('U95'!$C$19="custom",
INDEX($J$9:$S$349,MATCH('U95'!$B$73,$I$9:$I$349,0),Z19),
INDEX($J$9:$S$349,MATCH('U95'!$B$72,$I$9:$I$349,0),Z19))</f>
        <v>20000</v>
      </c>
      <c r="AA22" s="124" cm="1">
        <f t="array" ref="AA22">IF('U95'!$C$19="custom",
INDEX($J$9:$S$349,MATCH('U95'!$B$73,$I$9:$I$349,0),AA19),
INDEX($J$9:$S$349,MATCH('U95'!$B$72,$I$9:$I$349,0),AA19))</f>
        <v>20000</v>
      </c>
      <c r="AB22" s="124" cm="1">
        <f t="array" ref="AB22">IF('U95'!$C$19="custom",
INDEX($J$9:$S$349,MATCH('U95'!$B$73,$I$9:$I$349,0),AB19),
INDEX($J$9:$S$349,MATCH('U95'!$B$72,$I$9:$I$349,0),AB19))</f>
        <v>0</v>
      </c>
      <c r="AC22" s="124" cm="1">
        <f t="array" ref="AC22">IF('U95'!$C$19="custom",
INDEX($J$9:$S$349,MATCH('U95'!$B$73,$I$9:$I$349,0),AC19),
INDEX($J$9:$S$349,MATCH('U95'!$B$72,$I$9:$I$349,0),AC19))</f>
        <v>0</v>
      </c>
      <c r="AD22" s="124" cm="1">
        <f t="array" ref="AD22">IF('U95'!$C$19="custom",
INDEX($J$9:$S$349,MATCH('U95'!$B$73,$I$9:$I$349,0),AD19),
INDEX($J$9:$S$349,MATCH('U95'!$B$72,$I$9:$I$349,0),AD19))</f>
        <v>0</v>
      </c>
      <c r="AE22" s="124" cm="1">
        <f t="array" ref="AE22">IF('U95'!$C$19="custom",
INDEX($J$9:$S$349,MATCH('U95'!$B$73,$I$9:$I$349,0),AE19),
INDEX($J$9:$S$349,MATCH('U95'!$B$72,$I$9:$I$349,0),AE19))</f>
        <v>0</v>
      </c>
      <c r="AF22" s="124" cm="1">
        <f t="array" ref="AF22">IF('U95'!$C$19="custom",
INDEX($J$9:$S$349,MATCH('U95'!$B$73,$I$9:$I$349,0),AF19),
INDEX($J$9:$S$349,MATCH('U95'!$B$72,$I$9:$I$349,0),AF19))</f>
        <v>0</v>
      </c>
      <c r="AG22" s="124" cm="1">
        <f t="array" ref="AG22">IF('U95'!$C$19="custom",
INDEX($J$9:$S$349,MATCH('U95'!$B$73,$I$9:$I$349,0),AG19),
INDEX($J$9:$S$349,MATCH('U95'!$B$72,$I$9:$I$349,0),AG19))</f>
        <v>0</v>
      </c>
      <c r="AH22" s="124" cm="1">
        <f t="array" ref="AH22">IF('U95'!$C$19="custom",
INDEX($J$9:$S$349,MATCH('U95'!$B$73,$I$9:$I$349,0),AH19),
INDEX($J$9:$S$349,MATCH('U95'!$B$72,$I$9:$I$349,0),AH19))</f>
        <v>0</v>
      </c>
      <c r="AI22" s="124" cm="1">
        <f t="array" ref="AI22">IF('U95'!$C$19="custom",
INDEX($J$9:$S$349,MATCH('U95'!$B$73,$I$9:$I$349,0),AI19),
INDEX($J$9:$S$349,MATCH('U95'!$B$72,$I$9:$I$349,0),AI19))</f>
        <v>0</v>
      </c>
      <c r="AL22" s="124">
        <v>0</v>
      </c>
      <c r="AM22" s="124">
        <v>20000</v>
      </c>
      <c r="AN22" s="124">
        <v>20000</v>
      </c>
      <c r="AO22" s="124">
        <v>0</v>
      </c>
      <c r="AP22" s="124">
        <v>0</v>
      </c>
      <c r="AQ22" s="124">
        <v>0</v>
      </c>
      <c r="AR22" s="124">
        <v>0</v>
      </c>
      <c r="AS22" s="124" t="e">
        <v>#N/A</v>
      </c>
      <c r="AT22" s="124" t="e">
        <v>#N/A</v>
      </c>
      <c r="AU22" s="124" t="e">
        <v>#N/A</v>
      </c>
      <c r="AV22" s="124">
        <v>0</v>
      </c>
      <c r="AW22" s="124">
        <v>0</v>
      </c>
      <c r="AX22" s="124">
        <f t="array" ref="AX22">TRANSPOSE($Z$33:$AI$33)</f>
        <v>20000</v>
      </c>
      <c r="AY22" s="124">
        <f t="array" ref="AY22">TRANSPOSE($Z$34:$AI$34)</f>
        <v>20000</v>
      </c>
      <c r="AZ22" s="124">
        <f t="array" ref="AZ22">TRANSPOSE($Z$35:$AI$35)</f>
        <v>20000</v>
      </c>
      <c r="BA22" s="124">
        <f t="array" ref="BA22">TRANSPOSE($Z$36:$AI$36)</f>
        <v>20000</v>
      </c>
      <c r="BG22" s="310">
        <v>0.05</v>
      </c>
      <c r="BH22" s="191">
        <v>4.0000000000000001E-3</v>
      </c>
      <c r="BI22" s="191">
        <v>1.2E-2</v>
      </c>
      <c r="BJ22" s="191">
        <v>0.04</v>
      </c>
      <c r="BK22" s="191">
        <v>0.12</v>
      </c>
      <c r="BL22" s="191">
        <v>0.4</v>
      </c>
      <c r="BM22" s="191" t="s">
        <v>17</v>
      </c>
      <c r="BN22" s="191" t="s">
        <v>17</v>
      </c>
      <c r="BX22" s="343" t="s">
        <v>361</v>
      </c>
      <c r="BY22" s="118">
        <v>20.000038</v>
      </c>
      <c r="BZ22" s="124">
        <v>1.7999999999999999E-2</v>
      </c>
      <c r="CB22" s="124" t="s">
        <v>197</v>
      </c>
      <c r="CC22" s="124">
        <v>4998.9179999999997</v>
      </c>
      <c r="CD22" s="124">
        <v>13.6</v>
      </c>
    </row>
    <row r="23" spans="9:82" x14ac:dyDescent="0.3">
      <c r="I23">
        <v>50</v>
      </c>
      <c r="J23">
        <v>50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Y23" s="124">
        <f t="shared" ref="Y23:Y36" si="0">Y22+1</f>
        <v>3</v>
      </c>
      <c r="Z23" s="124" cm="1">
        <f t="array" ref="Z23">IF('U95'!$C$19="custom",
INDEX($J$9:$S$349,MATCH('U95'!$B$77,$I$9:$I$349,0),Z19),
INDEX($J$9:$S$349,MATCH('U95'!$B$76,$I$9:$I$349,0),Z19))</f>
        <v>20000</v>
      </c>
      <c r="AA23" s="124" cm="1">
        <f t="array" ref="AA23">IF('U95'!$C$19="custom",
INDEX($J$9:$S$349,MATCH('U95'!$B$77,$I$9:$I$349,0),AA19),
INDEX($J$9:$S$349,MATCH('U95'!$B$76,$I$9:$I$349,0),AA19))</f>
        <v>20000</v>
      </c>
      <c r="AB23" s="124" cm="1">
        <f t="array" ref="AB23">IF('U95'!$C$19="custom",
INDEX($J$9:$S$349,MATCH('U95'!$B$77,$I$9:$I$349,0),AB19),
INDEX($J$9:$S$349,MATCH('U95'!$B$76,$I$9:$I$349,0),AB19))</f>
        <v>20000</v>
      </c>
      <c r="AC23" s="124" cm="1">
        <f t="array" ref="AC23">IF('U95'!$C$19="custom",
INDEX($J$9:$S$349,MATCH('U95'!$B$77,$I$9:$I$349,0),AC19),
INDEX($J$9:$S$349,MATCH('U95'!$B$76,$I$9:$I$349,0),AC19))</f>
        <v>0</v>
      </c>
      <c r="AD23" s="124" cm="1">
        <f t="array" ref="AD23">IF('U95'!$C$19="custom",
INDEX($J$9:$S$349,MATCH('U95'!$B$77,$I$9:$I$349,0),AD19),
INDEX($J$9:$S$349,MATCH('U95'!$B$76,$I$9:$I$349,0),AD19))</f>
        <v>0</v>
      </c>
      <c r="AE23" s="124" cm="1">
        <f t="array" ref="AE23">IF('U95'!$C$19="custom",
INDEX($J$9:$S$349,MATCH('U95'!$B$77,$I$9:$I$349,0),AE19),
INDEX($J$9:$S$349,MATCH('U95'!$B$76,$I$9:$I$349,0),AE19))</f>
        <v>0</v>
      </c>
      <c r="AF23" s="124" cm="1">
        <f t="array" ref="AF23">IF('U95'!$C$19="custom",
INDEX($J$9:$S$349,MATCH('U95'!$B$77,$I$9:$I$349,0),AF19),
INDEX($J$9:$S$349,MATCH('U95'!$B$76,$I$9:$I$349,0),AF19))</f>
        <v>0</v>
      </c>
      <c r="AG23" s="124" cm="1">
        <f t="array" ref="AG23">IF('U95'!$C$19="custom",
INDEX($J$9:$S$349,MATCH('U95'!$B$77,$I$9:$I$349,0),AG19),
INDEX($J$9:$S$349,MATCH('U95'!$B$76,$I$9:$I$349,0),AG19))</f>
        <v>0</v>
      </c>
      <c r="AH23" s="124" cm="1">
        <f t="array" ref="AH23">IF('U95'!$C$19="custom",
INDEX($J$9:$S$349,MATCH('U95'!$B$77,$I$9:$I$349,0),AH19),
INDEX($J$9:$S$349,MATCH('U95'!$B$76,$I$9:$I$349,0),AH19))</f>
        <v>0</v>
      </c>
      <c r="AI23" s="124" cm="1">
        <f t="array" ref="AI23">IF('U95'!$C$19="custom",
INDEX($J$9:$S$349,MATCH('U95'!$B$77,$I$9:$I$349,0),AI19),
INDEX($J$9:$S$349,MATCH('U95'!$B$76,$I$9:$I$349,0),AI19))</f>
        <v>0</v>
      </c>
      <c r="AL23" s="124">
        <v>0</v>
      </c>
      <c r="AM23" s="124">
        <v>0</v>
      </c>
      <c r="AN23" s="124">
        <v>20000</v>
      </c>
      <c r="AO23" s="124">
        <v>0</v>
      </c>
      <c r="AP23" s="124">
        <v>0</v>
      </c>
      <c r="AQ23" s="124">
        <v>0</v>
      </c>
      <c r="AR23" s="124">
        <v>0</v>
      </c>
      <c r="AS23" s="124" t="e">
        <v>#N/A</v>
      </c>
      <c r="AT23" s="124" t="e">
        <v>#N/A</v>
      </c>
      <c r="AU23" s="124" t="e">
        <v>#N/A</v>
      </c>
      <c r="AV23" s="124">
        <v>0</v>
      </c>
      <c r="AW23" s="124">
        <v>0</v>
      </c>
      <c r="AX23" s="124">
        <f t="array" ref="AX23">TRANSPOSE($Z$33:$AI$33)</f>
        <v>20000</v>
      </c>
      <c r="AY23" s="124">
        <f t="array" ref="AY23">TRANSPOSE($Z$34:$AI$34)</f>
        <v>20000</v>
      </c>
      <c r="AZ23" s="124">
        <f t="array" ref="AZ23">TRANSPOSE($Z$35:$AI$35)</f>
        <v>20000</v>
      </c>
      <c r="BA23" s="124">
        <f t="array" ref="BA23">TRANSPOSE($Z$36:$AI$36)</f>
        <v>20000</v>
      </c>
      <c r="BG23" s="311">
        <v>0.02</v>
      </c>
      <c r="BH23" s="191">
        <v>3.0000000000000001E-3</v>
      </c>
      <c r="BI23" s="191">
        <v>0.01</v>
      </c>
      <c r="BJ23" s="191">
        <v>0.03</v>
      </c>
      <c r="BK23" s="191">
        <v>0.1</v>
      </c>
      <c r="BL23" s="191">
        <v>0.3</v>
      </c>
      <c r="BM23" s="191" t="s">
        <v>17</v>
      </c>
      <c r="BN23" s="191" t="s">
        <v>17</v>
      </c>
      <c r="BX23" s="139">
        <v>50</v>
      </c>
      <c r="BY23" s="124">
        <v>50.000019999999999</v>
      </c>
      <c r="BZ23" s="124">
        <v>0.03</v>
      </c>
      <c r="CB23" s="124" t="s">
        <v>198</v>
      </c>
      <c r="CC23" s="124">
        <v>9999.4040000000005</v>
      </c>
      <c r="CD23" s="124">
        <v>26</v>
      </c>
    </row>
    <row r="24" spans="9:82" x14ac:dyDescent="0.3">
      <c r="I24">
        <v>60</v>
      </c>
      <c r="J24">
        <v>50</v>
      </c>
      <c r="K24">
        <v>10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Y24" s="124">
        <f t="shared" si="0"/>
        <v>4</v>
      </c>
      <c r="Z24" s="124" cm="1">
        <f t="array" ref="Z24">IF('U95'!$C$19="custom",
INDEX($J$9:$S$349,MATCH('U95'!$B$81,$I$9:$I$349,0),Z19),
INDEX($J$9:$S$349,MATCH('U95'!$B$80,$I$9:$I$349,0),Z19))</f>
        <v>0</v>
      </c>
      <c r="AA24" s="124" cm="1">
        <f t="array" ref="AA24">IF('U95'!$C$19="custom",
INDEX($J$9:$S$349,MATCH('U95'!$B$81,$I$9:$I$349,0),AA19),
INDEX($J$9:$S$349,MATCH('U95'!$B$80,$I$9:$I$349,0),AA19))</f>
        <v>0</v>
      </c>
      <c r="AB24" s="124" cm="1">
        <f t="array" ref="AB24">IF('U95'!$C$19="custom",
INDEX($J$9:$S$349,MATCH('U95'!$B$81,$I$9:$I$349,0),AB19),
INDEX($J$9:$S$349,MATCH('U95'!$B$80,$I$9:$I$349,0),AB19))</f>
        <v>0</v>
      </c>
      <c r="AC24" s="124" cm="1">
        <f t="array" ref="AC24">IF('U95'!$C$19="custom",
INDEX($J$9:$S$349,MATCH('U95'!$B$81,$I$9:$I$349,0),AC19),
INDEX($J$9:$S$349,MATCH('U95'!$B$80,$I$9:$I$349,0),AC19))</f>
        <v>0</v>
      </c>
      <c r="AD24" s="124" cm="1">
        <f t="array" ref="AD24">IF('U95'!$C$19="custom",
INDEX($J$9:$S$349,MATCH('U95'!$B$81,$I$9:$I$349,0),AD19),
INDEX($J$9:$S$349,MATCH('U95'!$B$80,$I$9:$I$349,0),AD19))</f>
        <v>0</v>
      </c>
      <c r="AE24" s="124" cm="1">
        <f t="array" ref="AE24">IF('U95'!$C$19="custom",
INDEX($J$9:$S$349,MATCH('U95'!$B$81,$I$9:$I$349,0),AE19),
INDEX($J$9:$S$349,MATCH('U95'!$B$80,$I$9:$I$349,0),AE19))</f>
        <v>0</v>
      </c>
      <c r="AF24" s="124" cm="1">
        <f t="array" ref="AF24">IF('U95'!$C$19="custom",
INDEX($J$9:$S$349,MATCH('U95'!$B$81,$I$9:$I$349,0),AF19),
INDEX($J$9:$S$349,MATCH('U95'!$B$80,$I$9:$I$349,0),AF19))</f>
        <v>0</v>
      </c>
      <c r="AG24" s="124" cm="1">
        <f t="array" ref="AG24">IF('U95'!$C$19="custom",
INDEX($J$9:$S$349,MATCH('U95'!$B$81,$I$9:$I$349,0),AG19),
INDEX($J$9:$S$349,MATCH('U95'!$B$80,$I$9:$I$349,0),AG19))</f>
        <v>0</v>
      </c>
      <c r="AH24" s="124" cm="1">
        <f t="array" ref="AH24">IF('U95'!$C$19="custom",
INDEX($J$9:$S$349,MATCH('U95'!$B$81,$I$9:$I$349,0),AH19),
INDEX($J$9:$S$349,MATCH('U95'!$B$80,$I$9:$I$349,0),AH19))</f>
        <v>0</v>
      </c>
      <c r="AI24" s="124" cm="1">
        <f t="array" ref="AI24">IF('U95'!$C$19="custom",
INDEX($J$9:$S$349,MATCH('U95'!$B$81,$I$9:$I$349,0),AI19),
INDEX($J$9:$S$349,MATCH('U95'!$B$80,$I$9:$I$349,0),AI19))</f>
        <v>0</v>
      </c>
      <c r="AL24" s="124">
        <v>0</v>
      </c>
      <c r="AM24" s="124">
        <v>0</v>
      </c>
      <c r="AN24" s="124">
        <v>0</v>
      </c>
      <c r="AO24" s="124">
        <v>0</v>
      </c>
      <c r="AP24" s="124">
        <v>0</v>
      </c>
      <c r="AQ24" s="124">
        <v>0</v>
      </c>
      <c r="AR24" s="124">
        <v>0</v>
      </c>
      <c r="AS24" s="124" t="e">
        <v>#N/A</v>
      </c>
      <c r="AT24" s="124" t="e">
        <v>#N/A</v>
      </c>
      <c r="AU24" s="124" t="e">
        <v>#N/A</v>
      </c>
      <c r="AV24" s="124">
        <v>0</v>
      </c>
      <c r="AW24" s="124">
        <v>0</v>
      </c>
      <c r="AX24" s="124">
        <f t="array" ref="AX24">TRANSPOSE($Z$33:$AI$33)</f>
        <v>20000</v>
      </c>
      <c r="AY24" s="124">
        <f t="array" ref="AY24">TRANSPOSE($Z$34:$AI$34)</f>
        <v>20000</v>
      </c>
      <c r="AZ24" s="124">
        <f t="array" ref="AZ24">TRANSPOSE($Z$35:$AI$35)</f>
        <v>20000</v>
      </c>
      <c r="BA24" s="124">
        <f t="array" ref="BA24">TRANSPOSE($Z$36:$AI$36)</f>
        <v>20000</v>
      </c>
      <c r="BG24" s="310">
        <v>0.01</v>
      </c>
      <c r="BH24" s="191">
        <v>2E-3</v>
      </c>
      <c r="BI24" s="191">
        <v>8.0000000000000002E-3</v>
      </c>
      <c r="BJ24" s="191">
        <v>2.5000000000000001E-2</v>
      </c>
      <c r="BK24" s="191">
        <v>0.08</v>
      </c>
      <c r="BL24" s="191">
        <v>0.25</v>
      </c>
      <c r="BM24" s="191" t="s">
        <v>17</v>
      </c>
      <c r="BN24" s="191" t="s">
        <v>17</v>
      </c>
      <c r="BX24" s="139">
        <v>100</v>
      </c>
      <c r="BY24" s="124">
        <v>100.00029000000001</v>
      </c>
      <c r="BZ24" s="124">
        <v>0.05</v>
      </c>
      <c r="CB24" s="124" t="s">
        <v>199</v>
      </c>
      <c r="CC24" s="125">
        <v>19999.366000000002</v>
      </c>
      <c r="CD24" s="124">
        <v>45</v>
      </c>
    </row>
    <row r="25" spans="9:82" x14ac:dyDescent="0.3">
      <c r="I25">
        <v>70</v>
      </c>
      <c r="J25">
        <v>50</v>
      </c>
      <c r="K25">
        <v>20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Y25" s="124">
        <f t="shared" si="0"/>
        <v>5</v>
      </c>
      <c r="Z25" s="124" cm="1">
        <f t="array" ref="Z25">IF('U95'!$C$19="custom",
INDEX($J$9:$S$349,MATCH('U95'!$B$85,$I$9:$I$349,0),Z19),
INDEX($J$9:$S$349,MATCH('U95'!$B$84,$I$9:$I$349,0),Z19))</f>
        <v>0</v>
      </c>
      <c r="AA25" s="124" cm="1">
        <f t="array" ref="AA25">IF('U95'!$C$19="custom",
INDEX($J$9:$S$349,MATCH('U95'!$B$85,$I$9:$I$349,0),AA19),
INDEX($J$9:$S$349,MATCH('U95'!$B$84,$I$9:$I$349,0),AA19))</f>
        <v>0</v>
      </c>
      <c r="AB25" s="124" cm="1">
        <f t="array" ref="AB25">IF('U95'!$C$19="custom",
INDEX($J$9:$S$349,MATCH('U95'!$B$85,$I$9:$I$349,0),AB19),
INDEX($J$9:$S$349,MATCH('U95'!$B$84,$I$9:$I$349,0),AB19))</f>
        <v>0</v>
      </c>
      <c r="AC25" s="124" cm="1">
        <f t="array" ref="AC25">IF('U95'!$C$19="custom",
INDEX($J$9:$S$349,MATCH('U95'!$B$85,$I$9:$I$349,0),AC19),
INDEX($J$9:$S$349,MATCH('U95'!$B$84,$I$9:$I$349,0),AC19))</f>
        <v>0</v>
      </c>
      <c r="AD25" s="124" cm="1">
        <f t="array" ref="AD25">IF('U95'!$C$19="custom",
INDEX($J$9:$S$349,MATCH('U95'!$B$85,$I$9:$I$349,0),AD19),
INDEX($J$9:$S$349,MATCH('U95'!$B$84,$I$9:$I$349,0),AD19))</f>
        <v>0</v>
      </c>
      <c r="AE25" s="124" cm="1">
        <f t="array" ref="AE25">IF('U95'!$C$19="custom",
INDEX($J$9:$S$349,MATCH('U95'!$B$85,$I$9:$I$349,0),AE19),
INDEX($J$9:$S$349,MATCH('U95'!$B$84,$I$9:$I$349,0),AE19))</f>
        <v>0</v>
      </c>
      <c r="AF25" s="124" cm="1">
        <f t="array" ref="AF25">IF('U95'!$C$19="custom",
INDEX($J$9:$S$349,MATCH('U95'!$B$85,$I$9:$I$349,0),AF19),
INDEX($J$9:$S$349,MATCH('U95'!$B$84,$I$9:$I$349,0),AF19))</f>
        <v>0</v>
      </c>
      <c r="AG25" s="124" cm="1">
        <f t="array" ref="AG25">IF('U95'!$C$19="custom",
INDEX($J$9:$S$349,MATCH('U95'!$B$85,$I$9:$I$349,0),AG19),
INDEX($J$9:$S$349,MATCH('U95'!$B$84,$I$9:$I$349,0),AG19))</f>
        <v>0</v>
      </c>
      <c r="AH25" s="124" cm="1">
        <f t="array" ref="AH25">IF('U95'!$C$19="custom",
INDEX($J$9:$S$349,MATCH('U95'!$B$85,$I$9:$I$349,0),AH19),
INDEX($J$9:$S$349,MATCH('U95'!$B$84,$I$9:$I$349,0),AH19))</f>
        <v>0</v>
      </c>
      <c r="AI25" s="124" cm="1">
        <f t="array" ref="AI25">IF('U95'!$C$19="custom",
INDEX($J$9:$S$349,MATCH('U95'!$B$85,$I$9:$I$349,0),AI19),
INDEX($J$9:$S$349,MATCH('U95'!$B$84,$I$9:$I$349,0),AI19))</f>
        <v>0</v>
      </c>
      <c r="AL25" s="124">
        <v>0</v>
      </c>
      <c r="AM25" s="124">
        <v>0</v>
      </c>
      <c r="AN25" s="124">
        <v>0</v>
      </c>
      <c r="AO25" s="124">
        <v>0</v>
      </c>
      <c r="AP25" s="124">
        <v>0</v>
      </c>
      <c r="AQ25" s="124">
        <v>0</v>
      </c>
      <c r="AR25" s="124">
        <v>0</v>
      </c>
      <c r="AS25" s="124" t="e">
        <v>#N/A</v>
      </c>
      <c r="AT25" s="124" t="e">
        <v>#N/A</v>
      </c>
      <c r="AU25" s="124" t="e">
        <v>#N/A</v>
      </c>
      <c r="AV25" s="124">
        <v>0</v>
      </c>
      <c r="AW25" s="124">
        <v>0</v>
      </c>
      <c r="AX25" s="124">
        <f t="array" ref="AX25">TRANSPOSE($Z$33:$AI$33)</f>
        <v>20000</v>
      </c>
      <c r="AY25" s="124">
        <f t="array" ref="AY25">TRANSPOSE($Z$34:$AI$34)</f>
        <v>20000</v>
      </c>
      <c r="AZ25" s="124">
        <f t="array" ref="AZ25">TRANSPOSE($Z$35:$AI$35)</f>
        <v>20000</v>
      </c>
      <c r="BA25" s="124">
        <f t="array" ref="BA25">TRANSPOSE($Z$36:$AI$36)</f>
        <v>20000</v>
      </c>
      <c r="BG25" s="311">
        <v>5.0000000000000001E-3</v>
      </c>
      <c r="BH25" s="191">
        <v>2E-3</v>
      </c>
      <c r="BI25" s="191">
        <v>6.0000000000000001E-3</v>
      </c>
      <c r="BJ25" s="191">
        <v>0.02</v>
      </c>
      <c r="BK25" s="191">
        <v>0.06</v>
      </c>
      <c r="BL25" s="191">
        <v>0.2</v>
      </c>
      <c r="BM25" s="191" t="s">
        <v>17</v>
      </c>
      <c r="BN25" s="191" t="s">
        <v>17</v>
      </c>
      <c r="BX25" s="139">
        <v>200</v>
      </c>
      <c r="BY25" s="346">
        <v>200.00024999999999</v>
      </c>
      <c r="BZ25" s="124">
        <v>0.08</v>
      </c>
      <c r="CB25" s="124" t="s">
        <v>200</v>
      </c>
      <c r="CC25" s="125">
        <v>19999.187999999998</v>
      </c>
      <c r="CD25" s="124">
        <v>45</v>
      </c>
    </row>
    <row r="26" spans="9:82" x14ac:dyDescent="0.3">
      <c r="I26">
        <v>80</v>
      </c>
      <c r="J26">
        <v>50</v>
      </c>
      <c r="K26">
        <v>20</v>
      </c>
      <c r="L26">
        <v>10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Y26" s="124">
        <f t="shared" si="0"/>
        <v>6</v>
      </c>
      <c r="Z26" s="124" cm="1">
        <f t="array" ref="Z26">IF('U95'!$C$19="custom",
INDEX($J$9:$S$349,MATCH('U95'!$B$89,$I$9:$I$349,0),Z19),
INDEX($J$9:$S$349,MATCH('U95'!$B$88,$I$9:$I$349,0),Z19))</f>
        <v>0</v>
      </c>
      <c r="AA26" s="124" cm="1">
        <f t="array" ref="AA26">IF('U95'!$C$19="custom",
INDEX($J$9:$S$349,MATCH('U95'!$B$89,$I$9:$I$349,0),AA19),
INDEX($J$9:$S$349,MATCH('U95'!$B$88,$I$9:$I$349,0),AA19))</f>
        <v>0</v>
      </c>
      <c r="AB26" s="124" cm="1">
        <f t="array" ref="AB26">IF('U95'!$C$19="custom",
INDEX($J$9:$S$349,MATCH('U95'!$B$89,$I$9:$I$349,0),AB19),
INDEX($J$9:$S$349,MATCH('U95'!$B$88,$I$9:$I$349,0),AB19))</f>
        <v>0</v>
      </c>
      <c r="AC26" s="124" cm="1">
        <f t="array" ref="AC26">IF('U95'!$C$19="custom",
INDEX($J$9:$S$349,MATCH('U95'!$B$89,$I$9:$I$349,0),AC19),
INDEX($J$9:$S$349,MATCH('U95'!$B$88,$I$9:$I$349,0),AC19))</f>
        <v>0</v>
      </c>
      <c r="AD26" s="124" cm="1">
        <f t="array" ref="AD26">IF('U95'!$C$19="custom",
INDEX($J$9:$S$349,MATCH('U95'!$B$89,$I$9:$I$349,0),AD19),
INDEX($J$9:$S$349,MATCH('U95'!$B$88,$I$9:$I$349,0),AD19))</f>
        <v>0</v>
      </c>
      <c r="AE26" s="124" cm="1">
        <f t="array" ref="AE26">IF('U95'!$C$19="custom",
INDEX($J$9:$S$349,MATCH('U95'!$B$89,$I$9:$I$349,0),AE19),
INDEX($J$9:$S$349,MATCH('U95'!$B$88,$I$9:$I$349,0),AE19))</f>
        <v>0</v>
      </c>
      <c r="AF26" s="124" cm="1">
        <f t="array" ref="AF26">IF('U95'!$C$19="custom",
INDEX($J$9:$S$349,MATCH('U95'!$B$89,$I$9:$I$349,0),AF19),
INDEX($J$9:$S$349,MATCH('U95'!$B$88,$I$9:$I$349,0),AF19))</f>
        <v>0</v>
      </c>
      <c r="AG26" s="124" cm="1">
        <f t="array" ref="AG26">IF('U95'!$C$19="custom",
INDEX($J$9:$S$349,MATCH('U95'!$B$89,$I$9:$I$349,0),AG19),
INDEX($J$9:$S$349,MATCH('U95'!$B$88,$I$9:$I$349,0),AG19))</f>
        <v>0</v>
      </c>
      <c r="AH26" s="124" cm="1">
        <f t="array" ref="AH26">IF('U95'!$C$19="custom",
INDEX($J$9:$S$349,MATCH('U95'!$B$89,$I$9:$I$349,0),AH19),
INDEX($J$9:$S$349,MATCH('U95'!$B$88,$I$9:$I$349,0),AH19))</f>
        <v>0</v>
      </c>
      <c r="AI26" s="124" cm="1">
        <f t="array" ref="AI26">IF('U95'!$C$19="custom",
INDEX($J$9:$S$349,MATCH('U95'!$B$89,$I$9:$I$349,0),AI19),
INDEX($J$9:$S$349,MATCH('U95'!$B$88,$I$9:$I$349,0),AI19))</f>
        <v>0</v>
      </c>
      <c r="AL26" s="124">
        <v>0</v>
      </c>
      <c r="AM26" s="124">
        <v>0</v>
      </c>
      <c r="AN26" s="124">
        <v>0</v>
      </c>
      <c r="AO26" s="124">
        <v>0</v>
      </c>
      <c r="AP26" s="124">
        <v>0</v>
      </c>
      <c r="AQ26" s="124">
        <v>0</v>
      </c>
      <c r="AR26" s="124">
        <v>0</v>
      </c>
      <c r="AS26" s="124" t="e">
        <v>#N/A</v>
      </c>
      <c r="AT26" s="124" t="e">
        <v>#N/A</v>
      </c>
      <c r="AU26" s="124" t="e">
        <v>#N/A</v>
      </c>
      <c r="AV26" s="124">
        <v>0</v>
      </c>
      <c r="AW26" s="124">
        <v>0</v>
      </c>
      <c r="AX26" s="124">
        <f t="array" ref="AX26">TRANSPOSE($Z$33:$AI$33)</f>
        <v>20000</v>
      </c>
      <c r="AY26" s="124">
        <f t="array" ref="AY26">TRANSPOSE($Z$34:$AI$34)</f>
        <v>20000</v>
      </c>
      <c r="AZ26" s="124">
        <f t="array" ref="AZ26">TRANSPOSE($Z$35:$AI$35)</f>
        <v>20000</v>
      </c>
      <c r="BA26" s="124">
        <f t="array" ref="BA26">TRANSPOSE($Z$36:$AI$36)</f>
        <v>20000</v>
      </c>
      <c r="BG26" s="310">
        <v>2E-3</v>
      </c>
      <c r="BH26" s="191">
        <v>2E-3</v>
      </c>
      <c r="BI26" s="191">
        <v>6.0000000000000001E-3</v>
      </c>
      <c r="BJ26" s="191">
        <v>0.02</v>
      </c>
      <c r="BK26" s="191">
        <v>0.06</v>
      </c>
      <c r="BL26" s="191">
        <v>0.2</v>
      </c>
      <c r="BM26" s="191" t="s">
        <v>17</v>
      </c>
      <c r="BN26" s="191" t="s">
        <v>17</v>
      </c>
      <c r="BX26" s="343" t="s">
        <v>360</v>
      </c>
      <c r="BY26" s="124">
        <v>200.00024999999999</v>
      </c>
      <c r="BZ26" s="124">
        <v>0.08</v>
      </c>
      <c r="CB26" s="124" t="s">
        <v>174</v>
      </c>
      <c r="CC26" s="125">
        <v>19999.021000000001</v>
      </c>
      <c r="CD26" s="124">
        <v>45</v>
      </c>
    </row>
    <row r="27" spans="9:82" x14ac:dyDescent="0.3">
      <c r="I27">
        <v>90</v>
      </c>
      <c r="J27">
        <v>50</v>
      </c>
      <c r="K27">
        <v>20</v>
      </c>
      <c r="L27" s="43" t="s">
        <v>361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Y27" s="124">
        <f t="shared" si="0"/>
        <v>7</v>
      </c>
      <c r="Z27" s="124" cm="1">
        <f t="array" ref="Z27">IF('U95'!$C$19="custom",
INDEX($J$9:$S$349,MATCH('U95'!$B$93,$I$9:$I$349,0),Z19),
INDEX($J$9:$S$349,MATCH('U95'!$B$92,$I$9:$I$349,0),Z19))</f>
        <v>0</v>
      </c>
      <c r="AA27" s="124" cm="1">
        <f t="array" ref="AA27">IF('U95'!$C$19="custom",
INDEX($J$9:$S$349,MATCH('U95'!$B$93,$I$9:$I$349,0),AA19),
INDEX($J$9:$S$349,MATCH('U95'!$B$92,$I$9:$I$349,0),AA19))</f>
        <v>0</v>
      </c>
      <c r="AB27" s="124" cm="1">
        <f t="array" ref="AB27">IF('U95'!$C$19="custom",
INDEX($J$9:$S$349,MATCH('U95'!$B$93,$I$9:$I$349,0),AB19),
INDEX($J$9:$S$349,MATCH('U95'!$B$92,$I$9:$I$349,0),AB19))</f>
        <v>0</v>
      </c>
      <c r="AC27" s="124" cm="1">
        <f t="array" ref="AC27">IF('U95'!$C$19="custom",
INDEX($J$9:$S$349,MATCH('U95'!$B$93,$I$9:$I$349,0),AC19),
INDEX($J$9:$S$349,MATCH('U95'!$B$92,$I$9:$I$349,0),AC19))</f>
        <v>0</v>
      </c>
      <c r="AD27" s="124" cm="1">
        <f t="array" ref="AD27">IF('U95'!$C$19="custom",
INDEX($J$9:$S$349,MATCH('U95'!$B$93,$I$9:$I$349,0),AD19),
INDEX($J$9:$S$349,MATCH('U95'!$B$92,$I$9:$I$349,0),AD19))</f>
        <v>0</v>
      </c>
      <c r="AE27" s="124" cm="1">
        <f t="array" ref="AE27">IF('U95'!$C$19="custom",
INDEX($J$9:$S$349,MATCH('U95'!$B$93,$I$9:$I$349,0),AE19),
INDEX($J$9:$S$349,MATCH('U95'!$B$92,$I$9:$I$349,0),AE19))</f>
        <v>0</v>
      </c>
      <c r="AF27" s="124" cm="1">
        <f t="array" ref="AF27">IF('U95'!$C$19="custom",
INDEX($J$9:$S$349,MATCH('U95'!$B$93,$I$9:$I$349,0),AF19),
INDEX($J$9:$S$349,MATCH('U95'!$B$92,$I$9:$I$349,0),AF19))</f>
        <v>0</v>
      </c>
      <c r="AG27" s="124" cm="1">
        <f t="array" ref="AG27">IF('U95'!$C$19="custom",
INDEX($J$9:$S$349,MATCH('U95'!$B$93,$I$9:$I$349,0),AG19),
INDEX($J$9:$S$349,MATCH('U95'!$B$92,$I$9:$I$349,0),AG19))</f>
        <v>0</v>
      </c>
      <c r="AH27" s="124" cm="1">
        <f t="array" ref="AH27">IF('U95'!$C$19="custom",
INDEX($J$9:$S$349,MATCH('U95'!$B$93,$I$9:$I$349,0),AH19),
INDEX($J$9:$S$349,MATCH('U95'!$B$92,$I$9:$I$349,0),AH19))</f>
        <v>0</v>
      </c>
      <c r="AI27" s="124" cm="1">
        <f t="array" ref="AI27">IF('U95'!$C$19="custom",
INDEX($J$9:$S$349,MATCH('U95'!$B$93,$I$9:$I$349,0),AI19),
INDEX($J$9:$S$349,MATCH('U95'!$B$92,$I$9:$I$349,0),AI19))</f>
        <v>0</v>
      </c>
      <c r="AL27" s="124">
        <v>0</v>
      </c>
      <c r="AM27" s="124">
        <v>0</v>
      </c>
      <c r="AN27" s="124">
        <v>0</v>
      </c>
      <c r="AO27" s="124">
        <v>0</v>
      </c>
      <c r="AP27" s="124">
        <v>0</v>
      </c>
      <c r="AQ27" s="124">
        <v>0</v>
      </c>
      <c r="AR27" s="124">
        <v>0</v>
      </c>
      <c r="AS27" s="124" t="e">
        <v>#N/A</v>
      </c>
      <c r="AT27" s="124" t="e">
        <v>#N/A</v>
      </c>
      <c r="AU27" s="124" t="e">
        <v>#N/A</v>
      </c>
      <c r="AV27" s="124">
        <v>0</v>
      </c>
      <c r="AW27" s="124">
        <v>0</v>
      </c>
      <c r="AX27" s="124">
        <f t="array" ref="AX27">TRANSPOSE($Z$33:$AI$33)</f>
        <v>20000</v>
      </c>
      <c r="AY27" s="124">
        <f t="array" ref="AY27">TRANSPOSE($Z$34:$AI$34)</f>
        <v>20000</v>
      </c>
      <c r="AZ27" s="124">
        <f t="array" ref="AZ27">TRANSPOSE($Z$35:$AI$35)</f>
        <v>20000</v>
      </c>
      <c r="BA27" s="124">
        <f t="array" ref="BA27">TRANSPOSE($Z$36:$AI$36)</f>
        <v>20000</v>
      </c>
      <c r="BG27" s="311">
        <v>1E-3</v>
      </c>
      <c r="BH27" s="191">
        <v>2E-3</v>
      </c>
      <c r="BI27" s="191">
        <v>6.0000000000000001E-3</v>
      </c>
      <c r="BJ27" s="191">
        <v>0.02</v>
      </c>
      <c r="BK27" s="191">
        <v>0.06</v>
      </c>
      <c r="BL27" s="191">
        <v>0.2</v>
      </c>
      <c r="BM27" s="191" t="s">
        <v>17</v>
      </c>
      <c r="BN27" s="191" t="s">
        <v>17</v>
      </c>
      <c r="BX27" s="139">
        <v>500</v>
      </c>
      <c r="BY27" s="124">
        <v>500.00074999999998</v>
      </c>
      <c r="BZ27" s="124">
        <v>0.16</v>
      </c>
      <c r="CB27" s="124" t="s">
        <v>201</v>
      </c>
      <c r="CC27" s="125">
        <v>19999.273000000001</v>
      </c>
      <c r="CD27" s="124">
        <v>45</v>
      </c>
    </row>
    <row r="28" spans="9:82" x14ac:dyDescent="0.3">
      <c r="I28">
        <v>100</v>
      </c>
      <c r="J28">
        <v>100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Y28" s="124">
        <f t="shared" si="0"/>
        <v>8</v>
      </c>
      <c r="Z28" s="124" t="e" cm="1">
        <f t="array" ref="Z28">IF('U95'!$C$19="custom",
INDEX($J$9:$S$349,MATCH('U95'!$B$97,$I$9:$I$349,0),Z19),
INDEX($J$9:$S$349,MATCH('U95'!$B$96,$I$9:$I$349,0),Z19))</f>
        <v>#N/A</v>
      </c>
      <c r="AA28" s="124" t="e" cm="1">
        <f t="array" ref="AA28">IF('U95'!$C$19="custom",
INDEX($J$9:$S$349,MATCH('U95'!$B$97,$I$9:$I$349,0),AA19),
INDEX($J$9:$S$349,MATCH('U95'!$B$96,$I$9:$I$349,0),AA19))</f>
        <v>#N/A</v>
      </c>
      <c r="AB28" s="124" t="e" cm="1">
        <f t="array" ref="AB28">IF('U95'!$C$19="custom",
INDEX($J$9:$S$349,MATCH('U95'!$B$97,$I$9:$I$349,0),AB19),
INDEX($J$9:$S$349,MATCH('U95'!$B$96,$I$9:$I$349,0),AB19))</f>
        <v>#N/A</v>
      </c>
      <c r="AC28" s="124" t="e" cm="1">
        <f t="array" ref="AC28">IF('U95'!$C$19="custom",
INDEX($J$9:$S$349,MATCH('U95'!$B$97,$I$9:$I$349,0),AC19),
INDEX($J$9:$S$349,MATCH('U95'!$B$96,$I$9:$I$349,0),AC19))</f>
        <v>#N/A</v>
      </c>
      <c r="AD28" s="124" t="e" cm="1">
        <f t="array" ref="AD28">IF('U95'!$C$19="custom",
INDEX($J$9:$S$349,MATCH('U95'!$B$97,$I$9:$I$349,0),AD19),
INDEX($J$9:$S$349,MATCH('U95'!$B$96,$I$9:$I$349,0),AD19))</f>
        <v>#N/A</v>
      </c>
      <c r="AE28" s="124" t="e" cm="1">
        <f t="array" ref="AE28">IF('U95'!$C$19="custom",
INDEX($J$9:$S$349,MATCH('U95'!$B$97,$I$9:$I$349,0),AE19),
INDEX($J$9:$S$349,MATCH('U95'!$B$96,$I$9:$I$349,0),AE19))</f>
        <v>#N/A</v>
      </c>
      <c r="AF28" s="124" t="e" cm="1">
        <f t="array" ref="AF28">IF('U95'!$C$19="custom",
INDEX($J$9:$S$349,MATCH('U95'!$B$97,$I$9:$I$349,0),AF19),
INDEX($J$9:$S$349,MATCH('U95'!$B$96,$I$9:$I$349,0),AF19))</f>
        <v>#N/A</v>
      </c>
      <c r="AG28" s="124" t="e" cm="1">
        <f t="array" ref="AG28">IF('U95'!$C$19="custom",
INDEX($J$9:$S$349,MATCH('U95'!$B$97,$I$9:$I$349,0),AG19),
INDEX($J$9:$S$349,MATCH('U95'!$B$96,$I$9:$I$349,0),AG19))</f>
        <v>#N/A</v>
      </c>
      <c r="AH28" s="124" t="e" cm="1">
        <f t="array" ref="AH28">IF('U95'!$C$19="custom",
INDEX($J$9:$S$349,MATCH('U95'!$B$97,$I$9:$I$349,0),AH19),
INDEX($J$9:$S$349,MATCH('U95'!$B$96,$I$9:$I$349,0),AH19))</f>
        <v>#N/A</v>
      </c>
      <c r="AI28" s="124" t="e" cm="1">
        <f t="array" ref="AI28">IF('U95'!$C$19="custom",
INDEX($J$9:$S$349,MATCH('U95'!$B$97,$I$9:$I$349,0),AI19),
INDEX($J$9:$S$349,MATCH('U95'!$B$96,$I$9:$I$349,0),AI19))</f>
        <v>#N/A</v>
      </c>
      <c r="AL28" s="124">
        <v>0</v>
      </c>
      <c r="AM28" s="124">
        <v>0</v>
      </c>
      <c r="AN28" s="124">
        <v>0</v>
      </c>
      <c r="AO28" s="124">
        <v>0</v>
      </c>
      <c r="AP28" s="124">
        <v>0</v>
      </c>
      <c r="AQ28" s="124">
        <v>0</v>
      </c>
      <c r="AR28" s="124">
        <v>0</v>
      </c>
      <c r="AS28" s="124" t="e">
        <v>#N/A</v>
      </c>
      <c r="AT28" s="124" t="e">
        <v>#N/A</v>
      </c>
      <c r="AU28" s="124" t="e">
        <v>#N/A</v>
      </c>
      <c r="AV28" s="124">
        <v>0</v>
      </c>
      <c r="AW28" s="124">
        <v>0</v>
      </c>
      <c r="AX28" s="124">
        <f t="array" ref="AX28">TRANSPOSE($Z$33:$AI$33)</f>
        <v>20000</v>
      </c>
      <c r="AY28" s="124">
        <f t="array" ref="AY28">TRANSPOSE($Z$34:$AI$34)</f>
        <v>20000</v>
      </c>
      <c r="AZ28" s="124">
        <f t="array" ref="AZ28">TRANSPOSE($Z$35:$AI$35)</f>
        <v>20000</v>
      </c>
      <c r="BA28" s="124">
        <f t="array" ref="BA28">TRANSPOSE($Z$36:$AI$36)</f>
        <v>20000</v>
      </c>
      <c r="BX28" s="139">
        <v>1000</v>
      </c>
      <c r="BY28" s="124">
        <v>1000.00094</v>
      </c>
      <c r="BZ28" s="124">
        <v>0.16</v>
      </c>
      <c r="CB28" s="124" t="s">
        <v>202</v>
      </c>
      <c r="CC28" s="125">
        <v>19999.150000000001</v>
      </c>
      <c r="CD28" s="124">
        <v>45</v>
      </c>
    </row>
    <row r="29" spans="9:82" x14ac:dyDescent="0.3">
      <c r="I29">
        <v>110</v>
      </c>
      <c r="J29">
        <v>100</v>
      </c>
      <c r="K29">
        <v>10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Y29" s="124">
        <f t="shared" si="0"/>
        <v>9</v>
      </c>
      <c r="Z29" s="124" t="e" cm="1">
        <f t="array" ref="Z29">IF('U95'!$C$19="custom",
INDEX($J$9:$S$349,MATCH('U95'!$B$101,$I$9:$I$349,0),Z19),
INDEX($J$9:$S$349,MATCH('U95'!$B$100,$I$9:$I$349,0),Z19))</f>
        <v>#N/A</v>
      </c>
      <c r="AA29" s="124" t="e" cm="1">
        <f t="array" ref="AA29">IF('U95'!$C$19="custom",
INDEX($J$9:$S$349,MATCH('U95'!$B$101,$I$9:$I$349,0),AA19),
INDEX($J$9:$S$349,MATCH('U95'!$B$100,$I$9:$I$349,0),AA19))</f>
        <v>#N/A</v>
      </c>
      <c r="AB29" s="124" t="e" cm="1">
        <f t="array" ref="AB29">IF('U95'!$C$19="custom",
INDEX($J$9:$S$349,MATCH('U95'!$B$101,$I$9:$I$349,0),AB19),
INDEX($J$9:$S$349,MATCH('U95'!$B$100,$I$9:$I$349,0),AB19))</f>
        <v>#N/A</v>
      </c>
      <c r="AC29" s="124" t="e" cm="1">
        <f t="array" ref="AC29">IF('U95'!$C$19="custom",
INDEX($J$9:$S$349,MATCH('U95'!$B$101,$I$9:$I$349,0),AC19),
INDEX($J$9:$S$349,MATCH('U95'!$B$100,$I$9:$I$349,0),AC19))</f>
        <v>#N/A</v>
      </c>
      <c r="AD29" s="124" t="e" cm="1">
        <f t="array" ref="AD29">IF('U95'!$C$19="custom",
INDEX($J$9:$S$349,MATCH('U95'!$B$101,$I$9:$I$349,0),AD19),
INDEX($J$9:$S$349,MATCH('U95'!$B$100,$I$9:$I$349,0),AD19))</f>
        <v>#N/A</v>
      </c>
      <c r="AE29" s="124" t="e" cm="1">
        <f t="array" ref="AE29">IF('U95'!$C$19="custom",
INDEX($J$9:$S$349,MATCH('U95'!$B$101,$I$9:$I$349,0),AE19),
INDEX($J$9:$S$349,MATCH('U95'!$B$100,$I$9:$I$349,0),AE19))</f>
        <v>#N/A</v>
      </c>
      <c r="AF29" s="124" t="e" cm="1">
        <f t="array" ref="AF29">IF('U95'!$C$19="custom",
INDEX($J$9:$S$349,MATCH('U95'!$B$101,$I$9:$I$349,0),AF19),
INDEX($J$9:$S$349,MATCH('U95'!$B$100,$I$9:$I$349,0),AF19))</f>
        <v>#N/A</v>
      </c>
      <c r="AG29" s="124" t="e" cm="1">
        <f t="array" ref="AG29">IF('U95'!$C$19="custom",
INDEX($J$9:$S$349,MATCH('U95'!$B$101,$I$9:$I$349,0),AG19),
INDEX($J$9:$S$349,MATCH('U95'!$B$100,$I$9:$I$349,0),AG19))</f>
        <v>#N/A</v>
      </c>
      <c r="AH29" s="124" t="e" cm="1">
        <f t="array" ref="AH29">IF('U95'!$C$19="custom",
INDEX($J$9:$S$349,MATCH('U95'!$B$101,$I$9:$I$349,0),AH19),
INDEX($J$9:$S$349,MATCH('U95'!$B$100,$I$9:$I$349,0),AH19))</f>
        <v>#N/A</v>
      </c>
      <c r="AI29" s="124" t="e" cm="1">
        <f t="array" ref="AI29">IF('U95'!$C$19="custom",
INDEX($J$9:$S$349,MATCH('U95'!$B$101,$I$9:$I$349,0),AI19),
INDEX($J$9:$S$349,MATCH('U95'!$B$100,$I$9:$I$349,0),AI19))</f>
        <v>#N/A</v>
      </c>
      <c r="AL29" s="124">
        <v>0</v>
      </c>
      <c r="AM29" s="124">
        <v>0</v>
      </c>
      <c r="AN29" s="124">
        <v>0</v>
      </c>
      <c r="AO29" s="124">
        <v>0</v>
      </c>
      <c r="AP29" s="124">
        <v>0</v>
      </c>
      <c r="AQ29" s="124">
        <v>0</v>
      </c>
      <c r="AR29" s="124">
        <v>0</v>
      </c>
      <c r="AS29" s="124" t="e">
        <v>#N/A</v>
      </c>
      <c r="AT29" s="124" t="e">
        <v>#N/A</v>
      </c>
      <c r="AU29" s="124" t="e">
        <v>#N/A</v>
      </c>
      <c r="AV29" s="124">
        <v>0</v>
      </c>
      <c r="AW29" s="124">
        <v>0</v>
      </c>
      <c r="AX29" s="124">
        <f t="array" ref="AX29">TRANSPOSE($Z$33:$AI$33)</f>
        <v>20000</v>
      </c>
      <c r="AY29" s="124">
        <f t="array" ref="AY29">TRANSPOSE($Z$34:$AI$34)</f>
        <v>20000</v>
      </c>
      <c r="AZ29" s="124">
        <f t="array" ref="AZ29">TRANSPOSE($Z$35:$AI$35)</f>
        <v>20000</v>
      </c>
      <c r="BA29" s="124">
        <f t="array" ref="BA29">TRANSPOSE($Z$36:$AI$36)</f>
        <v>20000</v>
      </c>
      <c r="CB29" s="124" t="s">
        <v>203</v>
      </c>
      <c r="CC29" s="125">
        <v>19999.731</v>
      </c>
      <c r="CD29" s="124">
        <v>45</v>
      </c>
    </row>
    <row r="30" spans="9:82" x14ac:dyDescent="0.3">
      <c r="I30">
        <v>120</v>
      </c>
      <c r="J30">
        <v>100</v>
      </c>
      <c r="K30">
        <v>20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Y30" s="124">
        <f t="shared" si="0"/>
        <v>10</v>
      </c>
      <c r="Z30" s="124" t="e" cm="1">
        <f t="array" ref="Z30">IF('U95'!$C$19="custom",
INDEX($J$9:$S$349,MATCH('U95'!$B$105,$I$9:$I$349,0),Z19),
INDEX($J$9:$S$349,MATCH('U95'!$B$104,$I$9:$I$349,0),Z19))</f>
        <v>#N/A</v>
      </c>
      <c r="AA30" s="124" t="e" cm="1">
        <f t="array" ref="AA30">IF('U95'!$C$19="custom",
INDEX($J$9:$S$349,MATCH('U95'!$B$105,$I$9:$I$349,0),AA19),
INDEX($J$9:$S$349,MATCH('U95'!$B$104,$I$9:$I$349,0),AA19))</f>
        <v>#N/A</v>
      </c>
      <c r="AB30" s="124" t="e" cm="1">
        <f t="array" ref="AB30">IF('U95'!$C$19="custom",
INDEX($J$9:$S$349,MATCH('U95'!$B$105,$I$9:$I$349,0),AB19),
INDEX($J$9:$S$349,MATCH('U95'!$B$104,$I$9:$I$349,0),AB19))</f>
        <v>#N/A</v>
      </c>
      <c r="AC30" s="124" t="e" cm="1">
        <f t="array" ref="AC30">IF('U95'!$C$19="custom",
INDEX($J$9:$S$349,MATCH('U95'!$B$105,$I$9:$I$349,0),AC19),
INDEX($J$9:$S$349,MATCH('U95'!$B$104,$I$9:$I$349,0),AC19))</f>
        <v>#N/A</v>
      </c>
      <c r="AD30" s="124" t="e" cm="1">
        <f t="array" ref="AD30">IF('U95'!$C$19="custom",
INDEX($J$9:$S$349,MATCH('U95'!$B$105,$I$9:$I$349,0),AD19),
INDEX($J$9:$S$349,MATCH('U95'!$B$104,$I$9:$I$349,0),AD19))</f>
        <v>#N/A</v>
      </c>
      <c r="AE30" s="124" t="e" cm="1">
        <f t="array" ref="AE30">IF('U95'!$C$19="custom",
INDEX($J$9:$S$349,MATCH('U95'!$B$105,$I$9:$I$349,0),AE19),
INDEX($J$9:$S$349,MATCH('U95'!$B$104,$I$9:$I$349,0),AE19))</f>
        <v>#N/A</v>
      </c>
      <c r="AF30" s="124" t="e" cm="1">
        <f t="array" ref="AF30">IF('U95'!$C$19="custom",
INDEX($J$9:$S$349,MATCH('U95'!$B$105,$I$9:$I$349,0),AF19),
INDEX($J$9:$S$349,MATCH('U95'!$B$104,$I$9:$I$349,0),AF19))</f>
        <v>#N/A</v>
      </c>
      <c r="AG30" s="124" t="e" cm="1">
        <f t="array" ref="AG30">IF('U95'!$C$19="custom",
INDEX($J$9:$S$349,MATCH('U95'!$B$105,$I$9:$I$349,0),AG19),
INDEX($J$9:$S$349,MATCH('U95'!$B$104,$I$9:$I$349,0),AG19))</f>
        <v>#N/A</v>
      </c>
      <c r="AH30" s="124" t="e" cm="1">
        <f t="array" ref="AH30">IF('U95'!$C$19="custom",
INDEX($J$9:$S$349,MATCH('U95'!$B$105,$I$9:$I$349,0),AH19),
INDEX($J$9:$S$349,MATCH('U95'!$B$104,$I$9:$I$349,0),AH19))</f>
        <v>#N/A</v>
      </c>
      <c r="AI30" s="124" t="e" cm="1">
        <f t="array" ref="AI30">IF('U95'!$C$19="custom",
INDEX($J$9:$S$349,MATCH('U95'!$B$105,$I$9:$I$349,0),AI19),
INDEX($J$9:$S$349,MATCH('U95'!$B$104,$I$9:$I$349,0),AI19))</f>
        <v>#N/A</v>
      </c>
      <c r="AL30" s="124">
        <v>0</v>
      </c>
      <c r="AM30" s="124">
        <v>0</v>
      </c>
      <c r="AN30" s="124">
        <v>0</v>
      </c>
      <c r="AO30" s="124">
        <v>0</v>
      </c>
      <c r="AP30" s="124">
        <v>0</v>
      </c>
      <c r="AQ30" s="124">
        <v>0</v>
      </c>
      <c r="AR30" s="124">
        <v>0</v>
      </c>
      <c r="AS30" s="124" t="e">
        <v>#N/A</v>
      </c>
      <c r="AT30" s="124" t="e">
        <v>#N/A</v>
      </c>
      <c r="AU30" s="124" t="e">
        <v>#N/A</v>
      </c>
      <c r="AV30" s="124">
        <v>0</v>
      </c>
      <c r="AW30" s="124">
        <v>0</v>
      </c>
      <c r="AX30" s="124">
        <f t="array" ref="AX30">TRANSPOSE($Z$33:$AI$33)</f>
        <v>20000</v>
      </c>
      <c r="AY30" s="124">
        <f t="array" ref="AY30">TRANSPOSE($Z$34:$AI$34)</f>
        <v>20000</v>
      </c>
      <c r="AZ30" s="124">
        <f t="array" ref="AZ30">TRANSPOSE($Z$35:$AI$35)</f>
        <v>20000</v>
      </c>
      <c r="BA30" s="124">
        <f t="array" ref="BA30">TRANSPOSE($Z$36:$AI$36)</f>
        <v>20000</v>
      </c>
      <c r="CB30" s="124" t="s">
        <v>204</v>
      </c>
      <c r="CC30" s="125">
        <v>19999.555</v>
      </c>
      <c r="CD30" s="124">
        <v>45</v>
      </c>
    </row>
    <row r="31" spans="9:82" x14ac:dyDescent="0.3">
      <c r="I31">
        <v>130</v>
      </c>
      <c r="J31">
        <v>100</v>
      </c>
      <c r="K31">
        <v>20</v>
      </c>
      <c r="L31">
        <v>10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Y31" s="124">
        <f t="shared" si="0"/>
        <v>11</v>
      </c>
      <c r="Z31" s="124" cm="1">
        <f t="array" ref="Z31">IF('U95'!$C$19="custom",
INDEX($J$9:$S$349,MATCH('U95'!$B$109,$I$9:$I$349,0),Z19),
INDEX($J$9:$S$349,MATCH('U95'!$B$108,$I$9:$I$349,0),Z19))</f>
        <v>20000</v>
      </c>
      <c r="AA31" s="124" cm="1">
        <f t="array" ref="AA31">IF('U95'!$C$19="custom",
INDEX($J$9:$S$349,MATCH('U95'!$B$109,$I$9:$I$349,0),AA19),
INDEX($J$9:$S$349,MATCH('U95'!$B$108,$I$9:$I$349,0),AA19))</f>
        <v>0</v>
      </c>
      <c r="AB31" s="124" cm="1">
        <f t="array" ref="AB31">IF('U95'!$C$19="custom",
INDEX($J$9:$S$349,MATCH('U95'!$B$109,$I$9:$I$349,0),AB19),
INDEX($J$9:$S$349,MATCH('U95'!$B$108,$I$9:$I$349,0),AB19))</f>
        <v>0</v>
      </c>
      <c r="AC31" s="124" cm="1">
        <f t="array" ref="AC31">IF('U95'!$C$19="custom",
INDEX($J$9:$S$349,MATCH('U95'!$B$109,$I$9:$I$349,0),AC19),
INDEX($J$9:$S$349,MATCH('U95'!$B$108,$I$9:$I$349,0),AC19))</f>
        <v>0</v>
      </c>
      <c r="AD31" s="124" cm="1">
        <f t="array" ref="AD31">IF('U95'!$C$19="custom",
INDEX($J$9:$S$349,MATCH('U95'!$B$109,$I$9:$I$349,0),AD19),
INDEX($J$9:$S$349,MATCH('U95'!$B$108,$I$9:$I$349,0),AD19))</f>
        <v>0</v>
      </c>
      <c r="AE31" s="124" cm="1">
        <f t="array" ref="AE31">IF('U95'!$C$19="custom",
INDEX($J$9:$S$349,MATCH('U95'!$B$109,$I$9:$I$349,0),AE19),
INDEX($J$9:$S$349,MATCH('U95'!$B$108,$I$9:$I$349,0),AE19))</f>
        <v>0</v>
      </c>
      <c r="AF31" s="124" cm="1">
        <f t="array" ref="AF31">IF('U95'!$C$19="custom",
INDEX($J$9:$S$349,MATCH('U95'!$B$109,$I$9:$I$349,0),AF19),
INDEX($J$9:$S$349,MATCH('U95'!$B$108,$I$9:$I$349,0),AF19))</f>
        <v>0</v>
      </c>
      <c r="AG31" s="124" cm="1">
        <f t="array" ref="AG31">IF('U95'!$C$19="custom",
INDEX($J$9:$S$349,MATCH('U95'!$B$109,$I$9:$I$349,0),AG19),
INDEX($J$9:$S$349,MATCH('U95'!$B$108,$I$9:$I$349,0),AG19))</f>
        <v>0</v>
      </c>
      <c r="AH31" s="124" cm="1">
        <f t="array" ref="AH31">IF('U95'!$C$19="custom",
INDEX($J$9:$S$349,MATCH('U95'!$B$109,$I$9:$I$349,0),AH19),
INDEX($J$9:$S$349,MATCH('U95'!$B$108,$I$9:$I$349,0),AH19))</f>
        <v>0</v>
      </c>
      <c r="AI31" s="124" cm="1">
        <f t="array" ref="AI31">IF('U95'!$C$19="custom",
INDEX($J$9:$S$349,MATCH('U95'!$B$109,$I$9:$I$349,0),AI19),
INDEX($J$9:$S$349,MATCH('U95'!$B$108,$I$9:$I$349,0),AI19))</f>
        <v>0</v>
      </c>
      <c r="CB31" s="124" t="s">
        <v>205</v>
      </c>
      <c r="CC31" s="125">
        <v>19999.732</v>
      </c>
      <c r="CD31" s="124">
        <v>45</v>
      </c>
    </row>
    <row r="32" spans="9:82" x14ac:dyDescent="0.3">
      <c r="I32">
        <v>140</v>
      </c>
      <c r="J32">
        <v>100</v>
      </c>
      <c r="K32">
        <v>20</v>
      </c>
      <c r="L32" s="43" t="s">
        <v>361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Y32" s="124">
        <f t="shared" si="0"/>
        <v>12</v>
      </c>
      <c r="Z32" s="124">
        <f t="array" ref="Z32">IF('U95'!$C$19="custom",
INDEX($J$9:$S$349,MATCH('U95'!$B$113,$I$9:$I$349,0),Z19),
INDEX($J$9:$S$349,MATCH('U95'!$B$112,$I$9:$I$349,0),Z19))</f>
        <v>20000</v>
      </c>
      <c r="AA32" s="124">
        <f t="array" ref="AA32">IF('U95'!$C$19="custom",
INDEX($J$9:$S$349,MATCH('U95'!$B$113,$I$9:$I$349,0),AA19),
INDEX($J$9:$S$349,MATCH('U95'!$B$112,$I$9:$I$349,0),AA19))</f>
        <v>0</v>
      </c>
      <c r="AB32" s="124">
        <f t="array" ref="AB32">IF('U95'!$C$19="custom",
INDEX($J$9:$S$349,MATCH('U95'!$B$113,$I$9:$I$349,0),AB19),
INDEX($J$9:$S$349,MATCH('U95'!$B$112,$I$9:$I$349,0),AB19))</f>
        <v>0</v>
      </c>
      <c r="AC32" s="124">
        <f t="array" ref="AC32">IF('U95'!$C$19="custom",
INDEX($J$9:$S$349,MATCH('U95'!$B$113,$I$9:$I$349,0),AC19),
INDEX($J$9:$S$349,MATCH('U95'!$B$112,$I$9:$I$349,0),AC19))</f>
        <v>0</v>
      </c>
      <c r="AD32" s="124">
        <f t="array" ref="AD32">IF('U95'!$C$19="custom",
INDEX($J$9:$S$349,MATCH('U95'!$B$113,$I$9:$I$349,0),AD19),
INDEX($J$9:$S$349,MATCH('U95'!$B$112,$I$9:$I$349,0),AD19))</f>
        <v>0</v>
      </c>
      <c r="AE32" s="124">
        <f t="array" ref="AE32">IF('U95'!$C$19="custom",
INDEX($J$9:$S$349,MATCH('U95'!$B$113,$I$9:$I$349,0),AE19),
INDEX($J$9:$S$349,MATCH('U95'!$B$112,$I$9:$I$349,0),AE19))</f>
        <v>0</v>
      </c>
      <c r="AF32" s="124">
        <f t="array" ref="AF32">IF('U95'!$C$19="custom",
INDEX($J$9:$S$349,MATCH('U95'!$B$113,$I$9:$I$349,0),AF19),
INDEX($J$9:$S$349,MATCH('U95'!$B$112,$I$9:$I$349,0),AF19))</f>
        <v>0</v>
      </c>
      <c r="AG32" s="124">
        <f t="array" ref="AG32">IF('U95'!$C$19="custom",
INDEX($J$9:$S$349,MATCH('U95'!$B$113,$I$9:$I$349,0),AG19),
INDEX($J$9:$S$349,MATCH('U95'!$B$112,$I$9:$I$349,0),AG19))</f>
        <v>0</v>
      </c>
      <c r="AH32" s="124">
        <f t="array" ref="AH32">IF('U95'!$C$19="custom",
INDEX($J$9:$S$349,MATCH('U95'!$B$113,$I$9:$I$349,0),AH19),
INDEX($J$9:$S$349,MATCH('U95'!$B$112,$I$9:$I$349,0),AH19))</f>
        <v>0</v>
      </c>
      <c r="AI32" s="124">
        <f t="array" ref="AI32">IF('U95'!$C$19="custom",
INDEX($J$9:$S$349,MATCH('U95'!$B$113,$I$9:$I$349,0),AI19),
INDEX($J$9:$S$349,MATCH('U95'!$B$112,$I$9:$I$349,0),AI19))</f>
        <v>0</v>
      </c>
      <c r="CB32" s="124" t="s">
        <v>206</v>
      </c>
      <c r="CC32" s="125">
        <v>19999.123</v>
      </c>
      <c r="CD32" s="124">
        <v>45</v>
      </c>
    </row>
    <row r="33" spans="9:82" x14ac:dyDescent="0.3">
      <c r="I33">
        <v>150</v>
      </c>
      <c r="J33">
        <v>100</v>
      </c>
      <c r="K33">
        <v>50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Y33" s="124">
        <f t="shared" si="0"/>
        <v>13</v>
      </c>
      <c r="Z33" s="124">
        <f t="array" ref="Z33">IF('U95'!$C$19="custom",
INDEX($J$9:$S$349,MATCH('U95'!$B$117,$I$9:$I$349,0),Z19),
INDEX($J$9:$S$349,MATCH('U95'!$B$116,$I$9:$I$349,0),Z19))</f>
        <v>20000</v>
      </c>
      <c r="AA33" s="124">
        <f t="array" ref="AA33">IF('U95'!$C$19="custom",
INDEX($J$9:$S$349,MATCH('U95'!$B$117,$I$9:$I$349,0),AA19),
INDEX($J$9:$S$349,MATCH('U95'!$B$116,$I$9:$I$349,0),AA19))</f>
        <v>0</v>
      </c>
      <c r="AB33" s="124">
        <f t="array" ref="AB33">IF('U95'!$C$19="custom",
INDEX($J$9:$S$349,MATCH('U95'!$B$117,$I$9:$I$349,0),AB19),
INDEX($J$9:$S$349,MATCH('U95'!$B$116,$I$9:$I$349,0),AB19))</f>
        <v>0</v>
      </c>
      <c r="AC33" s="124">
        <f t="array" ref="AC33">IF('U95'!$C$19="custom",
INDEX($J$9:$S$349,MATCH('U95'!$B$117,$I$9:$I$349,0),AC19),
INDEX($J$9:$S$349,MATCH('U95'!$B$116,$I$9:$I$349,0),AC19))</f>
        <v>0</v>
      </c>
      <c r="AD33" s="124">
        <f t="array" ref="AD33">IF('U95'!$C$19="custom",
INDEX($J$9:$S$349,MATCH('U95'!$B$117,$I$9:$I$349,0),AD19),
INDEX($J$9:$S$349,MATCH('U95'!$B$116,$I$9:$I$349,0),AD19))</f>
        <v>0</v>
      </c>
      <c r="AE33" s="124">
        <f t="array" ref="AE33">IF('U95'!$C$19="custom",
INDEX($J$9:$S$349,MATCH('U95'!$B$117,$I$9:$I$349,0),AE19),
INDEX($J$9:$S$349,MATCH('U95'!$B$116,$I$9:$I$349,0),AE19))</f>
        <v>0</v>
      </c>
      <c r="AF33" s="124">
        <f t="array" ref="AF33">IF('U95'!$C$19="custom",
INDEX($J$9:$S$349,MATCH('U95'!$B$117,$I$9:$I$349,0),AF19),
INDEX($J$9:$S$349,MATCH('U95'!$B$116,$I$9:$I$349,0),AF19))</f>
        <v>0</v>
      </c>
      <c r="AG33" s="124">
        <f t="array" ref="AG33">IF('U95'!$C$19="custom",
INDEX($J$9:$S$349,MATCH('U95'!$B$117,$I$9:$I$349,0),AG19),
INDEX($J$9:$S$349,MATCH('U95'!$B$116,$I$9:$I$349,0),AG19))</f>
        <v>0</v>
      </c>
      <c r="AH33" s="124">
        <f t="array" ref="AH33">IF('U95'!$C$19="custom",
INDEX($J$9:$S$349,MATCH('U95'!$B$117,$I$9:$I$349,0),AH19),
INDEX($J$9:$S$349,MATCH('U95'!$B$116,$I$9:$I$349,0),AH19))</f>
        <v>0</v>
      </c>
      <c r="AI33" s="124">
        <f t="array" ref="AI33">IF('U95'!$C$19="custom",
INDEX($J$9:$S$349,MATCH('U95'!$B$117,$I$9:$I$349,0),AI19),
INDEX($J$9:$S$349,MATCH('U95'!$B$116,$I$9:$I$349,0),AI19))</f>
        <v>0</v>
      </c>
      <c r="CB33" s="124">
        <v>0</v>
      </c>
      <c r="CC33" s="125">
        <v>0</v>
      </c>
      <c r="CD33" s="124">
        <v>0</v>
      </c>
    </row>
    <row r="34" spans="9:82" x14ac:dyDescent="0.3">
      <c r="I34">
        <v>160</v>
      </c>
      <c r="J34">
        <v>100</v>
      </c>
      <c r="K34">
        <v>50</v>
      </c>
      <c r="L34">
        <v>10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Y34" s="124">
        <f t="shared" si="0"/>
        <v>14</v>
      </c>
      <c r="Z34" s="124">
        <f t="array" ref="Z34">IF('U95'!$C$19="custom",
INDEX($J$9:$S$349,MATCH('U95'!$B$121,$I$9:$I$349,0),Z19),
INDEX($J$9:$S$349,MATCH('U95'!$B$120,$I$9:$I$349,0),Z19))</f>
        <v>20000</v>
      </c>
      <c r="AA34" s="124">
        <f t="array" ref="AA34">IF('U95'!$C$19="custom",
INDEX($J$9:$S$349,MATCH('U95'!$B$121,$I$9:$I$349,0),AA19),
INDEX($J$9:$S$349,MATCH('U95'!$B$120,$I$9:$I$349,0),AA19))</f>
        <v>0</v>
      </c>
      <c r="AB34" s="124">
        <f t="array" ref="AB34">IF('U95'!$C$19="custom",
INDEX($J$9:$S$349,MATCH('U95'!$B$121,$I$9:$I$349,0),AB19),
INDEX($J$9:$S$349,MATCH('U95'!$B$120,$I$9:$I$349,0),AB19))</f>
        <v>0</v>
      </c>
      <c r="AC34" s="124">
        <f t="array" ref="AC34">IF('U95'!$C$19="custom",
INDEX($J$9:$S$349,MATCH('U95'!$B$121,$I$9:$I$349,0),AC19),
INDEX($J$9:$S$349,MATCH('U95'!$B$120,$I$9:$I$349,0),AC19))</f>
        <v>0</v>
      </c>
      <c r="AD34" s="124">
        <f t="array" ref="AD34">IF('U95'!$C$19="custom",
INDEX($J$9:$S$349,MATCH('U95'!$B$121,$I$9:$I$349,0),AD19),
INDEX($J$9:$S$349,MATCH('U95'!$B$120,$I$9:$I$349,0),AD19))</f>
        <v>0</v>
      </c>
      <c r="AE34" s="124">
        <f t="array" ref="AE34">IF('U95'!$C$19="custom",
INDEX($J$9:$S$349,MATCH('U95'!$B$121,$I$9:$I$349,0),AE19),
INDEX($J$9:$S$349,MATCH('U95'!$B$120,$I$9:$I$349,0),AE19))</f>
        <v>0</v>
      </c>
      <c r="AF34" s="124">
        <f t="array" ref="AF34">IF('U95'!$C$19="custom",
INDEX($J$9:$S$349,MATCH('U95'!$B$121,$I$9:$I$349,0),AF19),
INDEX($J$9:$S$349,MATCH('U95'!$B$120,$I$9:$I$349,0),AF19))</f>
        <v>0</v>
      </c>
      <c r="AG34" s="124">
        <f t="array" ref="AG34">IF('U95'!$C$19="custom",
INDEX($J$9:$S$349,MATCH('U95'!$B$121,$I$9:$I$349,0),AG19),
INDEX($J$9:$S$349,MATCH('U95'!$B$120,$I$9:$I$349,0),AG19))</f>
        <v>0</v>
      </c>
      <c r="AH34" s="124">
        <f t="array" ref="AH34">IF('U95'!$C$19="custom",
INDEX($J$9:$S$349,MATCH('U95'!$B$121,$I$9:$I$349,0),AH19),
INDEX($J$9:$S$349,MATCH('U95'!$B$120,$I$9:$I$349,0),AH19))</f>
        <v>0</v>
      </c>
      <c r="AI34" s="124">
        <f t="array" ref="AI34">IF('U95'!$C$19="custom",
INDEX($J$9:$S$349,MATCH('U95'!$B$121,$I$9:$I$349,0),AI19),
INDEX($J$9:$S$349,MATCH('U95'!$B$120,$I$9:$I$349,0),AI19))</f>
        <v>0</v>
      </c>
    </row>
    <row r="35" spans="9:82" x14ac:dyDescent="0.3">
      <c r="I35">
        <v>170</v>
      </c>
      <c r="J35">
        <v>100</v>
      </c>
      <c r="K35">
        <v>50</v>
      </c>
      <c r="L35">
        <v>20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Y35" s="124">
        <f t="shared" si="0"/>
        <v>15</v>
      </c>
      <c r="Z35" s="124">
        <f t="array" ref="Z35">IF('U95'!$C$19="custom",
INDEX($J$9:$S$349,MATCH('U95'!$B$125,$I$9:$I$349,0),Z19),
INDEX($J$9:$S$349,MATCH('U95'!$B$124,$I$9:$I$349,0),Z19))</f>
        <v>20000</v>
      </c>
      <c r="AA35" s="124">
        <f t="array" ref="AA35">IF('U95'!$C$19="custom",
INDEX($J$9:$S$349,MATCH('U95'!$B$125,$I$9:$I$349,0),AA19),
INDEX($J$9:$S$349,MATCH('U95'!$B$124,$I$9:$I$349,0),AA19))</f>
        <v>0</v>
      </c>
      <c r="AB35" s="124">
        <f t="array" ref="AB35">IF('U95'!$C$19="custom",
INDEX($J$9:$S$349,MATCH('U95'!$B$125,$I$9:$I$349,0),AB19),
INDEX($J$9:$S$349,MATCH('U95'!$B$124,$I$9:$I$349,0),AB19))</f>
        <v>0</v>
      </c>
      <c r="AC35" s="124">
        <f t="array" ref="AC35">IF('U95'!$C$19="custom",
INDEX($J$9:$S$349,MATCH('U95'!$B$125,$I$9:$I$349,0),AC19),
INDEX($J$9:$S$349,MATCH('U95'!$B$124,$I$9:$I$349,0),AC19))</f>
        <v>0</v>
      </c>
      <c r="AD35" s="124">
        <f t="array" ref="AD35">IF('U95'!$C$19="custom",
INDEX($J$9:$S$349,MATCH('U95'!$B$125,$I$9:$I$349,0),AD19),
INDEX($J$9:$S$349,MATCH('U95'!$B$124,$I$9:$I$349,0),AD19))</f>
        <v>0</v>
      </c>
      <c r="AE35" s="124">
        <f t="array" ref="AE35">IF('U95'!$C$19="custom",
INDEX($J$9:$S$349,MATCH('U95'!$B$125,$I$9:$I$349,0),AE19),
INDEX($J$9:$S$349,MATCH('U95'!$B$124,$I$9:$I$349,0),AE19))</f>
        <v>0</v>
      </c>
      <c r="AF35" s="124">
        <f t="array" ref="AF35">IF('U95'!$C$19="custom",
INDEX($J$9:$S$349,MATCH('U95'!$B$125,$I$9:$I$349,0),AF19),
INDEX($J$9:$S$349,MATCH('U95'!$B$124,$I$9:$I$349,0),AF19))</f>
        <v>0</v>
      </c>
      <c r="AG35" s="124">
        <f t="array" ref="AG35">IF('U95'!$C$19="custom",
INDEX($J$9:$S$349,MATCH('U95'!$B$125,$I$9:$I$349,0),AG19),
INDEX($J$9:$S$349,MATCH('U95'!$B$124,$I$9:$I$349,0),AG19))</f>
        <v>0</v>
      </c>
      <c r="AH35" s="124">
        <f t="array" ref="AH35">IF('U95'!$C$19="custom",
INDEX($J$9:$S$349,MATCH('U95'!$B$125,$I$9:$I$349,0),AH19),
INDEX($J$9:$S$349,MATCH('U95'!$B$124,$I$9:$I$349,0),AH19))</f>
        <v>0</v>
      </c>
      <c r="AI35" s="124">
        <f t="array" ref="AI35">IF('U95'!$C$19="custom",
INDEX($J$9:$S$349,MATCH('U95'!$B$125,$I$9:$I$349,0),AI19),
INDEX($J$9:$S$349,MATCH('U95'!$B$124,$I$9:$I$349,0),AI19))</f>
        <v>0</v>
      </c>
    </row>
    <row r="36" spans="9:82" x14ac:dyDescent="0.3">
      <c r="I36">
        <v>180</v>
      </c>
      <c r="J36">
        <v>100</v>
      </c>
      <c r="K36">
        <v>50</v>
      </c>
      <c r="L36">
        <v>20</v>
      </c>
      <c r="M36">
        <v>10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Y36" s="124">
        <f t="shared" si="0"/>
        <v>16</v>
      </c>
      <c r="Z36" s="124">
        <f t="array" ref="Z36">IF('U95'!$C$19="custom",
INDEX($J$9:$S$349,MATCH('U95'!$B$129,$I$9:$I$349,0),Z19),
INDEX($J$9:$S$349,MATCH('U95'!$B$128,$I$9:$I$349,0),Z19))</f>
        <v>20000</v>
      </c>
      <c r="AA36" s="124">
        <f t="array" ref="AA36">IF('U95'!$C$19="custom",
INDEX($J$9:$S$349,MATCH('U95'!$B$129,$I$9:$I$349,0),AA19),
INDEX($J$9:$S$349,MATCH('U95'!$B$128,$I$9:$I$349,0),AA19))</f>
        <v>0</v>
      </c>
      <c r="AB36" s="124">
        <f t="array" ref="AB36">IF('U95'!$C$19="custom",
INDEX($J$9:$S$349,MATCH('U95'!$B$129,$I$9:$I$349,0),AB19),
INDEX($J$9:$S$349,MATCH('U95'!$B$128,$I$9:$I$349,0),AB19))</f>
        <v>0</v>
      </c>
      <c r="AC36" s="124">
        <f t="array" ref="AC36">IF('U95'!$C$19="custom",
INDEX($J$9:$S$349,MATCH('U95'!$B$129,$I$9:$I$349,0),AC19),
INDEX($J$9:$S$349,MATCH('U95'!$B$128,$I$9:$I$349,0),AC19))</f>
        <v>0</v>
      </c>
      <c r="AD36" s="124">
        <f t="array" ref="AD36">IF('U95'!$C$19="custom",
INDEX($J$9:$S$349,MATCH('U95'!$B$129,$I$9:$I$349,0),AD19),
INDEX($J$9:$S$349,MATCH('U95'!$B$128,$I$9:$I$349,0),AD19))</f>
        <v>0</v>
      </c>
      <c r="AE36" s="124">
        <f t="array" ref="AE36">IF('U95'!$C$19="custom",
INDEX($J$9:$S$349,MATCH('U95'!$B$129,$I$9:$I$349,0),AE19),
INDEX($J$9:$S$349,MATCH('U95'!$B$128,$I$9:$I$349,0),AE19))</f>
        <v>0</v>
      </c>
      <c r="AF36" s="124">
        <f t="array" ref="AF36">IF('U95'!$C$19="custom",
INDEX($J$9:$S$349,MATCH('U95'!$B$129,$I$9:$I$349,0),AF19),
INDEX($J$9:$S$349,MATCH('U95'!$B$128,$I$9:$I$349,0),AF19))</f>
        <v>0</v>
      </c>
      <c r="AG36" s="124">
        <f t="array" ref="AG36">IF('U95'!$C$19="custom",
INDEX($J$9:$S$349,MATCH('U95'!$B$129,$I$9:$I$349,0),AG19),
INDEX($J$9:$S$349,MATCH('U95'!$B$128,$I$9:$I$349,0),AG19))</f>
        <v>0</v>
      </c>
      <c r="AH36" s="124">
        <f t="array" ref="AH36">IF('U95'!$C$19="custom",
INDEX($J$9:$S$349,MATCH('U95'!$B$129,$I$9:$I$349,0),AH19),
INDEX($J$9:$S$349,MATCH('U95'!$B$128,$I$9:$I$349,0),AH19))</f>
        <v>0</v>
      </c>
      <c r="AI36" s="124">
        <f t="array" ref="AI36">IF('U95'!$C$19="custom",
INDEX($J$9:$S$349,MATCH('U95'!$B$129,$I$9:$I$349,0),AI19),
INDEX($J$9:$S$349,MATCH('U95'!$B$128,$I$9:$I$349,0),AI19))</f>
        <v>0</v>
      </c>
    </row>
    <row r="37" spans="9:82" x14ac:dyDescent="0.3">
      <c r="I37">
        <v>190</v>
      </c>
      <c r="J37">
        <v>100</v>
      </c>
      <c r="K37">
        <v>50</v>
      </c>
      <c r="L37">
        <v>20</v>
      </c>
      <c r="M37" s="43" t="s">
        <v>361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9:82" x14ac:dyDescent="0.3">
      <c r="I38">
        <v>200</v>
      </c>
      <c r="J38">
        <v>200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9:82" x14ac:dyDescent="0.3">
      <c r="I39">
        <v>210</v>
      </c>
      <c r="J39">
        <v>200</v>
      </c>
      <c r="K39">
        <v>10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9:82" x14ac:dyDescent="0.3">
      <c r="I40">
        <v>220</v>
      </c>
      <c r="J40">
        <v>200</v>
      </c>
      <c r="K40">
        <v>20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9:82" x14ac:dyDescent="0.3">
      <c r="I41">
        <v>230</v>
      </c>
      <c r="J41">
        <v>200</v>
      </c>
      <c r="K41">
        <v>10</v>
      </c>
      <c r="L41">
        <v>20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9:82" x14ac:dyDescent="0.3">
      <c r="I42">
        <v>240</v>
      </c>
      <c r="J42">
        <v>200</v>
      </c>
      <c r="K42">
        <v>20</v>
      </c>
      <c r="L42" s="43" t="s">
        <v>361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9:82" x14ac:dyDescent="0.3">
      <c r="I43">
        <v>250</v>
      </c>
      <c r="J43">
        <v>200</v>
      </c>
      <c r="K43">
        <v>50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9:82" x14ac:dyDescent="0.3">
      <c r="I44">
        <v>260</v>
      </c>
      <c r="J44">
        <v>200</v>
      </c>
      <c r="K44">
        <v>50</v>
      </c>
      <c r="L44">
        <v>10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9:82" x14ac:dyDescent="0.3">
      <c r="I45">
        <v>270</v>
      </c>
      <c r="J45">
        <v>200</v>
      </c>
      <c r="K45">
        <v>50</v>
      </c>
      <c r="L45">
        <v>20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9:82" x14ac:dyDescent="0.3">
      <c r="I46">
        <v>280</v>
      </c>
      <c r="J46">
        <v>200</v>
      </c>
      <c r="K46">
        <v>50</v>
      </c>
      <c r="L46">
        <v>20</v>
      </c>
      <c r="M46">
        <v>10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9:82" x14ac:dyDescent="0.3">
      <c r="I47">
        <v>290</v>
      </c>
      <c r="J47">
        <v>200</v>
      </c>
      <c r="K47">
        <v>50</v>
      </c>
      <c r="L47">
        <v>20</v>
      </c>
      <c r="M47" s="43" t="s">
        <v>361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9:82" x14ac:dyDescent="0.3">
      <c r="I48">
        <v>300</v>
      </c>
      <c r="J48">
        <v>200</v>
      </c>
      <c r="K48">
        <v>100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9:19" x14ac:dyDescent="0.3">
      <c r="I49">
        <v>310</v>
      </c>
      <c r="J49">
        <v>200</v>
      </c>
      <c r="K49">
        <v>100</v>
      </c>
      <c r="L49">
        <v>10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9:19" x14ac:dyDescent="0.3">
      <c r="I50">
        <v>320</v>
      </c>
      <c r="J50">
        <v>200</v>
      </c>
      <c r="K50">
        <v>100</v>
      </c>
      <c r="L50">
        <v>20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9:19" x14ac:dyDescent="0.3">
      <c r="I51">
        <v>330</v>
      </c>
      <c r="J51">
        <v>200</v>
      </c>
      <c r="K51">
        <v>100</v>
      </c>
      <c r="L51">
        <v>20</v>
      </c>
      <c r="M51">
        <v>10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9:19" x14ac:dyDescent="0.3">
      <c r="I52">
        <v>340</v>
      </c>
      <c r="J52">
        <v>200</v>
      </c>
      <c r="K52">
        <v>100</v>
      </c>
      <c r="L52">
        <v>20</v>
      </c>
      <c r="M52" s="43" t="s">
        <v>361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9:19" x14ac:dyDescent="0.3">
      <c r="I53">
        <v>350</v>
      </c>
      <c r="J53">
        <v>200</v>
      </c>
      <c r="K53">
        <v>100</v>
      </c>
      <c r="L53">
        <v>50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9:19" x14ac:dyDescent="0.3">
      <c r="I54">
        <v>360</v>
      </c>
      <c r="J54">
        <v>200</v>
      </c>
      <c r="K54">
        <v>100</v>
      </c>
      <c r="L54">
        <v>50</v>
      </c>
      <c r="M54">
        <v>10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9:19" x14ac:dyDescent="0.3">
      <c r="I55">
        <v>370</v>
      </c>
      <c r="J55">
        <v>200</v>
      </c>
      <c r="K55">
        <v>100</v>
      </c>
      <c r="L55">
        <v>50</v>
      </c>
      <c r="M55">
        <v>20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9:19" x14ac:dyDescent="0.3">
      <c r="I56">
        <v>380</v>
      </c>
      <c r="J56">
        <v>200</v>
      </c>
      <c r="K56">
        <v>100</v>
      </c>
      <c r="L56">
        <v>50</v>
      </c>
      <c r="M56">
        <v>20</v>
      </c>
      <c r="N56">
        <v>10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9:19" x14ac:dyDescent="0.3">
      <c r="I57">
        <v>390</v>
      </c>
      <c r="J57">
        <v>200</v>
      </c>
      <c r="K57">
        <v>100</v>
      </c>
      <c r="L57">
        <v>50</v>
      </c>
      <c r="M57">
        <v>20</v>
      </c>
      <c r="N57" s="43" t="s">
        <v>361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9:19" x14ac:dyDescent="0.3">
      <c r="I58">
        <v>400</v>
      </c>
      <c r="J58">
        <v>200</v>
      </c>
      <c r="K58" s="43" t="s">
        <v>360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9:19" x14ac:dyDescent="0.3">
      <c r="I59">
        <v>410</v>
      </c>
      <c r="J59">
        <v>200</v>
      </c>
      <c r="K59" s="43" t="s">
        <v>360</v>
      </c>
      <c r="L59">
        <v>10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9:19" x14ac:dyDescent="0.3">
      <c r="I60">
        <v>420</v>
      </c>
      <c r="J60">
        <v>200</v>
      </c>
      <c r="K60" s="43" t="s">
        <v>360</v>
      </c>
      <c r="L60">
        <v>20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9:19" x14ac:dyDescent="0.3">
      <c r="I61">
        <v>430</v>
      </c>
      <c r="J61">
        <v>200</v>
      </c>
      <c r="K61" s="43" t="s">
        <v>360</v>
      </c>
      <c r="L61">
        <v>20</v>
      </c>
      <c r="M61">
        <v>10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9:19" x14ac:dyDescent="0.3">
      <c r="I62">
        <v>440</v>
      </c>
      <c r="J62">
        <v>200</v>
      </c>
      <c r="K62" s="43" t="s">
        <v>360</v>
      </c>
      <c r="L62">
        <v>20</v>
      </c>
      <c r="M62" s="43" t="s">
        <v>361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9:19" x14ac:dyDescent="0.3">
      <c r="I63">
        <v>450</v>
      </c>
      <c r="J63">
        <v>200</v>
      </c>
      <c r="K63" s="43" t="s">
        <v>360</v>
      </c>
      <c r="L63">
        <v>50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9:19" x14ac:dyDescent="0.3">
      <c r="I64">
        <v>460</v>
      </c>
      <c r="J64">
        <v>200</v>
      </c>
      <c r="K64" s="43" t="s">
        <v>360</v>
      </c>
      <c r="L64">
        <v>50</v>
      </c>
      <c r="M64">
        <v>10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9:19" x14ac:dyDescent="0.3">
      <c r="I65">
        <v>470</v>
      </c>
      <c r="J65">
        <v>200</v>
      </c>
      <c r="K65" s="43" t="s">
        <v>360</v>
      </c>
      <c r="L65">
        <v>50</v>
      </c>
      <c r="M65">
        <v>20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9:19" x14ac:dyDescent="0.3">
      <c r="I66">
        <v>480</v>
      </c>
      <c r="J66">
        <v>200</v>
      </c>
      <c r="K66" s="43" t="s">
        <v>360</v>
      </c>
      <c r="L66">
        <v>50</v>
      </c>
      <c r="M66">
        <v>20</v>
      </c>
      <c r="N66">
        <v>10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9:19" x14ac:dyDescent="0.3">
      <c r="I67">
        <v>490</v>
      </c>
      <c r="J67">
        <v>200</v>
      </c>
      <c r="K67" s="43" t="s">
        <v>360</v>
      </c>
      <c r="L67">
        <v>50</v>
      </c>
      <c r="M67">
        <v>20</v>
      </c>
      <c r="N67" s="43" t="s">
        <v>361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9:19" x14ac:dyDescent="0.3">
      <c r="I68">
        <v>500</v>
      </c>
      <c r="J68">
        <v>500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9:19" x14ac:dyDescent="0.3">
      <c r="I69">
        <v>510</v>
      </c>
      <c r="J69">
        <v>500</v>
      </c>
      <c r="K69">
        <v>10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9:19" x14ac:dyDescent="0.3">
      <c r="I70">
        <v>520</v>
      </c>
      <c r="J70">
        <v>500</v>
      </c>
      <c r="K70">
        <v>20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9:19" x14ac:dyDescent="0.3">
      <c r="I71">
        <v>530</v>
      </c>
      <c r="J71">
        <v>500</v>
      </c>
      <c r="K71">
        <v>20</v>
      </c>
      <c r="L71">
        <v>10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9:19" x14ac:dyDescent="0.3">
      <c r="I72">
        <v>540</v>
      </c>
      <c r="J72">
        <v>500</v>
      </c>
      <c r="K72">
        <v>20</v>
      </c>
      <c r="L72" s="43" t="s">
        <v>361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9:19" x14ac:dyDescent="0.3">
      <c r="I73">
        <v>550</v>
      </c>
      <c r="J73">
        <v>500</v>
      </c>
      <c r="K73">
        <v>50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9:19" x14ac:dyDescent="0.3">
      <c r="I74">
        <v>560</v>
      </c>
      <c r="J74">
        <v>500</v>
      </c>
      <c r="K74">
        <v>50</v>
      </c>
      <c r="L74">
        <v>10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9:19" x14ac:dyDescent="0.3">
      <c r="I75">
        <v>570</v>
      </c>
      <c r="J75">
        <v>500</v>
      </c>
      <c r="K75">
        <v>50</v>
      </c>
      <c r="L75">
        <v>20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9:19" x14ac:dyDescent="0.3">
      <c r="I76">
        <v>580</v>
      </c>
      <c r="J76">
        <v>500</v>
      </c>
      <c r="K76">
        <v>50</v>
      </c>
      <c r="L76">
        <v>20</v>
      </c>
      <c r="M76">
        <v>10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9:19" x14ac:dyDescent="0.3">
      <c r="I77">
        <v>590</v>
      </c>
      <c r="J77">
        <v>500</v>
      </c>
      <c r="K77">
        <v>50</v>
      </c>
      <c r="L77">
        <v>20</v>
      </c>
      <c r="M77" s="43" t="s">
        <v>361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9:19" x14ac:dyDescent="0.3">
      <c r="I78">
        <v>600</v>
      </c>
      <c r="J78">
        <v>500</v>
      </c>
      <c r="K78">
        <v>100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9:19" x14ac:dyDescent="0.3">
      <c r="I79">
        <v>610</v>
      </c>
      <c r="J79">
        <v>500</v>
      </c>
      <c r="K79">
        <v>100</v>
      </c>
      <c r="L79">
        <v>10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9:19" x14ac:dyDescent="0.3">
      <c r="I80">
        <v>620</v>
      </c>
      <c r="J80">
        <v>500</v>
      </c>
      <c r="K80">
        <v>100</v>
      </c>
      <c r="L80">
        <v>20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9:19" x14ac:dyDescent="0.3">
      <c r="I81">
        <v>630</v>
      </c>
      <c r="J81">
        <v>500</v>
      </c>
      <c r="K81">
        <v>100</v>
      </c>
      <c r="L81">
        <v>20</v>
      </c>
      <c r="M81">
        <v>10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9:19" x14ac:dyDescent="0.3">
      <c r="I82">
        <v>640</v>
      </c>
      <c r="J82">
        <v>500</v>
      </c>
      <c r="K82">
        <v>100</v>
      </c>
      <c r="L82">
        <v>20</v>
      </c>
      <c r="M82" s="43" t="s">
        <v>361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9:19" x14ac:dyDescent="0.3">
      <c r="I83">
        <v>650</v>
      </c>
      <c r="J83">
        <v>500</v>
      </c>
      <c r="K83">
        <v>100</v>
      </c>
      <c r="L83">
        <v>50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9:19" x14ac:dyDescent="0.3">
      <c r="I84">
        <v>660</v>
      </c>
      <c r="J84">
        <v>500</v>
      </c>
      <c r="K84">
        <v>100</v>
      </c>
      <c r="L84">
        <v>50</v>
      </c>
      <c r="M84">
        <v>10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9:19" x14ac:dyDescent="0.3">
      <c r="I85">
        <v>670</v>
      </c>
      <c r="J85">
        <v>500</v>
      </c>
      <c r="K85">
        <v>100</v>
      </c>
      <c r="L85">
        <v>50</v>
      </c>
      <c r="M85">
        <v>20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9:19" x14ac:dyDescent="0.3">
      <c r="I86">
        <v>680</v>
      </c>
      <c r="J86">
        <v>500</v>
      </c>
      <c r="K86">
        <v>100</v>
      </c>
      <c r="L86">
        <v>50</v>
      </c>
      <c r="M86">
        <v>20</v>
      </c>
      <c r="N86">
        <v>10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9:19" x14ac:dyDescent="0.3">
      <c r="I87">
        <v>690</v>
      </c>
      <c r="J87">
        <v>500</v>
      </c>
      <c r="K87">
        <v>100</v>
      </c>
      <c r="L87">
        <v>50</v>
      </c>
      <c r="M87">
        <v>20</v>
      </c>
      <c r="N87" s="43" t="s">
        <v>361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9:19" x14ac:dyDescent="0.3">
      <c r="I88">
        <v>700</v>
      </c>
      <c r="J88">
        <v>500</v>
      </c>
      <c r="K88">
        <v>200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9:19" x14ac:dyDescent="0.3">
      <c r="I89">
        <v>710</v>
      </c>
      <c r="J89">
        <v>500</v>
      </c>
      <c r="K89">
        <v>200</v>
      </c>
      <c r="L89">
        <v>10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9:19" x14ac:dyDescent="0.3">
      <c r="I90">
        <v>720</v>
      </c>
      <c r="J90">
        <v>500</v>
      </c>
      <c r="K90">
        <v>200</v>
      </c>
      <c r="L90">
        <v>20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9:19" x14ac:dyDescent="0.3">
      <c r="I91">
        <v>730</v>
      </c>
      <c r="J91">
        <v>500</v>
      </c>
      <c r="K91">
        <v>200</v>
      </c>
      <c r="L91">
        <v>20</v>
      </c>
      <c r="M91">
        <v>10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9:19" x14ac:dyDescent="0.3">
      <c r="I92">
        <v>740</v>
      </c>
      <c r="J92">
        <v>500</v>
      </c>
      <c r="K92">
        <v>200</v>
      </c>
      <c r="L92">
        <v>20</v>
      </c>
      <c r="M92" s="43" t="s">
        <v>361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9:19" x14ac:dyDescent="0.3">
      <c r="I93">
        <v>750</v>
      </c>
      <c r="J93">
        <v>500</v>
      </c>
      <c r="K93">
        <v>200</v>
      </c>
      <c r="L93">
        <v>50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9:19" x14ac:dyDescent="0.3">
      <c r="I94">
        <v>760</v>
      </c>
      <c r="J94">
        <v>500</v>
      </c>
      <c r="K94">
        <v>200</v>
      </c>
      <c r="L94">
        <v>50</v>
      </c>
      <c r="M94">
        <v>10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9:19" x14ac:dyDescent="0.3">
      <c r="I95">
        <v>770</v>
      </c>
      <c r="J95">
        <v>500</v>
      </c>
      <c r="K95">
        <v>200</v>
      </c>
      <c r="L95">
        <v>50</v>
      </c>
      <c r="M95">
        <v>20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9:19" x14ac:dyDescent="0.3">
      <c r="I96">
        <v>780</v>
      </c>
      <c r="J96">
        <v>500</v>
      </c>
      <c r="K96">
        <v>200</v>
      </c>
      <c r="L96">
        <v>50</v>
      </c>
      <c r="M96">
        <v>20</v>
      </c>
      <c r="N96">
        <v>10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9:19" x14ac:dyDescent="0.3">
      <c r="I97">
        <v>790</v>
      </c>
      <c r="J97">
        <v>500</v>
      </c>
      <c r="K97">
        <v>200</v>
      </c>
      <c r="L97">
        <v>50</v>
      </c>
      <c r="M97">
        <v>20</v>
      </c>
      <c r="N97" s="43" t="s">
        <v>361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9:19" x14ac:dyDescent="0.3">
      <c r="I98">
        <v>800</v>
      </c>
      <c r="J98">
        <v>500</v>
      </c>
      <c r="K98">
        <v>200</v>
      </c>
      <c r="L98">
        <v>100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9:19" x14ac:dyDescent="0.3">
      <c r="I99">
        <v>810</v>
      </c>
      <c r="J99">
        <v>500</v>
      </c>
      <c r="K99">
        <v>200</v>
      </c>
      <c r="L99">
        <v>100</v>
      </c>
      <c r="M99">
        <v>10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9:19" x14ac:dyDescent="0.3">
      <c r="I100">
        <v>820</v>
      </c>
      <c r="J100">
        <v>500</v>
      </c>
      <c r="K100">
        <v>200</v>
      </c>
      <c r="L100">
        <v>100</v>
      </c>
      <c r="M100">
        <v>20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9:19" x14ac:dyDescent="0.3">
      <c r="I101">
        <v>830</v>
      </c>
      <c r="J101">
        <v>500</v>
      </c>
      <c r="K101">
        <v>200</v>
      </c>
      <c r="L101">
        <v>100</v>
      </c>
      <c r="M101">
        <v>20</v>
      </c>
      <c r="N101">
        <v>10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9:19" x14ac:dyDescent="0.3">
      <c r="I102">
        <v>840</v>
      </c>
      <c r="J102">
        <v>500</v>
      </c>
      <c r="K102">
        <v>200</v>
      </c>
      <c r="L102">
        <v>100</v>
      </c>
      <c r="M102">
        <v>20</v>
      </c>
      <c r="N102" s="43" t="s">
        <v>361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9:19" x14ac:dyDescent="0.3">
      <c r="I103">
        <v>850</v>
      </c>
      <c r="J103">
        <v>500</v>
      </c>
      <c r="K103">
        <v>200</v>
      </c>
      <c r="L103">
        <v>100</v>
      </c>
      <c r="M103">
        <v>50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9:19" x14ac:dyDescent="0.3">
      <c r="I104">
        <v>860</v>
      </c>
      <c r="J104">
        <v>500</v>
      </c>
      <c r="K104">
        <v>200</v>
      </c>
      <c r="L104">
        <v>100</v>
      </c>
      <c r="M104">
        <v>50</v>
      </c>
      <c r="N104">
        <v>10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9:19" x14ac:dyDescent="0.3">
      <c r="I105">
        <v>870</v>
      </c>
      <c r="J105">
        <v>500</v>
      </c>
      <c r="K105">
        <v>200</v>
      </c>
      <c r="L105">
        <v>100</v>
      </c>
      <c r="M105">
        <v>50</v>
      </c>
      <c r="N105">
        <v>20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9:19" x14ac:dyDescent="0.3">
      <c r="I106">
        <v>880</v>
      </c>
      <c r="J106">
        <v>500</v>
      </c>
      <c r="K106">
        <v>200</v>
      </c>
      <c r="L106">
        <v>100</v>
      </c>
      <c r="M106">
        <v>50</v>
      </c>
      <c r="N106">
        <v>20</v>
      </c>
      <c r="O106">
        <v>10</v>
      </c>
      <c r="P106">
        <v>0</v>
      </c>
      <c r="Q106">
        <v>0</v>
      </c>
      <c r="R106">
        <v>0</v>
      </c>
      <c r="S106">
        <v>0</v>
      </c>
    </row>
    <row r="107" spans="9:19" x14ac:dyDescent="0.3">
      <c r="I107">
        <v>890</v>
      </c>
      <c r="J107">
        <v>500</v>
      </c>
      <c r="K107">
        <v>200</v>
      </c>
      <c r="L107">
        <v>100</v>
      </c>
      <c r="M107">
        <v>50</v>
      </c>
      <c r="N107">
        <v>20</v>
      </c>
      <c r="O107">
        <v>20</v>
      </c>
      <c r="P107">
        <v>0</v>
      </c>
      <c r="Q107">
        <v>0</v>
      </c>
      <c r="R107">
        <v>0</v>
      </c>
      <c r="S107">
        <v>0</v>
      </c>
    </row>
    <row r="108" spans="9:19" x14ac:dyDescent="0.3">
      <c r="I108">
        <v>900</v>
      </c>
      <c r="J108">
        <v>500</v>
      </c>
      <c r="K108">
        <v>200</v>
      </c>
      <c r="L108" s="43" t="s">
        <v>360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9:19" x14ac:dyDescent="0.3">
      <c r="I109">
        <v>910</v>
      </c>
      <c r="J109">
        <v>500</v>
      </c>
      <c r="K109">
        <v>200</v>
      </c>
      <c r="L109" s="43" t="s">
        <v>360</v>
      </c>
      <c r="M109">
        <v>10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9:19" x14ac:dyDescent="0.3">
      <c r="I110">
        <v>920</v>
      </c>
      <c r="J110">
        <v>500</v>
      </c>
      <c r="K110">
        <v>200</v>
      </c>
      <c r="L110" s="43" t="s">
        <v>360</v>
      </c>
      <c r="M110">
        <v>20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9:19" x14ac:dyDescent="0.3">
      <c r="I111">
        <v>930</v>
      </c>
      <c r="J111">
        <v>500</v>
      </c>
      <c r="K111">
        <v>200</v>
      </c>
      <c r="L111" s="43" t="s">
        <v>360</v>
      </c>
      <c r="M111">
        <v>20</v>
      </c>
      <c r="N111">
        <v>10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9:19" x14ac:dyDescent="0.3">
      <c r="I112">
        <v>940</v>
      </c>
      <c r="J112">
        <v>500</v>
      </c>
      <c r="K112">
        <v>200</v>
      </c>
      <c r="L112" s="43" t="s">
        <v>360</v>
      </c>
      <c r="M112">
        <v>20</v>
      </c>
      <c r="N112" s="43" t="s">
        <v>361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9:19" x14ac:dyDescent="0.3">
      <c r="I113">
        <v>950</v>
      </c>
      <c r="J113">
        <v>500</v>
      </c>
      <c r="K113">
        <v>200</v>
      </c>
      <c r="L113" s="43" t="s">
        <v>360</v>
      </c>
      <c r="M113">
        <v>50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9:19" x14ac:dyDescent="0.3">
      <c r="I114">
        <v>960</v>
      </c>
      <c r="J114">
        <v>500</v>
      </c>
      <c r="K114">
        <v>200</v>
      </c>
      <c r="L114" s="43" t="s">
        <v>360</v>
      </c>
      <c r="M114">
        <v>50</v>
      </c>
      <c r="N114">
        <v>10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9:19" x14ac:dyDescent="0.3">
      <c r="I115">
        <v>970</v>
      </c>
      <c r="J115">
        <v>500</v>
      </c>
      <c r="K115">
        <v>200</v>
      </c>
      <c r="L115" s="43" t="s">
        <v>360</v>
      </c>
      <c r="M115">
        <v>50</v>
      </c>
      <c r="N115">
        <v>20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9:19" x14ac:dyDescent="0.3">
      <c r="I116">
        <v>980</v>
      </c>
      <c r="J116">
        <v>500</v>
      </c>
      <c r="K116">
        <v>200</v>
      </c>
      <c r="L116" s="43" t="s">
        <v>360</v>
      </c>
      <c r="M116">
        <v>50</v>
      </c>
      <c r="N116">
        <v>20</v>
      </c>
      <c r="O116">
        <v>10</v>
      </c>
      <c r="P116">
        <v>0</v>
      </c>
      <c r="Q116">
        <v>0</v>
      </c>
      <c r="R116">
        <v>0</v>
      </c>
      <c r="S116">
        <v>0</v>
      </c>
    </row>
    <row r="117" spans="9:19" x14ac:dyDescent="0.3">
      <c r="I117">
        <v>990</v>
      </c>
      <c r="J117">
        <v>500</v>
      </c>
      <c r="K117">
        <v>200</v>
      </c>
      <c r="L117" s="43" t="s">
        <v>360</v>
      </c>
      <c r="M117">
        <v>50</v>
      </c>
      <c r="N117">
        <v>20</v>
      </c>
      <c r="O117" s="43" t="s">
        <v>361</v>
      </c>
      <c r="P117">
        <v>0</v>
      </c>
      <c r="Q117">
        <v>0</v>
      </c>
      <c r="R117">
        <v>0</v>
      </c>
      <c r="S117">
        <v>0</v>
      </c>
    </row>
    <row r="118" spans="9:19" x14ac:dyDescent="0.3">
      <c r="I118">
        <v>1000</v>
      </c>
      <c r="J118">
        <v>1000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9:19" x14ac:dyDescent="0.3">
      <c r="I119">
        <v>1100</v>
      </c>
      <c r="J119">
        <v>1000</v>
      </c>
      <c r="K119">
        <v>100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9:19" x14ac:dyDescent="0.3">
      <c r="I120">
        <v>1200</v>
      </c>
      <c r="J120">
        <v>1000</v>
      </c>
      <c r="K120">
        <v>200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9:19" x14ac:dyDescent="0.3">
      <c r="I121">
        <v>1300</v>
      </c>
      <c r="J121">
        <v>1000</v>
      </c>
      <c r="K121">
        <v>200</v>
      </c>
      <c r="L121">
        <v>100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9:19" x14ac:dyDescent="0.3">
      <c r="I122">
        <v>1400</v>
      </c>
      <c r="J122">
        <v>1000</v>
      </c>
      <c r="K122">
        <v>200</v>
      </c>
      <c r="L122" s="43" t="s">
        <v>360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9:19" x14ac:dyDescent="0.3">
      <c r="I123">
        <v>1500</v>
      </c>
      <c r="J123">
        <v>1000</v>
      </c>
      <c r="K123">
        <v>500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9:19" x14ac:dyDescent="0.3">
      <c r="I124">
        <v>1600</v>
      </c>
      <c r="J124">
        <v>1000</v>
      </c>
      <c r="K124">
        <v>500</v>
      </c>
      <c r="L124">
        <v>100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9:19" x14ac:dyDescent="0.3">
      <c r="I125">
        <v>1700</v>
      </c>
      <c r="J125">
        <v>1000</v>
      </c>
      <c r="K125">
        <v>500</v>
      </c>
      <c r="L125">
        <v>200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9:19" x14ac:dyDescent="0.3">
      <c r="I126">
        <v>1800</v>
      </c>
      <c r="J126">
        <v>1000</v>
      </c>
      <c r="K126">
        <v>500</v>
      </c>
      <c r="L126">
        <v>200</v>
      </c>
      <c r="M126">
        <v>100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9:19" x14ac:dyDescent="0.3">
      <c r="I127">
        <v>1900</v>
      </c>
      <c r="J127">
        <v>1000</v>
      </c>
      <c r="K127">
        <v>500</v>
      </c>
      <c r="L127">
        <v>200</v>
      </c>
      <c r="M127" s="43" t="s">
        <v>360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9:19" x14ac:dyDescent="0.3">
      <c r="I128">
        <v>2000</v>
      </c>
      <c r="J128">
        <v>2000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9:19" x14ac:dyDescent="0.3">
      <c r="I129">
        <v>2100</v>
      </c>
      <c r="J129">
        <v>2000</v>
      </c>
      <c r="K129">
        <v>100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9:19" x14ac:dyDescent="0.3">
      <c r="I130">
        <v>2200</v>
      </c>
      <c r="J130">
        <v>2000</v>
      </c>
      <c r="K130" s="43">
        <v>200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9:19" x14ac:dyDescent="0.3">
      <c r="I131">
        <v>2300</v>
      </c>
      <c r="J131">
        <v>2000</v>
      </c>
      <c r="K131" s="43">
        <v>200</v>
      </c>
      <c r="L131">
        <v>100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9:19" x14ac:dyDescent="0.3">
      <c r="I132">
        <v>2400</v>
      </c>
      <c r="J132">
        <v>2000</v>
      </c>
      <c r="K132">
        <v>200</v>
      </c>
      <c r="L132" s="43" t="s">
        <v>360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9:19" x14ac:dyDescent="0.3">
      <c r="I133">
        <v>2500</v>
      </c>
      <c r="J133">
        <v>2000</v>
      </c>
      <c r="K133">
        <v>500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9:19" x14ac:dyDescent="0.3">
      <c r="I134">
        <v>2600</v>
      </c>
      <c r="J134">
        <v>2000</v>
      </c>
      <c r="K134">
        <v>500</v>
      </c>
      <c r="L134">
        <v>100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9:19" x14ac:dyDescent="0.3">
      <c r="I135">
        <v>2700</v>
      </c>
      <c r="J135">
        <v>2000</v>
      </c>
      <c r="K135">
        <v>500</v>
      </c>
      <c r="L135">
        <v>200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9:19" x14ac:dyDescent="0.3">
      <c r="I136">
        <v>2800</v>
      </c>
      <c r="J136">
        <v>2000</v>
      </c>
      <c r="K136">
        <v>500</v>
      </c>
      <c r="L136">
        <v>200</v>
      </c>
      <c r="M136">
        <v>100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9:19" x14ac:dyDescent="0.3">
      <c r="I137">
        <v>2900</v>
      </c>
      <c r="J137">
        <v>2000</v>
      </c>
      <c r="K137">
        <v>500</v>
      </c>
      <c r="L137">
        <v>200</v>
      </c>
      <c r="M137" s="43" t="s">
        <v>360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9:19" x14ac:dyDescent="0.3">
      <c r="I138">
        <v>3000</v>
      </c>
      <c r="J138">
        <v>2000</v>
      </c>
      <c r="K138">
        <v>1000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9:19" x14ac:dyDescent="0.3">
      <c r="I139">
        <v>3100</v>
      </c>
      <c r="J139">
        <v>2000</v>
      </c>
      <c r="K139">
        <v>1000</v>
      </c>
      <c r="L139">
        <v>100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9:19" x14ac:dyDescent="0.3">
      <c r="I140">
        <v>3200</v>
      </c>
      <c r="J140">
        <v>2000</v>
      </c>
      <c r="K140">
        <v>1000</v>
      </c>
      <c r="L140">
        <v>200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9:19" x14ac:dyDescent="0.3">
      <c r="I141">
        <v>3300</v>
      </c>
      <c r="J141">
        <v>2000</v>
      </c>
      <c r="K141">
        <v>1000</v>
      </c>
      <c r="L141">
        <v>200</v>
      </c>
      <c r="M141">
        <v>100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9:19" x14ac:dyDescent="0.3">
      <c r="I142">
        <v>3400</v>
      </c>
      <c r="J142">
        <v>2000</v>
      </c>
      <c r="K142">
        <v>1000</v>
      </c>
      <c r="L142">
        <v>200</v>
      </c>
      <c r="M142" s="43" t="s">
        <v>360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9:19" x14ac:dyDescent="0.3">
      <c r="I143">
        <v>3500</v>
      </c>
      <c r="J143">
        <v>2000</v>
      </c>
      <c r="K143">
        <v>1000</v>
      </c>
      <c r="L143">
        <v>500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9:19" x14ac:dyDescent="0.3">
      <c r="I144">
        <v>3600</v>
      </c>
      <c r="J144">
        <v>2000</v>
      </c>
      <c r="K144">
        <v>1000</v>
      </c>
      <c r="L144">
        <v>500</v>
      </c>
      <c r="M144">
        <v>100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9:19" x14ac:dyDescent="0.3">
      <c r="I145">
        <v>3700</v>
      </c>
      <c r="J145">
        <v>2000</v>
      </c>
      <c r="K145">
        <v>1000</v>
      </c>
      <c r="L145">
        <v>500</v>
      </c>
      <c r="M145">
        <v>200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9:19" x14ac:dyDescent="0.3">
      <c r="I146">
        <v>3800</v>
      </c>
      <c r="J146">
        <v>2000</v>
      </c>
      <c r="K146">
        <v>1000</v>
      </c>
      <c r="L146">
        <v>500</v>
      </c>
      <c r="M146">
        <v>200</v>
      </c>
      <c r="N146">
        <v>100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9:19" x14ac:dyDescent="0.3">
      <c r="I147">
        <v>3900</v>
      </c>
      <c r="J147">
        <v>2000</v>
      </c>
      <c r="K147">
        <v>1000</v>
      </c>
      <c r="L147">
        <v>500</v>
      </c>
      <c r="M147">
        <v>200</v>
      </c>
      <c r="N147" s="43" t="s">
        <v>360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9:19" x14ac:dyDescent="0.3">
      <c r="I148">
        <v>4000</v>
      </c>
      <c r="J148">
        <v>2000</v>
      </c>
      <c r="K148" s="43" t="s">
        <v>378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9:19" x14ac:dyDescent="0.3">
      <c r="I149">
        <v>4100</v>
      </c>
      <c r="J149">
        <v>2000</v>
      </c>
      <c r="K149" s="43" t="s">
        <v>378</v>
      </c>
      <c r="L149">
        <v>100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9:19" x14ac:dyDescent="0.3">
      <c r="I150">
        <v>4200</v>
      </c>
      <c r="J150">
        <v>2000</v>
      </c>
      <c r="K150" s="43" t="s">
        <v>378</v>
      </c>
      <c r="L150">
        <v>200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9:19" x14ac:dyDescent="0.3">
      <c r="I151">
        <v>4300</v>
      </c>
      <c r="J151">
        <v>2000</v>
      </c>
      <c r="K151" s="43" t="s">
        <v>378</v>
      </c>
      <c r="L151">
        <v>200</v>
      </c>
      <c r="M151">
        <v>100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9:19" x14ac:dyDescent="0.3">
      <c r="I152">
        <v>4400</v>
      </c>
      <c r="J152">
        <v>2000</v>
      </c>
      <c r="K152" s="43" t="s">
        <v>378</v>
      </c>
      <c r="L152">
        <v>200</v>
      </c>
      <c r="M152" s="43" t="s">
        <v>360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9:19" x14ac:dyDescent="0.3">
      <c r="I153">
        <v>4500</v>
      </c>
      <c r="J153">
        <v>2000</v>
      </c>
      <c r="K153" s="43" t="s">
        <v>378</v>
      </c>
      <c r="L153">
        <v>500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9:19" x14ac:dyDescent="0.3">
      <c r="I154">
        <v>4600</v>
      </c>
      <c r="J154">
        <v>2000</v>
      </c>
      <c r="K154" s="43" t="s">
        <v>378</v>
      </c>
      <c r="L154">
        <v>500</v>
      </c>
      <c r="M154">
        <v>100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9:19" x14ac:dyDescent="0.3">
      <c r="I155">
        <v>4700</v>
      </c>
      <c r="J155">
        <v>2000</v>
      </c>
      <c r="K155" s="43" t="s">
        <v>378</v>
      </c>
      <c r="L155">
        <v>500</v>
      </c>
      <c r="M155">
        <v>200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9:19" x14ac:dyDescent="0.3">
      <c r="I156">
        <v>4800</v>
      </c>
      <c r="J156">
        <v>2000</v>
      </c>
      <c r="K156" s="43" t="s">
        <v>378</v>
      </c>
      <c r="L156">
        <v>500</v>
      </c>
      <c r="M156">
        <v>200</v>
      </c>
      <c r="N156">
        <v>100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9:19" x14ac:dyDescent="0.3">
      <c r="I157">
        <v>4900</v>
      </c>
      <c r="J157">
        <v>2000</v>
      </c>
      <c r="K157" s="43" t="s">
        <v>378</v>
      </c>
      <c r="L157">
        <v>500</v>
      </c>
      <c r="M157">
        <v>200</v>
      </c>
      <c r="N157" s="43" t="s">
        <v>360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9:19" x14ac:dyDescent="0.3">
      <c r="I158">
        <v>5000</v>
      </c>
      <c r="J158">
        <v>5000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9:19" x14ac:dyDescent="0.3">
      <c r="I159">
        <v>5100</v>
      </c>
      <c r="J159">
        <v>5000</v>
      </c>
      <c r="K159">
        <v>100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9:19" x14ac:dyDescent="0.3">
      <c r="I160">
        <v>5200</v>
      </c>
      <c r="J160">
        <v>5000</v>
      </c>
      <c r="K160">
        <v>200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9:19" x14ac:dyDescent="0.3">
      <c r="I161">
        <v>5300</v>
      </c>
      <c r="J161">
        <v>5000</v>
      </c>
      <c r="K161">
        <v>200</v>
      </c>
      <c r="L161">
        <v>100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9:19" x14ac:dyDescent="0.3">
      <c r="I162">
        <v>5400</v>
      </c>
      <c r="J162">
        <v>5000</v>
      </c>
      <c r="K162">
        <v>200</v>
      </c>
      <c r="L162" s="43" t="s">
        <v>360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9:19" x14ac:dyDescent="0.3">
      <c r="I163">
        <v>5500</v>
      </c>
      <c r="J163">
        <v>5000</v>
      </c>
      <c r="K163">
        <v>500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9:19" x14ac:dyDescent="0.3">
      <c r="I164">
        <v>5600</v>
      </c>
      <c r="J164">
        <v>5000</v>
      </c>
      <c r="K164">
        <v>500</v>
      </c>
      <c r="L164">
        <v>100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9:19" x14ac:dyDescent="0.3">
      <c r="I165">
        <v>5700</v>
      </c>
      <c r="J165">
        <v>5000</v>
      </c>
      <c r="K165">
        <v>500</v>
      </c>
      <c r="L165">
        <v>200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9:19" x14ac:dyDescent="0.3">
      <c r="I166">
        <v>5800</v>
      </c>
      <c r="J166">
        <v>5000</v>
      </c>
      <c r="K166">
        <v>500</v>
      </c>
      <c r="L166">
        <v>200</v>
      </c>
      <c r="M166">
        <v>100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9:19" x14ac:dyDescent="0.3">
      <c r="I167">
        <v>5900</v>
      </c>
      <c r="J167">
        <v>5000</v>
      </c>
      <c r="K167">
        <v>500</v>
      </c>
      <c r="L167">
        <v>200</v>
      </c>
      <c r="M167" s="43" t="s">
        <v>360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9:19" x14ac:dyDescent="0.3">
      <c r="I168">
        <v>6000</v>
      </c>
      <c r="J168">
        <v>5000</v>
      </c>
      <c r="K168">
        <v>1000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9:19" x14ac:dyDescent="0.3">
      <c r="I169">
        <v>6100</v>
      </c>
      <c r="J169">
        <v>5000</v>
      </c>
      <c r="K169">
        <v>1000</v>
      </c>
      <c r="L169">
        <v>100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9:19" x14ac:dyDescent="0.3">
      <c r="I170">
        <v>6200</v>
      </c>
      <c r="J170">
        <v>5000</v>
      </c>
      <c r="K170">
        <v>1000</v>
      </c>
      <c r="L170">
        <v>200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9:19" x14ac:dyDescent="0.3">
      <c r="I171">
        <v>6300</v>
      </c>
      <c r="J171">
        <v>5000</v>
      </c>
      <c r="K171">
        <v>1000</v>
      </c>
      <c r="L171">
        <v>200</v>
      </c>
      <c r="M171">
        <v>100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9:19" x14ac:dyDescent="0.3">
      <c r="I172">
        <v>6400</v>
      </c>
      <c r="J172">
        <v>5000</v>
      </c>
      <c r="K172">
        <v>1000</v>
      </c>
      <c r="L172">
        <v>200</v>
      </c>
      <c r="M172" s="43" t="s">
        <v>360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9:19" x14ac:dyDescent="0.3">
      <c r="I173">
        <v>6500</v>
      </c>
      <c r="J173">
        <v>5000</v>
      </c>
      <c r="K173">
        <v>1000</v>
      </c>
      <c r="L173">
        <v>500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9:19" x14ac:dyDescent="0.3">
      <c r="I174">
        <v>6600</v>
      </c>
      <c r="J174">
        <v>5000</v>
      </c>
      <c r="K174">
        <v>1000</v>
      </c>
      <c r="L174">
        <v>500</v>
      </c>
      <c r="M174">
        <v>100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9:19" x14ac:dyDescent="0.3">
      <c r="I175">
        <v>6700</v>
      </c>
      <c r="J175">
        <v>5000</v>
      </c>
      <c r="K175">
        <v>1000</v>
      </c>
      <c r="L175">
        <v>500</v>
      </c>
      <c r="M175">
        <v>200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9:19" x14ac:dyDescent="0.3">
      <c r="I176">
        <v>6800</v>
      </c>
      <c r="J176">
        <v>5000</v>
      </c>
      <c r="K176">
        <v>1000</v>
      </c>
      <c r="L176">
        <v>500</v>
      </c>
      <c r="M176">
        <v>200</v>
      </c>
      <c r="N176">
        <v>100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9:19" x14ac:dyDescent="0.3">
      <c r="I177">
        <v>6900</v>
      </c>
      <c r="J177">
        <v>5000</v>
      </c>
      <c r="K177">
        <v>1000</v>
      </c>
      <c r="L177">
        <v>500</v>
      </c>
      <c r="M177">
        <v>200</v>
      </c>
      <c r="N177" s="43" t="s">
        <v>360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9:19" x14ac:dyDescent="0.3">
      <c r="I178">
        <v>7000</v>
      </c>
      <c r="J178">
        <v>5000</v>
      </c>
      <c r="K178">
        <v>2000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9:19" x14ac:dyDescent="0.3">
      <c r="I179">
        <v>7100</v>
      </c>
      <c r="J179">
        <v>5000</v>
      </c>
      <c r="K179">
        <v>2000</v>
      </c>
      <c r="L179">
        <v>100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9:19" x14ac:dyDescent="0.3">
      <c r="I180">
        <v>7200</v>
      </c>
      <c r="J180">
        <v>5000</v>
      </c>
      <c r="K180">
        <v>2000</v>
      </c>
      <c r="L180">
        <v>200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9:19" x14ac:dyDescent="0.3">
      <c r="I181">
        <v>7300</v>
      </c>
      <c r="J181">
        <v>5000</v>
      </c>
      <c r="K181">
        <v>2000</v>
      </c>
      <c r="L181">
        <v>200</v>
      </c>
      <c r="M181">
        <v>100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9:19" x14ac:dyDescent="0.3">
      <c r="I182">
        <v>7400</v>
      </c>
      <c r="J182">
        <v>5000</v>
      </c>
      <c r="K182">
        <v>2000</v>
      </c>
      <c r="L182">
        <v>200</v>
      </c>
      <c r="M182" s="43" t="s">
        <v>360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9:19" x14ac:dyDescent="0.3">
      <c r="I183">
        <v>7500</v>
      </c>
      <c r="J183">
        <v>5000</v>
      </c>
      <c r="K183">
        <v>2000</v>
      </c>
      <c r="L183">
        <v>500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9:19" x14ac:dyDescent="0.3">
      <c r="I184">
        <v>7600</v>
      </c>
      <c r="J184">
        <v>5000</v>
      </c>
      <c r="K184">
        <v>2000</v>
      </c>
      <c r="L184">
        <v>500</v>
      </c>
      <c r="M184">
        <v>100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9:19" x14ac:dyDescent="0.3">
      <c r="I185">
        <v>7700</v>
      </c>
      <c r="J185">
        <v>5000</v>
      </c>
      <c r="K185">
        <v>2000</v>
      </c>
      <c r="L185">
        <v>500</v>
      </c>
      <c r="M185">
        <v>200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9:19" x14ac:dyDescent="0.3">
      <c r="I186">
        <v>7800</v>
      </c>
      <c r="J186">
        <v>5000</v>
      </c>
      <c r="K186">
        <v>2000</v>
      </c>
      <c r="L186">
        <v>500</v>
      </c>
      <c r="M186">
        <v>200</v>
      </c>
      <c r="N186">
        <v>100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9:19" x14ac:dyDescent="0.3">
      <c r="I187">
        <v>7900</v>
      </c>
      <c r="J187">
        <v>5000</v>
      </c>
      <c r="K187">
        <v>2000</v>
      </c>
      <c r="L187">
        <v>500</v>
      </c>
      <c r="M187">
        <v>200</v>
      </c>
      <c r="N187" s="43" t="s">
        <v>360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9:19" x14ac:dyDescent="0.3">
      <c r="I188">
        <v>8000</v>
      </c>
      <c r="J188">
        <v>5000</v>
      </c>
      <c r="K188">
        <v>2000</v>
      </c>
      <c r="L188">
        <v>1000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9:19" x14ac:dyDescent="0.3">
      <c r="I189">
        <v>8100</v>
      </c>
      <c r="J189">
        <v>5000</v>
      </c>
      <c r="K189">
        <v>2000</v>
      </c>
      <c r="L189">
        <v>1000</v>
      </c>
      <c r="M189">
        <v>100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9:19" x14ac:dyDescent="0.3">
      <c r="I190">
        <v>8200</v>
      </c>
      <c r="J190">
        <v>5000</v>
      </c>
      <c r="K190">
        <v>2000</v>
      </c>
      <c r="L190">
        <v>1000</v>
      </c>
      <c r="M190">
        <v>200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9:19" x14ac:dyDescent="0.3">
      <c r="I191">
        <v>8300</v>
      </c>
      <c r="J191">
        <v>5000</v>
      </c>
      <c r="K191">
        <v>2000</v>
      </c>
      <c r="L191">
        <v>1000</v>
      </c>
      <c r="M191">
        <v>300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9:19" x14ac:dyDescent="0.3">
      <c r="I192">
        <v>8400</v>
      </c>
      <c r="J192">
        <v>5000</v>
      </c>
      <c r="K192">
        <v>2000</v>
      </c>
      <c r="L192">
        <v>1000</v>
      </c>
      <c r="M192">
        <v>200</v>
      </c>
      <c r="N192" s="43" t="s">
        <v>360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9:19" x14ac:dyDescent="0.3">
      <c r="I193">
        <v>8500</v>
      </c>
      <c r="J193">
        <v>5000</v>
      </c>
      <c r="K193">
        <v>2000</v>
      </c>
      <c r="L193">
        <v>1000</v>
      </c>
      <c r="M193">
        <v>500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9:19" x14ac:dyDescent="0.3">
      <c r="I194">
        <v>8600</v>
      </c>
      <c r="J194">
        <v>5000</v>
      </c>
      <c r="K194">
        <v>2000</v>
      </c>
      <c r="L194">
        <v>1000</v>
      </c>
      <c r="M194">
        <v>500</v>
      </c>
      <c r="N194">
        <v>100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9:19" x14ac:dyDescent="0.3">
      <c r="I195">
        <v>8700</v>
      </c>
      <c r="J195">
        <v>5000</v>
      </c>
      <c r="K195">
        <v>2000</v>
      </c>
      <c r="L195">
        <v>1000</v>
      </c>
      <c r="M195">
        <v>500</v>
      </c>
      <c r="N195">
        <v>200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9:19" x14ac:dyDescent="0.3">
      <c r="I196">
        <v>8800</v>
      </c>
      <c r="J196">
        <v>5000</v>
      </c>
      <c r="K196">
        <v>2000</v>
      </c>
      <c r="L196">
        <v>1000</v>
      </c>
      <c r="M196">
        <v>500</v>
      </c>
      <c r="N196">
        <v>200</v>
      </c>
      <c r="O196">
        <v>100</v>
      </c>
      <c r="P196">
        <v>0</v>
      </c>
      <c r="Q196">
        <v>0</v>
      </c>
      <c r="R196">
        <v>0</v>
      </c>
      <c r="S196">
        <v>0</v>
      </c>
    </row>
    <row r="197" spans="9:19" x14ac:dyDescent="0.3">
      <c r="I197">
        <v>8900</v>
      </c>
      <c r="J197">
        <v>5000</v>
      </c>
      <c r="K197">
        <v>2000</v>
      </c>
      <c r="L197">
        <v>1000</v>
      </c>
      <c r="M197">
        <v>500</v>
      </c>
      <c r="N197">
        <v>200</v>
      </c>
      <c r="O197">
        <v>200</v>
      </c>
      <c r="P197">
        <v>0</v>
      </c>
      <c r="Q197">
        <v>0</v>
      </c>
      <c r="R197">
        <v>0</v>
      </c>
      <c r="S197">
        <v>0</v>
      </c>
    </row>
    <row r="198" spans="9:19" x14ac:dyDescent="0.3">
      <c r="I198">
        <v>9000</v>
      </c>
      <c r="J198">
        <v>5000</v>
      </c>
      <c r="K198">
        <v>2000</v>
      </c>
      <c r="L198" s="43" t="s">
        <v>378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9:19" x14ac:dyDescent="0.3">
      <c r="I199">
        <v>9100</v>
      </c>
      <c r="J199">
        <v>5000</v>
      </c>
      <c r="K199">
        <v>2000</v>
      </c>
      <c r="L199" s="43" t="s">
        <v>378</v>
      </c>
      <c r="M199">
        <v>100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9:19" x14ac:dyDescent="0.3">
      <c r="I200">
        <v>9200</v>
      </c>
      <c r="J200">
        <v>5000</v>
      </c>
      <c r="K200">
        <v>2000</v>
      </c>
      <c r="L200" s="43" t="s">
        <v>378</v>
      </c>
      <c r="M200">
        <v>200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9:19" x14ac:dyDescent="0.3">
      <c r="I201">
        <v>9300</v>
      </c>
      <c r="J201">
        <v>5000</v>
      </c>
      <c r="K201">
        <v>2000</v>
      </c>
      <c r="L201" s="43" t="s">
        <v>378</v>
      </c>
      <c r="M201">
        <v>200</v>
      </c>
      <c r="N201">
        <v>100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9:19" x14ac:dyDescent="0.3">
      <c r="I202">
        <v>9400</v>
      </c>
      <c r="J202">
        <v>5000</v>
      </c>
      <c r="K202">
        <v>2000</v>
      </c>
      <c r="L202" s="43" t="s">
        <v>378</v>
      </c>
      <c r="M202">
        <v>200</v>
      </c>
      <c r="N202" s="43" t="s">
        <v>360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9:19" x14ac:dyDescent="0.3">
      <c r="I203">
        <v>9500</v>
      </c>
      <c r="J203">
        <v>5000</v>
      </c>
      <c r="K203">
        <v>2000</v>
      </c>
      <c r="L203" s="43" t="s">
        <v>378</v>
      </c>
      <c r="M203">
        <v>500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9:19" x14ac:dyDescent="0.3">
      <c r="I204">
        <v>9600</v>
      </c>
      <c r="J204">
        <v>5000</v>
      </c>
      <c r="K204">
        <v>2000</v>
      </c>
      <c r="L204" s="43" t="s">
        <v>378</v>
      </c>
      <c r="M204">
        <v>500</v>
      </c>
      <c r="N204">
        <v>100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9:19" x14ac:dyDescent="0.3">
      <c r="I205">
        <v>9700</v>
      </c>
      <c r="J205">
        <v>5000</v>
      </c>
      <c r="K205">
        <v>2000</v>
      </c>
      <c r="L205" s="43" t="s">
        <v>378</v>
      </c>
      <c r="M205">
        <v>500</v>
      </c>
      <c r="N205">
        <v>200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9:19" x14ac:dyDescent="0.3">
      <c r="I206">
        <v>9800</v>
      </c>
      <c r="J206">
        <v>5000</v>
      </c>
      <c r="K206">
        <v>2000</v>
      </c>
      <c r="L206" s="43" t="s">
        <v>378</v>
      </c>
      <c r="M206">
        <v>500</v>
      </c>
      <c r="N206">
        <v>200</v>
      </c>
      <c r="O206">
        <v>100</v>
      </c>
      <c r="P206">
        <v>0</v>
      </c>
      <c r="Q206">
        <v>0</v>
      </c>
      <c r="R206">
        <v>0</v>
      </c>
      <c r="S206">
        <v>0</v>
      </c>
    </row>
    <row r="207" spans="9:19" x14ac:dyDescent="0.3">
      <c r="I207">
        <v>9900</v>
      </c>
      <c r="J207">
        <v>5000</v>
      </c>
      <c r="K207">
        <v>2000</v>
      </c>
      <c r="L207" s="43" t="s">
        <v>378</v>
      </c>
      <c r="M207">
        <v>500</v>
      </c>
      <c r="N207">
        <v>200</v>
      </c>
      <c r="O207" s="43" t="s">
        <v>360</v>
      </c>
      <c r="P207">
        <v>0</v>
      </c>
      <c r="Q207">
        <v>0</v>
      </c>
      <c r="R207">
        <v>0</v>
      </c>
      <c r="S207">
        <v>0</v>
      </c>
    </row>
    <row r="208" spans="9:19" x14ac:dyDescent="0.3">
      <c r="I208">
        <v>10000</v>
      </c>
      <c r="J208">
        <v>10000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9:19" x14ac:dyDescent="0.3">
      <c r="I209">
        <v>11000</v>
      </c>
      <c r="J209">
        <v>10000</v>
      </c>
      <c r="K209">
        <v>1000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9:19" x14ac:dyDescent="0.3">
      <c r="I210">
        <v>12000</v>
      </c>
      <c r="J210">
        <v>10000</v>
      </c>
      <c r="K210">
        <v>2000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9:19" x14ac:dyDescent="0.3">
      <c r="I211">
        <v>13000</v>
      </c>
      <c r="J211">
        <v>10000</v>
      </c>
      <c r="K211">
        <v>2000</v>
      </c>
      <c r="L211">
        <v>1000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9:19" x14ac:dyDescent="0.3">
      <c r="I212">
        <v>14000</v>
      </c>
      <c r="J212">
        <v>10000</v>
      </c>
      <c r="K212">
        <v>2000</v>
      </c>
      <c r="L212" s="43" t="s">
        <v>378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9:19" x14ac:dyDescent="0.3">
      <c r="I213">
        <v>15000</v>
      </c>
      <c r="J213">
        <v>10000</v>
      </c>
      <c r="K213">
        <v>5000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9:19" x14ac:dyDescent="0.3">
      <c r="I214">
        <v>16000</v>
      </c>
      <c r="J214">
        <v>10000</v>
      </c>
      <c r="K214">
        <v>5000</v>
      </c>
      <c r="L214">
        <v>1000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9:19" x14ac:dyDescent="0.3">
      <c r="I215">
        <v>17000</v>
      </c>
      <c r="J215">
        <v>10000</v>
      </c>
      <c r="K215">
        <v>5000</v>
      </c>
      <c r="L215">
        <v>2000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9:19" x14ac:dyDescent="0.3">
      <c r="I216">
        <v>18000</v>
      </c>
      <c r="J216">
        <v>10000</v>
      </c>
      <c r="K216">
        <v>5000</v>
      </c>
      <c r="L216">
        <v>2000</v>
      </c>
      <c r="M216">
        <v>1000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9:19" x14ac:dyDescent="0.3">
      <c r="I217">
        <v>19000</v>
      </c>
      <c r="J217">
        <v>10000</v>
      </c>
      <c r="K217">
        <v>5000</v>
      </c>
      <c r="L217">
        <v>2000</v>
      </c>
      <c r="M217" s="43" t="s">
        <v>378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9:19" x14ac:dyDescent="0.3">
      <c r="I218">
        <v>20000</v>
      </c>
      <c r="J218">
        <v>20000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9:19" x14ac:dyDescent="0.3">
      <c r="I219">
        <v>21000</v>
      </c>
      <c r="J219">
        <v>20000</v>
      </c>
      <c r="K219">
        <v>1000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9:19" x14ac:dyDescent="0.3">
      <c r="I220">
        <v>22000</v>
      </c>
      <c r="J220">
        <v>20000</v>
      </c>
      <c r="K220" s="43" t="s">
        <v>378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9:19" x14ac:dyDescent="0.3">
      <c r="I221">
        <v>23000</v>
      </c>
      <c r="J221">
        <v>20000</v>
      </c>
      <c r="K221" s="43" t="s">
        <v>378</v>
      </c>
      <c r="L221">
        <v>1000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9:19" x14ac:dyDescent="0.3">
      <c r="I222">
        <v>24000</v>
      </c>
      <c r="J222">
        <v>20000</v>
      </c>
      <c r="K222" s="43">
        <v>2000</v>
      </c>
      <c r="L222" s="43" t="s">
        <v>378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9:19" x14ac:dyDescent="0.3">
      <c r="I223">
        <v>25000</v>
      </c>
      <c r="J223">
        <v>20000</v>
      </c>
      <c r="K223">
        <v>5000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9:19" x14ac:dyDescent="0.3">
      <c r="I224">
        <v>26000</v>
      </c>
      <c r="J224">
        <v>20000</v>
      </c>
      <c r="K224">
        <v>5000</v>
      </c>
      <c r="L224">
        <v>1000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9:19" x14ac:dyDescent="0.3">
      <c r="I225">
        <v>27000</v>
      </c>
      <c r="J225">
        <v>20000</v>
      </c>
      <c r="K225">
        <v>5000</v>
      </c>
      <c r="L225">
        <v>2000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9:19" x14ac:dyDescent="0.3">
      <c r="I226">
        <v>28000</v>
      </c>
      <c r="J226">
        <v>20000</v>
      </c>
      <c r="K226">
        <v>5000</v>
      </c>
      <c r="L226">
        <v>2000</v>
      </c>
      <c r="M226">
        <v>1000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9:19" x14ac:dyDescent="0.3">
      <c r="I227">
        <v>29000</v>
      </c>
      <c r="J227">
        <v>20000</v>
      </c>
      <c r="K227">
        <v>5000</v>
      </c>
      <c r="L227">
        <v>2000</v>
      </c>
      <c r="M227" s="43" t="s">
        <v>378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9:19" x14ac:dyDescent="0.3">
      <c r="I228">
        <v>30000</v>
      </c>
      <c r="J228">
        <v>20000</v>
      </c>
      <c r="K228">
        <v>10000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9:19" x14ac:dyDescent="0.3">
      <c r="I229">
        <v>31000</v>
      </c>
      <c r="J229">
        <v>20000</v>
      </c>
      <c r="K229">
        <v>10000</v>
      </c>
      <c r="L229">
        <v>1000</v>
      </c>
    </row>
    <row r="230" spans="9:19" x14ac:dyDescent="0.3">
      <c r="I230">
        <v>32000</v>
      </c>
      <c r="J230">
        <v>20000</v>
      </c>
      <c r="K230">
        <v>10000</v>
      </c>
      <c r="L230">
        <v>2000</v>
      </c>
    </row>
    <row r="231" spans="9:19" x14ac:dyDescent="0.3">
      <c r="I231">
        <v>33000</v>
      </c>
      <c r="J231">
        <v>20000</v>
      </c>
      <c r="K231">
        <v>10000</v>
      </c>
      <c r="L231">
        <v>2000</v>
      </c>
      <c r="M231">
        <v>1000</v>
      </c>
    </row>
    <row r="232" spans="9:19" x14ac:dyDescent="0.3">
      <c r="I232">
        <v>34000</v>
      </c>
      <c r="J232">
        <v>20000</v>
      </c>
      <c r="K232">
        <v>10000</v>
      </c>
      <c r="L232">
        <v>2000</v>
      </c>
      <c r="M232" s="43" t="s">
        <v>378</v>
      </c>
    </row>
    <row r="233" spans="9:19" x14ac:dyDescent="0.3">
      <c r="I233">
        <v>35000</v>
      </c>
      <c r="J233">
        <v>20000</v>
      </c>
      <c r="K233">
        <v>10000</v>
      </c>
      <c r="L233">
        <v>5000</v>
      </c>
    </row>
    <row r="234" spans="9:19" x14ac:dyDescent="0.3">
      <c r="I234">
        <v>36000</v>
      </c>
      <c r="J234">
        <v>20000</v>
      </c>
      <c r="K234">
        <v>10000</v>
      </c>
      <c r="L234">
        <v>5000</v>
      </c>
      <c r="M234">
        <v>1000</v>
      </c>
    </row>
    <row r="235" spans="9:19" x14ac:dyDescent="0.3">
      <c r="I235">
        <v>37000</v>
      </c>
      <c r="J235">
        <v>20000</v>
      </c>
      <c r="K235">
        <v>10000</v>
      </c>
      <c r="L235">
        <v>5000</v>
      </c>
      <c r="M235">
        <v>2000</v>
      </c>
    </row>
    <row r="236" spans="9:19" x14ac:dyDescent="0.3">
      <c r="I236">
        <v>38000</v>
      </c>
      <c r="J236">
        <v>20000</v>
      </c>
      <c r="K236">
        <v>10000</v>
      </c>
      <c r="L236">
        <v>5000</v>
      </c>
      <c r="M236">
        <v>2000</v>
      </c>
      <c r="N236">
        <v>1000</v>
      </c>
    </row>
    <row r="237" spans="9:19" x14ac:dyDescent="0.3">
      <c r="I237">
        <v>39000</v>
      </c>
      <c r="J237">
        <v>20000</v>
      </c>
      <c r="K237">
        <v>10000</v>
      </c>
      <c r="L237">
        <v>5000</v>
      </c>
      <c r="M237">
        <v>2000</v>
      </c>
      <c r="N237" s="43" t="s">
        <v>378</v>
      </c>
    </row>
    <row r="238" spans="9:19" x14ac:dyDescent="0.3">
      <c r="I238">
        <v>40000</v>
      </c>
      <c r="J238">
        <v>20000</v>
      </c>
      <c r="K238">
        <v>20000</v>
      </c>
    </row>
    <row r="239" spans="9:19" x14ac:dyDescent="0.3">
      <c r="I239">
        <v>41000</v>
      </c>
      <c r="J239">
        <v>20000</v>
      </c>
      <c r="K239">
        <v>20000</v>
      </c>
      <c r="L239">
        <v>1000</v>
      </c>
    </row>
    <row r="240" spans="9:19" x14ac:dyDescent="0.3">
      <c r="I240">
        <v>42000</v>
      </c>
      <c r="J240">
        <v>20000</v>
      </c>
      <c r="K240">
        <v>20000</v>
      </c>
      <c r="L240">
        <v>2000</v>
      </c>
    </row>
    <row r="241" spans="9:14" x14ac:dyDescent="0.3">
      <c r="I241">
        <v>43000</v>
      </c>
      <c r="J241">
        <v>20000</v>
      </c>
      <c r="K241">
        <v>20000</v>
      </c>
      <c r="L241">
        <v>2000</v>
      </c>
      <c r="M241">
        <v>1000</v>
      </c>
    </row>
    <row r="242" spans="9:14" x14ac:dyDescent="0.3">
      <c r="I242">
        <v>44000</v>
      </c>
      <c r="J242">
        <v>20000</v>
      </c>
      <c r="K242">
        <v>20000</v>
      </c>
      <c r="L242">
        <v>2000</v>
      </c>
      <c r="M242" s="43" t="s">
        <v>378</v>
      </c>
    </row>
    <row r="243" spans="9:14" x14ac:dyDescent="0.3">
      <c r="I243">
        <v>45000</v>
      </c>
      <c r="J243">
        <v>20000</v>
      </c>
      <c r="K243">
        <v>20000</v>
      </c>
      <c r="L243">
        <v>5000</v>
      </c>
    </row>
    <row r="244" spans="9:14" x14ac:dyDescent="0.3">
      <c r="I244">
        <v>46000</v>
      </c>
      <c r="J244">
        <v>20000</v>
      </c>
      <c r="K244">
        <v>20000</v>
      </c>
      <c r="L244">
        <v>5000</v>
      </c>
      <c r="M244">
        <v>1000</v>
      </c>
    </row>
    <row r="245" spans="9:14" x14ac:dyDescent="0.3">
      <c r="I245">
        <v>47000</v>
      </c>
      <c r="J245">
        <v>20000</v>
      </c>
      <c r="K245">
        <v>20000</v>
      </c>
      <c r="L245">
        <v>5000</v>
      </c>
      <c r="M245">
        <v>2000</v>
      </c>
    </row>
    <row r="246" spans="9:14" x14ac:dyDescent="0.3">
      <c r="I246">
        <v>48000</v>
      </c>
      <c r="J246">
        <v>20000</v>
      </c>
      <c r="K246">
        <v>20000</v>
      </c>
      <c r="L246">
        <v>5000</v>
      </c>
      <c r="M246">
        <v>2000</v>
      </c>
      <c r="N246">
        <v>1000</v>
      </c>
    </row>
    <row r="247" spans="9:14" x14ac:dyDescent="0.3">
      <c r="I247">
        <v>49000</v>
      </c>
      <c r="J247">
        <v>20000</v>
      </c>
      <c r="K247">
        <v>20000</v>
      </c>
      <c r="L247">
        <v>5000</v>
      </c>
      <c r="M247">
        <v>2000</v>
      </c>
      <c r="N247" s="43" t="s">
        <v>378</v>
      </c>
    </row>
    <row r="248" spans="9:14" x14ac:dyDescent="0.3">
      <c r="I248">
        <v>50000</v>
      </c>
      <c r="J248">
        <v>20000</v>
      </c>
      <c r="K248">
        <v>20000</v>
      </c>
      <c r="L248">
        <v>10000</v>
      </c>
    </row>
    <row r="249" spans="9:14" x14ac:dyDescent="0.3">
      <c r="I249">
        <v>51000</v>
      </c>
      <c r="J249">
        <v>20000</v>
      </c>
      <c r="K249">
        <v>20000</v>
      </c>
      <c r="L249">
        <v>10000</v>
      </c>
    </row>
    <row r="250" spans="9:14" x14ac:dyDescent="0.3">
      <c r="I250">
        <v>52000</v>
      </c>
      <c r="J250">
        <v>20000</v>
      </c>
      <c r="K250">
        <v>20000</v>
      </c>
      <c r="L250">
        <v>10000</v>
      </c>
    </row>
    <row r="251" spans="9:14" x14ac:dyDescent="0.3">
      <c r="I251">
        <v>53000</v>
      </c>
      <c r="J251">
        <v>20000</v>
      </c>
      <c r="K251">
        <v>20000</v>
      </c>
      <c r="L251">
        <v>10000</v>
      </c>
      <c r="M251">
        <v>1000</v>
      </c>
    </row>
    <row r="252" spans="9:14" x14ac:dyDescent="0.3">
      <c r="I252">
        <v>54000</v>
      </c>
      <c r="J252">
        <v>20000</v>
      </c>
      <c r="K252">
        <v>20000</v>
      </c>
      <c r="L252">
        <v>10000</v>
      </c>
      <c r="M252" s="43" t="s">
        <v>378</v>
      </c>
    </row>
    <row r="253" spans="9:14" x14ac:dyDescent="0.3">
      <c r="I253">
        <v>55000</v>
      </c>
      <c r="J253">
        <v>20000</v>
      </c>
      <c r="K253">
        <v>20000</v>
      </c>
      <c r="L253">
        <v>10000</v>
      </c>
    </row>
    <row r="254" spans="9:14" x14ac:dyDescent="0.3">
      <c r="I254">
        <v>56000</v>
      </c>
      <c r="J254">
        <v>20000</v>
      </c>
      <c r="K254">
        <v>20000</v>
      </c>
      <c r="L254">
        <v>10000</v>
      </c>
      <c r="M254">
        <v>1000</v>
      </c>
    </row>
    <row r="255" spans="9:14" x14ac:dyDescent="0.3">
      <c r="I255">
        <v>57000</v>
      </c>
      <c r="J255">
        <v>20000</v>
      </c>
      <c r="K255">
        <v>20000</v>
      </c>
      <c r="L255">
        <v>10000</v>
      </c>
      <c r="M255">
        <v>2000</v>
      </c>
    </row>
    <row r="256" spans="9:14" x14ac:dyDescent="0.3">
      <c r="I256">
        <v>58000</v>
      </c>
      <c r="J256">
        <v>20000</v>
      </c>
      <c r="K256">
        <v>20000</v>
      </c>
      <c r="L256">
        <v>10000</v>
      </c>
      <c r="M256">
        <v>2000</v>
      </c>
      <c r="N256">
        <v>1000</v>
      </c>
    </row>
    <row r="257" spans="9:14" x14ac:dyDescent="0.3">
      <c r="I257">
        <v>59000</v>
      </c>
      <c r="J257">
        <v>20000</v>
      </c>
      <c r="K257">
        <v>20000</v>
      </c>
      <c r="L257">
        <v>10000</v>
      </c>
      <c r="M257">
        <v>2000</v>
      </c>
      <c r="N257" s="43" t="s">
        <v>378</v>
      </c>
    </row>
    <row r="258" spans="9:14" x14ac:dyDescent="0.3">
      <c r="I258">
        <v>60000</v>
      </c>
      <c r="J258">
        <v>20000</v>
      </c>
      <c r="K258">
        <v>20000</v>
      </c>
      <c r="L258">
        <v>20000</v>
      </c>
    </row>
    <row r="259" spans="9:14" x14ac:dyDescent="0.3">
      <c r="I259">
        <v>61000</v>
      </c>
    </row>
    <row r="260" spans="9:14" x14ac:dyDescent="0.3">
      <c r="I260">
        <v>62000</v>
      </c>
    </row>
    <row r="261" spans="9:14" x14ac:dyDescent="0.3">
      <c r="I261">
        <v>63000</v>
      </c>
    </row>
    <row r="262" spans="9:14" x14ac:dyDescent="0.3">
      <c r="I262">
        <v>64000</v>
      </c>
    </row>
    <row r="263" spans="9:14" x14ac:dyDescent="0.3">
      <c r="I263">
        <v>65000</v>
      </c>
    </row>
    <row r="264" spans="9:14" x14ac:dyDescent="0.3">
      <c r="I264">
        <v>66000</v>
      </c>
    </row>
    <row r="265" spans="9:14" x14ac:dyDescent="0.3">
      <c r="I265">
        <v>67000</v>
      </c>
    </row>
    <row r="266" spans="9:14" x14ac:dyDescent="0.3">
      <c r="I266">
        <v>68000</v>
      </c>
    </row>
    <row r="267" spans="9:14" x14ac:dyDescent="0.3">
      <c r="I267">
        <v>69000</v>
      </c>
    </row>
    <row r="268" spans="9:14" x14ac:dyDescent="0.3">
      <c r="I268">
        <v>70000</v>
      </c>
    </row>
    <row r="269" spans="9:14" x14ac:dyDescent="0.3">
      <c r="I269">
        <v>71000</v>
      </c>
    </row>
    <row r="270" spans="9:14" x14ac:dyDescent="0.3">
      <c r="I270">
        <v>72000</v>
      </c>
    </row>
    <row r="271" spans="9:14" x14ac:dyDescent="0.3">
      <c r="I271">
        <v>73000</v>
      </c>
    </row>
    <row r="272" spans="9:14" x14ac:dyDescent="0.3">
      <c r="I272">
        <v>74000</v>
      </c>
    </row>
    <row r="273" spans="9:9" x14ac:dyDescent="0.3">
      <c r="I273">
        <v>75000</v>
      </c>
    </row>
    <row r="274" spans="9:9" x14ac:dyDescent="0.3">
      <c r="I274">
        <v>76000</v>
      </c>
    </row>
    <row r="275" spans="9:9" x14ac:dyDescent="0.3">
      <c r="I275">
        <v>77000</v>
      </c>
    </row>
    <row r="276" spans="9:9" x14ac:dyDescent="0.3">
      <c r="I276">
        <v>78000</v>
      </c>
    </row>
    <row r="277" spans="9:9" x14ac:dyDescent="0.3">
      <c r="I277">
        <v>79000</v>
      </c>
    </row>
    <row r="278" spans="9:9" x14ac:dyDescent="0.3">
      <c r="I278">
        <v>80000</v>
      </c>
    </row>
    <row r="279" spans="9:9" x14ac:dyDescent="0.3">
      <c r="I279">
        <v>81000</v>
      </c>
    </row>
    <row r="280" spans="9:9" x14ac:dyDescent="0.3">
      <c r="I280">
        <v>82000</v>
      </c>
    </row>
    <row r="281" spans="9:9" x14ac:dyDescent="0.3">
      <c r="I281">
        <v>83000</v>
      </c>
    </row>
    <row r="282" spans="9:9" x14ac:dyDescent="0.3">
      <c r="I282">
        <v>84000</v>
      </c>
    </row>
    <row r="283" spans="9:9" x14ac:dyDescent="0.3">
      <c r="I283">
        <v>85000</v>
      </c>
    </row>
    <row r="284" spans="9:9" x14ac:dyDescent="0.3">
      <c r="I284">
        <v>86000</v>
      </c>
    </row>
    <row r="285" spans="9:9" x14ac:dyDescent="0.3">
      <c r="I285">
        <v>87000</v>
      </c>
    </row>
    <row r="286" spans="9:9" x14ac:dyDescent="0.3">
      <c r="I286">
        <v>88000</v>
      </c>
    </row>
    <row r="287" spans="9:9" x14ac:dyDescent="0.3">
      <c r="I287">
        <v>89000</v>
      </c>
    </row>
    <row r="288" spans="9:9" x14ac:dyDescent="0.3">
      <c r="I288">
        <v>90000</v>
      </c>
    </row>
    <row r="289" spans="9:9" x14ac:dyDescent="0.3">
      <c r="I289">
        <v>91000</v>
      </c>
    </row>
    <row r="290" spans="9:9" x14ac:dyDescent="0.3">
      <c r="I290">
        <v>92000</v>
      </c>
    </row>
    <row r="291" spans="9:9" x14ac:dyDescent="0.3">
      <c r="I291">
        <v>93000</v>
      </c>
    </row>
    <row r="292" spans="9:9" x14ac:dyDescent="0.3">
      <c r="I292">
        <v>94000</v>
      </c>
    </row>
    <row r="293" spans="9:9" x14ac:dyDescent="0.3">
      <c r="I293">
        <v>95000</v>
      </c>
    </row>
    <row r="294" spans="9:9" x14ac:dyDescent="0.3">
      <c r="I294">
        <v>96000</v>
      </c>
    </row>
    <row r="295" spans="9:9" x14ac:dyDescent="0.3">
      <c r="I295">
        <v>97000</v>
      </c>
    </row>
    <row r="296" spans="9:9" x14ac:dyDescent="0.3">
      <c r="I296">
        <v>98000</v>
      </c>
    </row>
    <row r="297" spans="9:9" x14ac:dyDescent="0.3">
      <c r="I297">
        <v>99000</v>
      </c>
    </row>
    <row r="298" spans="9:9" x14ac:dyDescent="0.3">
      <c r="I298">
        <v>100000</v>
      </c>
    </row>
    <row r="299" spans="9:9" x14ac:dyDescent="0.3">
      <c r="I299">
        <v>101000</v>
      </c>
    </row>
    <row r="300" spans="9:9" x14ac:dyDescent="0.3">
      <c r="I300">
        <v>102000</v>
      </c>
    </row>
    <row r="301" spans="9:9" x14ac:dyDescent="0.3">
      <c r="I301">
        <v>103000</v>
      </c>
    </row>
    <row r="302" spans="9:9" x14ac:dyDescent="0.3">
      <c r="I302">
        <v>104000</v>
      </c>
    </row>
    <row r="303" spans="9:9" x14ac:dyDescent="0.3">
      <c r="I303">
        <v>105000</v>
      </c>
    </row>
    <row r="304" spans="9:9" x14ac:dyDescent="0.3">
      <c r="I304">
        <v>106000</v>
      </c>
    </row>
    <row r="305" spans="9:9" x14ac:dyDescent="0.3">
      <c r="I305">
        <v>107000</v>
      </c>
    </row>
    <row r="306" spans="9:9" x14ac:dyDescent="0.3">
      <c r="I306">
        <v>108000</v>
      </c>
    </row>
    <row r="307" spans="9:9" x14ac:dyDescent="0.3">
      <c r="I307">
        <v>109000</v>
      </c>
    </row>
    <row r="308" spans="9:9" x14ac:dyDescent="0.3">
      <c r="I308">
        <v>110000</v>
      </c>
    </row>
    <row r="309" spans="9:9" x14ac:dyDescent="0.3">
      <c r="I309">
        <v>111000</v>
      </c>
    </row>
    <row r="310" spans="9:9" x14ac:dyDescent="0.3">
      <c r="I310">
        <v>112000</v>
      </c>
    </row>
    <row r="311" spans="9:9" x14ac:dyDescent="0.3">
      <c r="I311">
        <v>113000</v>
      </c>
    </row>
    <row r="312" spans="9:9" x14ac:dyDescent="0.3">
      <c r="I312">
        <v>114000</v>
      </c>
    </row>
    <row r="313" spans="9:9" x14ac:dyDescent="0.3">
      <c r="I313">
        <v>115000</v>
      </c>
    </row>
    <row r="314" spans="9:9" x14ac:dyDescent="0.3">
      <c r="I314">
        <v>116000</v>
      </c>
    </row>
    <row r="315" spans="9:9" x14ac:dyDescent="0.3">
      <c r="I315">
        <v>117000</v>
      </c>
    </row>
    <row r="316" spans="9:9" x14ac:dyDescent="0.3">
      <c r="I316">
        <v>118000</v>
      </c>
    </row>
    <row r="317" spans="9:9" x14ac:dyDescent="0.3">
      <c r="I317">
        <v>119000</v>
      </c>
    </row>
    <row r="318" spans="9:9" x14ac:dyDescent="0.3">
      <c r="I318">
        <v>120000</v>
      </c>
    </row>
    <row r="319" spans="9:9" x14ac:dyDescent="0.3">
      <c r="I319">
        <v>121000</v>
      </c>
    </row>
    <row r="320" spans="9:9" x14ac:dyDescent="0.3">
      <c r="I320">
        <v>122000</v>
      </c>
    </row>
    <row r="321" spans="9:9" x14ac:dyDescent="0.3">
      <c r="I321">
        <v>123000</v>
      </c>
    </row>
    <row r="322" spans="9:9" x14ac:dyDescent="0.3">
      <c r="I322">
        <v>124000</v>
      </c>
    </row>
    <row r="323" spans="9:9" x14ac:dyDescent="0.3">
      <c r="I323">
        <v>125000</v>
      </c>
    </row>
    <row r="324" spans="9:9" x14ac:dyDescent="0.3">
      <c r="I324">
        <v>126000</v>
      </c>
    </row>
    <row r="325" spans="9:9" x14ac:dyDescent="0.3">
      <c r="I325">
        <v>127000</v>
      </c>
    </row>
    <row r="326" spans="9:9" x14ac:dyDescent="0.3">
      <c r="I326">
        <v>128000</v>
      </c>
    </row>
    <row r="327" spans="9:9" x14ac:dyDescent="0.3">
      <c r="I327">
        <v>129000</v>
      </c>
    </row>
    <row r="328" spans="9:9" x14ac:dyDescent="0.3">
      <c r="I328">
        <v>130000</v>
      </c>
    </row>
    <row r="329" spans="9:9" x14ac:dyDescent="0.3">
      <c r="I329">
        <v>131000</v>
      </c>
    </row>
    <row r="330" spans="9:9" x14ac:dyDescent="0.3">
      <c r="I330">
        <v>132000</v>
      </c>
    </row>
    <row r="331" spans="9:9" x14ac:dyDescent="0.3">
      <c r="I331">
        <v>133000</v>
      </c>
    </row>
    <row r="332" spans="9:9" x14ac:dyDescent="0.3">
      <c r="I332">
        <v>134000</v>
      </c>
    </row>
    <row r="333" spans="9:9" x14ac:dyDescent="0.3">
      <c r="I333">
        <v>135000</v>
      </c>
    </row>
    <row r="334" spans="9:9" x14ac:dyDescent="0.3">
      <c r="I334">
        <v>136000</v>
      </c>
    </row>
    <row r="335" spans="9:9" x14ac:dyDescent="0.3">
      <c r="I335">
        <v>137000</v>
      </c>
    </row>
    <row r="336" spans="9:9" x14ac:dyDescent="0.3">
      <c r="I336">
        <v>138000</v>
      </c>
    </row>
    <row r="337" spans="9:9" x14ac:dyDescent="0.3">
      <c r="I337">
        <v>139000</v>
      </c>
    </row>
    <row r="338" spans="9:9" x14ac:dyDescent="0.3">
      <c r="I338">
        <v>140000</v>
      </c>
    </row>
    <row r="339" spans="9:9" x14ac:dyDescent="0.3">
      <c r="I339">
        <v>141000</v>
      </c>
    </row>
    <row r="340" spans="9:9" x14ac:dyDescent="0.3">
      <c r="I340">
        <v>142000</v>
      </c>
    </row>
    <row r="341" spans="9:9" x14ac:dyDescent="0.3">
      <c r="I341">
        <v>143000</v>
      </c>
    </row>
    <row r="342" spans="9:9" x14ac:dyDescent="0.3">
      <c r="I342">
        <v>144000</v>
      </c>
    </row>
    <row r="343" spans="9:9" x14ac:dyDescent="0.3">
      <c r="I343">
        <v>145000</v>
      </c>
    </row>
    <row r="344" spans="9:9" x14ac:dyDescent="0.3">
      <c r="I344">
        <v>146000</v>
      </c>
    </row>
    <row r="345" spans="9:9" x14ac:dyDescent="0.3">
      <c r="I345">
        <v>147000</v>
      </c>
    </row>
    <row r="346" spans="9:9" x14ac:dyDescent="0.3">
      <c r="I346">
        <v>148000</v>
      </c>
    </row>
    <row r="347" spans="9:9" x14ac:dyDescent="0.3">
      <c r="I347">
        <v>149000</v>
      </c>
    </row>
    <row r="348" spans="9:9" x14ac:dyDescent="0.3">
      <c r="I348">
        <v>150000</v>
      </c>
    </row>
    <row r="349" spans="9:9" x14ac:dyDescent="0.3">
      <c r="I349">
        <v>151000</v>
      </c>
    </row>
  </sheetData>
  <phoneticPr fontId="67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FORM Baru</vt:lpstr>
      <vt:lpstr>1,2,3,5</vt:lpstr>
      <vt:lpstr>U95</vt:lpstr>
      <vt:lpstr>Koreksi themohygro rotronic 202</vt:lpstr>
      <vt:lpstr>Sertifikat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Athalla Abhiyoga</cp:lastModifiedBy>
  <cp:lastPrinted>2026-03-26T03:27:04Z</cp:lastPrinted>
  <dcterms:created xsi:type="dcterms:W3CDTF">2022-08-14T08:01:11Z</dcterms:created>
  <dcterms:modified xsi:type="dcterms:W3CDTF">2026-04-06T08:00:08Z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e055d4a49a9d4f17b6e39d8d2d8bfe11</vt:lpwstr>
  </property>
</Properties>
</file>