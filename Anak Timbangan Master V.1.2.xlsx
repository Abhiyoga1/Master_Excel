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65d6d73070849b/Desktop/Master Excel Budget Ketidakpastian/Anak Timbangan/"/>
    </mc:Choice>
  </mc:AlternateContent>
  <xr:revisionPtr revIDLastSave="786" documentId="8_{B9865046-3F01-415C-AB9B-8D29BEE77F4A}" xr6:coauthVersionLast="47" xr6:coauthVersionMax="47" xr10:uidLastSave="{70063113-2B43-45B8-880B-2E603BACA2EB}"/>
  <bookViews>
    <workbookView xWindow="-108" yWindow="-108" windowWidth="23256" windowHeight="12456" tabRatio="897" firstSheet="2" activeTab="5" xr2:uid="{00000000-000D-0000-FFFF-FFFF00000000}"/>
  </bookViews>
  <sheets>
    <sheet name="MPE" sheetId="6" state="hidden" r:id="rId1"/>
    <sheet name="E2" sheetId="58" state="hidden" r:id="rId2"/>
    <sheet name="FORM " sheetId="117" r:id="rId3"/>
    <sheet name="0,001" sheetId="102" r:id="rId4"/>
    <sheet name="Koreksi themohygro rotronic 202" sheetId="95" r:id="rId5"/>
    <sheet name="Sertifikat" sheetId="94" r:id="rId6"/>
    <sheet name="Database" sheetId="1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02" l="1"/>
  <c r="C52" i="102"/>
  <c r="E35" i="94"/>
  <c r="E33" i="94"/>
  <c r="G27" i="94"/>
  <c r="E25" i="94"/>
  <c r="E23" i="94"/>
  <c r="E21" i="94"/>
  <c r="E19" i="94"/>
  <c r="B83" i="94" l="1"/>
  <c r="F109" i="94"/>
  <c r="F108" i="94"/>
  <c r="G115" i="94"/>
  <c r="G96" i="94"/>
  <c r="G95" i="94"/>
  <c r="G94" i="94"/>
  <c r="G93" i="94"/>
  <c r="G92" i="94"/>
  <c r="G91" i="94"/>
  <c r="G89" i="94"/>
  <c r="G88" i="94"/>
  <c r="G87" i="94"/>
  <c r="G85" i="94"/>
  <c r="G84" i="94"/>
  <c r="G83" i="94"/>
  <c r="E115" i="94"/>
  <c r="E96" i="94"/>
  <c r="E95" i="94"/>
  <c r="E94" i="94"/>
  <c r="E93" i="94"/>
  <c r="E92" i="94"/>
  <c r="E91" i="94"/>
  <c r="E90" i="94"/>
  <c r="E89" i="94"/>
  <c r="E88" i="94"/>
  <c r="E87" i="94"/>
  <c r="E85" i="94"/>
  <c r="E84" i="94"/>
  <c r="E83" i="94"/>
  <c r="B84" i="94"/>
  <c r="B85" i="94" s="1"/>
  <c r="B86" i="94" s="1"/>
  <c r="B87" i="94" s="1"/>
  <c r="B88" i="94" s="1"/>
  <c r="B89" i="94" s="1"/>
  <c r="B90" i="94" s="1"/>
  <c r="B91" i="94" s="1"/>
  <c r="B92" i="94" s="1"/>
  <c r="B93" i="94" s="1"/>
  <c r="B94" i="94" s="1"/>
  <c r="B95" i="94" s="1"/>
  <c r="B96" i="94" s="1"/>
  <c r="B115" i="94" s="1"/>
  <c r="B116" i="94" s="1"/>
  <c r="B117" i="94" s="1"/>
  <c r="B118" i="94" s="1"/>
  <c r="B119" i="94" s="1"/>
  <c r="B120" i="94" s="1"/>
  <c r="B121" i="94" s="1"/>
  <c r="B122" i="94" s="1"/>
  <c r="B123" i="94" s="1"/>
  <c r="B124" i="94" s="1"/>
  <c r="B125" i="94" s="1"/>
  <c r="B126" i="94" s="1"/>
  <c r="B127" i="94" s="1"/>
  <c r="G92" i="102" l="1"/>
  <c r="N28" i="102"/>
  <c r="N27" i="102"/>
  <c r="N26" i="102"/>
  <c r="N25" i="102"/>
  <c r="N24" i="102"/>
  <c r="N23" i="102"/>
  <c r="N22" i="102"/>
  <c r="N21" i="102"/>
  <c r="G90" i="94" l="1"/>
  <c r="E86" i="94" l="1"/>
  <c r="G86" i="94" l="1"/>
  <c r="C90" i="102"/>
  <c r="B19" i="117"/>
  <c r="B18" i="117"/>
  <c r="B132" i="94"/>
  <c r="C51" i="102"/>
  <c r="C50" i="102"/>
  <c r="E97" i="102" l="1"/>
  <c r="B131" i="94"/>
  <c r="D4" i="95"/>
  <c r="D3" i="95"/>
  <c r="C4" i="95"/>
  <c r="C3" i="95"/>
  <c r="D75" i="94"/>
  <c r="D74" i="94"/>
  <c r="D68" i="94"/>
  <c r="F63" i="94"/>
  <c r="D76" i="94"/>
  <c r="D71" i="94"/>
  <c r="F101" i="102"/>
  <c r="C91" i="102"/>
  <c r="C92" i="102" a="1"/>
  <c r="C92" i="102" s="1"/>
  <c r="F92" i="102" s="1"/>
  <c r="C42" i="102"/>
  <c r="K112" i="102" l="1"/>
  <c r="E100" i="102"/>
  <c r="H100" i="102" s="1"/>
  <c r="J100" i="102" s="1"/>
  <c r="K100" i="102" s="1"/>
  <c r="H97" i="102"/>
  <c r="F62" i="94"/>
  <c r="L100" i="102" l="1"/>
  <c r="E99" i="102"/>
  <c r="H99" i="102" s="1"/>
  <c r="J99" i="102" s="1"/>
  <c r="K99" i="102" s="1"/>
  <c r="J97" i="102"/>
  <c r="K97" i="102" s="1"/>
  <c r="G82" i="102"/>
  <c r="G76" i="102"/>
  <c r="G74" i="102"/>
  <c r="G72" i="102"/>
  <c r="G70" i="102"/>
  <c r="G68" i="102"/>
  <c r="G66" i="102"/>
  <c r="G64" i="102"/>
  <c r="G62" i="102"/>
  <c r="G80" i="102" s="1"/>
  <c r="G60" i="102"/>
  <c r="G58" i="102"/>
  <c r="C45" i="102"/>
  <c r="E45" i="102" s="1"/>
  <c r="I75" i="94" s="1"/>
  <c r="E44" i="102"/>
  <c r="E43" i="102"/>
  <c r="C39" i="102"/>
  <c r="N20" i="102"/>
  <c r="N19" i="102"/>
  <c r="N18" i="102"/>
  <c r="N17" i="102"/>
  <c r="L99" i="102" l="1"/>
  <c r="L97" i="102"/>
  <c r="G98" i="102"/>
  <c r="G78" i="102"/>
  <c r="G84" i="102" s="1"/>
  <c r="G86" i="102" l="1"/>
  <c r="G85" i="102"/>
  <c r="E82" i="94" s="1"/>
  <c r="E98" i="102" l="1"/>
  <c r="H98" i="102" s="1"/>
  <c r="J98" i="102" s="1"/>
  <c r="K98" i="102" l="1"/>
  <c r="K102" i="102" s="1"/>
  <c r="K104" i="102" s="1"/>
  <c r="L98" i="102"/>
  <c r="L102" i="102" s="1"/>
  <c r="K106" i="102" l="1"/>
  <c r="K108" i="102" s="1"/>
  <c r="K110" i="102" s="1"/>
  <c r="E101" i="102" s="1"/>
  <c r="H101" i="102" l="1"/>
  <c r="J101" i="102" s="1"/>
  <c r="D5" i="95"/>
  <c r="C5" i="95"/>
  <c r="D72" i="94"/>
  <c r="D67" i="94"/>
  <c r="D70" i="94"/>
  <c r="D69" i="94"/>
  <c r="L101" i="102" l="1"/>
  <c r="K101" i="102"/>
  <c r="D6" i="95"/>
  <c r="D8" i="95"/>
  <c r="C8" i="95"/>
  <c r="C9" i="95" s="1"/>
  <c r="C6" i="95"/>
  <c r="C10" i="95" l="1"/>
  <c r="D10" i="95"/>
  <c r="I74" i="94" s="1"/>
  <c r="I73" i="94"/>
  <c r="D7" i="95"/>
  <c r="D9" i="95" s="1"/>
  <c r="L103" i="102" l="1"/>
  <c r="K103" i="102"/>
  <c r="K105" i="102" s="1"/>
  <c r="K107" i="102" l="1"/>
  <c r="K109" i="102" s="1"/>
  <c r="K111" i="102" s="1"/>
  <c r="G82" i="9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<sst xmlns="http://schemas.openxmlformats.org/spreadsheetml/2006/main" count="479" uniqueCount="311">
  <si>
    <t>Nominal Value</t>
  </si>
  <si>
    <r>
      <rPr>
        <sz val="10"/>
        <rFont val="Arial"/>
        <family val="2"/>
      </rPr>
      <t>Class E</t>
    </r>
    <r>
      <rPr>
        <sz val="9"/>
        <rFont val="Arial"/>
        <family val="2"/>
      </rPr>
      <t>1</t>
    </r>
  </si>
  <si>
    <r>
      <rPr>
        <sz val="10"/>
        <rFont val="Arial"/>
        <family val="2"/>
      </rPr>
      <t>Class E</t>
    </r>
    <r>
      <rPr>
        <sz val="9"/>
        <rFont val="Arial"/>
        <family val="2"/>
      </rPr>
      <t>2</t>
    </r>
  </si>
  <si>
    <t>Class F1</t>
  </si>
  <si>
    <t>Class F2</t>
  </si>
  <si>
    <t>Class M1</t>
  </si>
  <si>
    <t>Class M2</t>
  </si>
  <si>
    <t>Class M3</t>
  </si>
  <si>
    <t>50 kg</t>
  </si>
  <si>
    <t>20 kg</t>
  </si>
  <si>
    <t>10 kg</t>
  </si>
  <si>
    <t>5 kg</t>
  </si>
  <si>
    <t>2 kg</t>
  </si>
  <si>
    <t xml:space="preserve">1 kg </t>
  </si>
  <si>
    <t>500 g</t>
  </si>
  <si>
    <t>200 g</t>
  </si>
  <si>
    <t>100 g</t>
  </si>
  <si>
    <t>50 g</t>
  </si>
  <si>
    <t>20 g</t>
  </si>
  <si>
    <t xml:space="preserve">10 g </t>
  </si>
  <si>
    <t>5 g</t>
  </si>
  <si>
    <t>2 g</t>
  </si>
  <si>
    <t>1 g</t>
  </si>
  <si>
    <t>500 mg</t>
  </si>
  <si>
    <t>-</t>
  </si>
  <si>
    <t>200 mg</t>
  </si>
  <si>
    <t xml:space="preserve">100 mg </t>
  </si>
  <si>
    <t>50 mg</t>
  </si>
  <si>
    <t>20 mg</t>
  </si>
  <si>
    <t>10 mg</t>
  </si>
  <si>
    <t>5 mg</t>
  </si>
  <si>
    <t>2 mg</t>
  </si>
  <si>
    <t>1 mg</t>
  </si>
  <si>
    <t>Nominal 
(g)</t>
  </si>
  <si>
    <t>Konvensional 
(g)</t>
  </si>
  <si>
    <t>Ketidakpastian 
(mg)</t>
  </si>
  <si>
    <t>2000*</t>
  </si>
  <si>
    <t>200*</t>
  </si>
  <si>
    <t>20*</t>
  </si>
  <si>
    <t>2*</t>
  </si>
  <si>
    <t>0,2*</t>
  </si>
  <si>
    <t>0,02*</t>
  </si>
  <si>
    <t>0,002*</t>
  </si>
  <si>
    <t>S E R T I F I K A T    K A L I B R A S I</t>
  </si>
  <si>
    <t>C A L I B R A T I O N    C E R T I F I C A T E</t>
  </si>
  <si>
    <t>IDENTITAS ALAT</t>
  </si>
  <si>
    <t>INSTRUMENT DETAILS</t>
  </si>
  <si>
    <t>Nama Alat</t>
  </si>
  <si>
    <r>
      <rPr>
        <i/>
        <sz val="8"/>
        <color rgb="FF000000"/>
        <rFont val="Bookman Old Style"/>
        <family val="1"/>
      </rPr>
      <t>Instrument Name</t>
    </r>
    <r>
      <rPr>
        <sz val="11"/>
        <color rgb="FF000000"/>
        <rFont val="Bookman Old Style"/>
        <family val="1"/>
      </rPr>
      <t xml:space="preserve"> </t>
    </r>
  </si>
  <si>
    <r>
      <rPr>
        <sz val="11"/>
        <color rgb="FF000000"/>
        <rFont val="Bookman Old Style"/>
        <family val="1"/>
      </rPr>
      <t>Merek</t>
    </r>
    <r>
      <rPr>
        <i/>
        <sz val="8"/>
        <color rgb="FF000000"/>
        <rFont val="Bookman Old Style"/>
        <family val="1"/>
      </rPr>
      <t xml:space="preserve"> </t>
    </r>
  </si>
  <si>
    <t>Brand</t>
  </si>
  <si>
    <t>Tipe</t>
  </si>
  <si>
    <t xml:space="preserve">Type </t>
  </si>
  <si>
    <t>Nomor Identifikasi</t>
  </si>
  <si>
    <t>Identification Number</t>
  </si>
  <si>
    <t xml:space="preserve">Nomor Seri </t>
  </si>
  <si>
    <t>Serial Number</t>
  </si>
  <si>
    <t>Lain-lain</t>
  </si>
  <si>
    <t>Others</t>
  </si>
  <si>
    <t>IDENTITAS PEMILIK</t>
  </si>
  <si>
    <t>Owner’s Identification</t>
  </si>
  <si>
    <r>
      <rPr>
        <sz val="11"/>
        <color rgb="FF000000"/>
        <rFont val="Bookman Old Style"/>
        <family val="1"/>
      </rPr>
      <t>Nama</t>
    </r>
    <r>
      <rPr>
        <i/>
        <sz val="8"/>
        <color rgb="FF000000"/>
        <rFont val="Bookman Old Style"/>
        <family val="1"/>
      </rPr>
      <t xml:space="preserve"> </t>
    </r>
  </si>
  <si>
    <t>Designation</t>
  </si>
  <si>
    <r>
      <rPr>
        <sz val="11"/>
        <color rgb="FF000000"/>
        <rFont val="Bookman Old Style"/>
        <family val="1"/>
      </rPr>
      <t>Alamat</t>
    </r>
    <r>
      <rPr>
        <i/>
        <sz val="8"/>
        <color rgb="FF000000"/>
        <rFont val="Bookman Old Style"/>
        <family val="1"/>
      </rPr>
      <t xml:space="preserve"> </t>
    </r>
  </si>
  <si>
    <t>Address</t>
  </si>
  <si>
    <t>Page          of            page</t>
  </si>
  <si>
    <t>Date of Issue</t>
  </si>
  <si>
    <t>Nomor</t>
  </si>
  <si>
    <t>No. Order</t>
  </si>
  <si>
    <t>Halaman</t>
  </si>
  <si>
    <t>SPESIFIKASI ALAT</t>
  </si>
  <si>
    <t>Nama</t>
  </si>
  <si>
    <t>Merk / Tipe</t>
  </si>
  <si>
    <t xml:space="preserve">No. Identifikasi </t>
  </si>
  <si>
    <t>No. Seri</t>
  </si>
  <si>
    <t xml:space="preserve">Kapasitas </t>
  </si>
  <si>
    <t>Kecermatan</t>
  </si>
  <si>
    <t>Kondisi ruang</t>
  </si>
  <si>
    <t>Prosedur Kalibrasi</t>
  </si>
  <si>
    <t>: CSIRO 2010</t>
  </si>
  <si>
    <t>Temperatur</t>
  </si>
  <si>
    <t>Tanggal Terima</t>
  </si>
  <si>
    <t>Tanggal Kalibrasi</t>
  </si>
  <si>
    <t>Tekanan</t>
  </si>
  <si>
    <t>Lokasi Alat</t>
  </si>
  <si>
    <t>HASIL KALIBRASI</t>
  </si>
  <si>
    <t>No.</t>
  </si>
  <si>
    <t>Nilai Nominal</t>
  </si>
  <si>
    <t>Massa konvensional</t>
  </si>
  <si>
    <t>Ketidakpastian U95% (k=2)</t>
  </si>
  <si>
    <t>( g )</t>
  </si>
  <si>
    <t>( mg )</t>
  </si>
  <si>
    <t>Catatan :</t>
  </si>
  <si>
    <t>yang tertelusur ke SI melalui LK-001-IDN.</t>
  </si>
  <si>
    <t>M1</t>
  </si>
  <si>
    <t>TABEL MPE OIML R111-1</t>
  </si>
  <si>
    <t>Massa konvensional 
(g)</t>
  </si>
  <si>
    <t>U95 
(mg)</t>
  </si>
  <si>
    <t>Identitas</t>
  </si>
  <si>
    <r>
      <rPr>
        <b/>
        <sz val="10"/>
        <rFont val="Arial"/>
        <family val="2"/>
      </rPr>
      <t>Class E</t>
    </r>
    <r>
      <rPr>
        <b/>
        <sz val="9"/>
        <rFont val="Arial"/>
        <family val="2"/>
      </rPr>
      <t>1</t>
    </r>
  </si>
  <si>
    <r>
      <rPr>
        <b/>
        <sz val="10"/>
        <rFont val="Arial"/>
        <family val="2"/>
      </rPr>
      <t>Class E</t>
    </r>
    <r>
      <rPr>
        <b/>
        <sz val="9"/>
        <rFont val="Arial"/>
        <family val="2"/>
      </rPr>
      <t>2</t>
    </r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</si>
  <si>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</si>
  <si>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</si>
  <si>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</si>
  <si>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</si>
  <si>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</si>
  <si>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</si>
  <si>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</si>
  <si>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</si>
  <si>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</si>
  <si>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</si>
  <si>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</si>
  <si>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</si>
  <si>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</si>
  <si>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</si>
  <si>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</si>
  <si>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20LZ1</t>
  </si>
  <si>
    <t>10LZ1</t>
  </si>
  <si>
    <t>5A</t>
  </si>
  <si>
    <t>10A</t>
  </si>
  <si>
    <t>ISI DATA</t>
  </si>
  <si>
    <t>A</t>
  </si>
  <si>
    <t>Deskripsi</t>
  </si>
  <si>
    <t>Isi</t>
  </si>
  <si>
    <t>Satuan</t>
  </si>
  <si>
    <t>B</t>
  </si>
  <si>
    <t>No Order</t>
  </si>
  <si>
    <t>C</t>
  </si>
  <si>
    <t>Pemilik Alat</t>
  </si>
  <si>
    <t>D</t>
  </si>
  <si>
    <t>Alamat Pemilik Alat</t>
  </si>
  <si>
    <t>E</t>
  </si>
  <si>
    <t>F</t>
  </si>
  <si>
    <t>Nama  Alat</t>
  </si>
  <si>
    <t>G</t>
  </si>
  <si>
    <t xml:space="preserve">Merk </t>
  </si>
  <si>
    <t>H</t>
  </si>
  <si>
    <t>I</t>
  </si>
  <si>
    <t>No Seri</t>
  </si>
  <si>
    <t>No. Identifikasi</t>
  </si>
  <si>
    <t xml:space="preserve">Temperatur Awal </t>
  </si>
  <si>
    <t xml:space="preserve">°C </t>
  </si>
  <si>
    <t>Temperatur Akhir</t>
  </si>
  <si>
    <t>Temperatur rata2</t>
  </si>
  <si>
    <t>Kelembaban Awal</t>
  </si>
  <si>
    <t>%RH</t>
  </si>
  <si>
    <t>Kelembaban Akhir</t>
  </si>
  <si>
    <t>Kelembapan rata2</t>
  </si>
  <si>
    <t>Tekanan awal</t>
  </si>
  <si>
    <t>hPa</t>
  </si>
  <si>
    <t>mmHg</t>
  </si>
  <si>
    <t xml:space="preserve">1 hPa </t>
  </si>
  <si>
    <t>Tekanan akhir</t>
  </si>
  <si>
    <t>Tekanan rata2</t>
  </si>
  <si>
    <t>Tanggal ditulis dengan format text</t>
  </si>
  <si>
    <t>g</t>
  </si>
  <si>
    <t>No. Seri Mass comp</t>
  </si>
  <si>
    <t>Kalibrator</t>
  </si>
  <si>
    <t>`</t>
  </si>
  <si>
    <t>Merk Kalibrator</t>
  </si>
  <si>
    <t>Massa standard</t>
  </si>
  <si>
    <t xml:space="preserve">U95 standard </t>
  </si>
  <si>
    <t>mg</t>
  </si>
  <si>
    <t>X1</t>
  </si>
  <si>
    <t>X2</t>
  </si>
  <si>
    <t>X3</t>
  </si>
  <si>
    <t>X4</t>
  </si>
  <si>
    <t>X5</t>
  </si>
  <si>
    <t>dm</t>
  </si>
  <si>
    <t>r1</t>
  </si>
  <si>
    <t>t1</t>
  </si>
  <si>
    <t>t2</t>
  </si>
  <si>
    <t>r2</t>
  </si>
  <si>
    <t>r3</t>
  </si>
  <si>
    <t>t3</t>
  </si>
  <si>
    <t>t4</t>
  </si>
  <si>
    <t>r4</t>
  </si>
  <si>
    <t>r5</t>
  </si>
  <si>
    <t>t5</t>
  </si>
  <si>
    <t>t6</t>
  </si>
  <si>
    <t>r6</t>
  </si>
  <si>
    <t>r7</t>
  </si>
  <si>
    <t>t7</t>
  </si>
  <si>
    <t>t8</t>
  </si>
  <si>
    <t>r8</t>
  </si>
  <si>
    <t>r9</t>
  </si>
  <si>
    <t>t9</t>
  </si>
  <si>
    <t>t10</t>
  </si>
  <si>
    <t>r10</t>
  </si>
  <si>
    <t>Mean</t>
  </si>
  <si>
    <t>Stdev</t>
  </si>
  <si>
    <t>S_res</t>
  </si>
  <si>
    <t>Mt</t>
  </si>
  <si>
    <t>Srepeat</t>
  </si>
  <si>
    <t>UNCERTAINTY BUDGET SEBAGAI PENDUKUNG KLAIM BMC</t>
  </si>
  <si>
    <t xml:space="preserve">Besaran yang diukur : </t>
  </si>
  <si>
    <t>Massa</t>
  </si>
  <si>
    <t>Jenis alat yang dikalibrasi :</t>
  </si>
  <si>
    <t>Standar yang digunakan :</t>
  </si>
  <si>
    <t>Titik  Ukur :</t>
  </si>
  <si>
    <t xml:space="preserve">Model matematis   :               Mt= Ms +dm dengan Mt= massa massa konvensional yang dikalibrasi Ms = massa standar dm= koreksi alat </t>
  </si>
  <si>
    <t>Komponen</t>
  </si>
  <si>
    <t>Distribusi</t>
  </si>
  <si>
    <t>U</t>
  </si>
  <si>
    <t>Pembagi</t>
  </si>
  <si>
    <t>vi</t>
  </si>
  <si>
    <t>ui</t>
  </si>
  <si>
    <t>ci</t>
  </si>
  <si>
    <t>uici</t>
  </si>
  <si>
    <r>
      <rPr>
        <b/>
        <sz val="10"/>
        <rFont val="Times New Roman"/>
        <family val="1"/>
      </rPr>
      <t>(uici)</t>
    </r>
    <r>
      <rPr>
        <b/>
        <vertAlign val="superscript"/>
        <sz val="10"/>
        <rFont val="Times New Roman"/>
        <family val="1"/>
      </rPr>
      <t>2</t>
    </r>
  </si>
  <si>
    <r>
      <rPr>
        <b/>
        <sz val="10"/>
        <rFont val="Times New Roman"/>
        <family val="1"/>
      </rPr>
      <t>(uici)</t>
    </r>
    <r>
      <rPr>
        <b/>
        <vertAlign val="superscript"/>
        <sz val="10"/>
        <rFont val="Times New Roman"/>
        <family val="1"/>
      </rPr>
      <t>4</t>
    </r>
    <r>
      <rPr>
        <b/>
        <sz val="10"/>
        <rFont val="Times New Roman"/>
        <family val="1"/>
      </rPr>
      <t>/vi</t>
    </r>
  </si>
  <si>
    <t>Standar</t>
  </si>
  <si>
    <t>Normal</t>
  </si>
  <si>
    <t>Repeatability</t>
  </si>
  <si>
    <t>Rectangular</t>
  </si>
  <si>
    <t>Rounding</t>
  </si>
  <si>
    <t>Instability</t>
  </si>
  <si>
    <t>Buoyancy</t>
  </si>
  <si>
    <t>Sums</t>
  </si>
  <si>
    <t>Ketidakpastian baku gabungan, uc, mg</t>
  </si>
  <si>
    <t>Dearajat kebebasan efektif, veff</t>
  </si>
  <si>
    <t>Faktor cakupan, k-student for veff and CL 95%</t>
  </si>
  <si>
    <t>Ketidakpastian bentangan, U = kuc, mg</t>
  </si>
  <si>
    <t>KAN</t>
  </si>
  <si>
    <r>
      <rPr>
        <sz val="10"/>
        <color rgb="FF000000"/>
        <rFont val="Calibri"/>
        <family val="2"/>
        <scheme val="minor"/>
      </rPr>
      <t>Suhu (</t>
    </r>
    <r>
      <rPr>
        <sz val="10"/>
        <color rgb="FF000000"/>
        <rFont val="Calibri"/>
        <family val="2"/>
      </rPr>
      <t>°</t>
    </r>
    <r>
      <rPr>
        <sz val="8.5"/>
        <color rgb="FF000000"/>
        <rFont val="Calibri"/>
        <family val="2"/>
      </rPr>
      <t>C)</t>
    </r>
  </si>
  <si>
    <t>Thermohygro Rotronic data 2025</t>
  </si>
  <si>
    <t>Awal</t>
  </si>
  <si>
    <t>Koreksi suhu</t>
  </si>
  <si>
    <t xml:space="preserve">Koreksi RH </t>
  </si>
  <si>
    <t>Akhir</t>
  </si>
  <si>
    <t>T (°C)</t>
  </si>
  <si>
    <t xml:space="preserve">Koreksi  </t>
  </si>
  <si>
    <t>U95</t>
  </si>
  <si>
    <t>RH (%)</t>
  </si>
  <si>
    <t>Rata2</t>
  </si>
  <si>
    <t>Terkoreksi</t>
  </si>
  <si>
    <t>Fluktuasi suhu</t>
  </si>
  <si>
    <t>Flu+U95</t>
  </si>
  <si>
    <t>Kondisi Ruang</t>
  </si>
  <si>
    <t>Anak Timbangan</t>
  </si>
  <si>
    <t>Kelembaban</t>
  </si>
  <si>
    <t xml:space="preserve">Titik Ukur </t>
  </si>
  <si>
    <t xml:space="preserve">Kalibrator </t>
  </si>
  <si>
    <t xml:space="preserve">No S/N Timbangan </t>
  </si>
  <si>
    <t xml:space="preserve">E2 </t>
  </si>
  <si>
    <t xml:space="preserve">E2 METTLER TOLEDO </t>
  </si>
  <si>
    <t>Nominal Value (g)</t>
  </si>
  <si>
    <t>50000 g</t>
  </si>
  <si>
    <t>20000 g</t>
  </si>
  <si>
    <t>10000 g</t>
  </si>
  <si>
    <t>5000 g</t>
  </si>
  <si>
    <t>2000 g</t>
  </si>
  <si>
    <t>1000 g</t>
  </si>
  <si>
    <t>10 g</t>
  </si>
  <si>
    <t>0,5 g</t>
  </si>
  <si>
    <t>0,2 g</t>
  </si>
  <si>
    <t>0,1 g</t>
  </si>
  <si>
    <t>0,05 g</t>
  </si>
  <si>
    <t>0,02 g</t>
  </si>
  <si>
    <t>0,01 g</t>
  </si>
  <si>
    <t>0,005 g</t>
  </si>
  <si>
    <t>0,002 g</t>
  </si>
  <si>
    <t>0,001 g</t>
  </si>
  <si>
    <t xml:space="preserve">F1 </t>
  </si>
  <si>
    <t>Resolusi timbangan</t>
  </si>
  <si>
    <t>Rounding ketidakpastian bentangan, U = kuc, mg</t>
  </si>
  <si>
    <t xml:space="preserve">Nominal </t>
  </si>
  <si>
    <t>2000t</t>
  </si>
  <si>
    <t>200t</t>
  </si>
  <si>
    <t>20t</t>
  </si>
  <si>
    <t>2t</t>
  </si>
  <si>
    <t>0,02t</t>
  </si>
  <si>
    <t>0,002t</t>
  </si>
  <si>
    <t xml:space="preserve">Mass Comparator </t>
  </si>
  <si>
    <t xml:space="preserve">No Seri Kalibrator </t>
  </si>
  <si>
    <t>Kapasitas</t>
  </si>
  <si>
    <t xml:space="preserve">CMC KAN </t>
  </si>
  <si>
    <t>G982106</t>
  </si>
  <si>
    <t>0,2t</t>
  </si>
  <si>
    <t xml:space="preserve">Merek </t>
  </si>
  <si>
    <t>Kern Germany</t>
  </si>
  <si>
    <t>YCS</t>
  </si>
  <si>
    <t>YCS-01-653-00</t>
  </si>
  <si>
    <t>Mettler Toledo</t>
  </si>
  <si>
    <r>
      <t xml:space="preserve">&lt;-----------  </t>
    </r>
    <r>
      <rPr>
        <b/>
        <sz val="11"/>
        <color theme="1"/>
        <rFont val="Calibri"/>
        <family val="2"/>
        <scheme val="minor"/>
      </rPr>
      <t xml:space="preserve"> Sudah otomatis, jangan diubah </t>
    </r>
  </si>
  <si>
    <r>
      <t xml:space="preserve">&lt;-----------   </t>
    </r>
    <r>
      <rPr>
        <b/>
        <sz val="11"/>
        <color theme="1"/>
        <rFont val="Calibri"/>
        <family val="2"/>
        <scheme val="minor"/>
      </rPr>
      <t xml:space="preserve">Sudah otomatis, jangan diubah </t>
    </r>
  </si>
  <si>
    <r>
      <t xml:space="preserve">&lt;-----------   </t>
    </r>
    <r>
      <rPr>
        <b/>
        <sz val="11"/>
        <color theme="1"/>
        <rFont val="Calibri"/>
        <family val="2"/>
        <scheme val="minor"/>
      </rPr>
      <t xml:space="preserve">Warna </t>
    </r>
    <r>
      <rPr>
        <b/>
        <sz val="11"/>
        <color rgb="FF00B050"/>
        <rFont val="Calibri"/>
        <family val="2"/>
        <scheme val="minor"/>
      </rPr>
      <t>Hijau</t>
    </r>
    <r>
      <rPr>
        <b/>
        <sz val="11"/>
        <color theme="1"/>
        <rFont val="Calibri"/>
        <family val="2"/>
        <scheme val="minor"/>
      </rPr>
      <t xml:space="preserve">, Dropdown pilihan </t>
    </r>
  </si>
  <si>
    <r>
      <t xml:space="preserve">&lt;-----------   </t>
    </r>
    <r>
      <rPr>
        <b/>
        <sz val="11"/>
        <color theme="1"/>
        <rFont val="Calibri"/>
        <family val="2"/>
        <scheme val="minor"/>
      </rPr>
      <t xml:space="preserve">Warna kuning, isian manual </t>
    </r>
  </si>
  <si>
    <t xml:space="preserve">AT Standar </t>
  </si>
  <si>
    <t>Resolusi Mass Comp</t>
  </si>
  <si>
    <t>Terkalibrasi</t>
  </si>
  <si>
    <t>Merek Timbangan</t>
  </si>
  <si>
    <t>Sartorius MC 210 P (R1)</t>
  </si>
  <si>
    <t>Sartorius LC 5101 S</t>
  </si>
  <si>
    <t xml:space="preserve">AND MC-30 K </t>
  </si>
  <si>
    <t>Penguji Mutu Barang Ahli Madya,</t>
  </si>
  <si>
    <t>Elis Sofianti</t>
  </si>
  <si>
    <t>NIP. 197109301994032002</t>
  </si>
  <si>
    <t>F1</t>
  </si>
  <si>
    <t>0,001-5000 g</t>
  </si>
  <si>
    <t>29 Desember 2025</t>
  </si>
  <si>
    <r>
      <t xml:space="preserve">Nomor / </t>
    </r>
    <r>
      <rPr>
        <i/>
        <sz val="11"/>
        <color rgb="FF000000"/>
        <rFont val="Bookman Old Style"/>
        <family val="1"/>
      </rPr>
      <t xml:space="preserve">Number </t>
    </r>
    <r>
      <rPr>
        <sz val="11"/>
        <color rgb="FF000000"/>
        <rFont val="Bookman Old Style"/>
        <family val="1"/>
      </rPr>
      <t>:</t>
    </r>
  </si>
  <si>
    <t>Internal BBLM</t>
  </si>
  <si>
    <t>Halaman 1 dari 3 halaman</t>
  </si>
  <si>
    <t>Diterbitkan Tanggal 29 Desember 2025</t>
  </si>
  <si>
    <t>: 3 dari 3</t>
  </si>
  <si>
    <t>: 2 dari 3</t>
  </si>
  <si>
    <t>jjajsdfds jajsdjf jasdjfasdjf jadsfjadsj asdjfajdsf jasdjfajdsf asdfjasd asjdfasd j</t>
  </si>
  <si>
    <t>:</t>
  </si>
  <si>
    <t xml:space="preserve"> -</t>
  </si>
  <si>
    <t xml:space="preserve">Kecermatan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</si>
</sst>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0%\ ;[Red]\(0%\)"/>
    <numFmt numFmtId="165" formatCode="0.0%;\ \(0.0%\)"/>
    <numFmt numFmtId="166" formatCode="&quot;               &quot;@"/>
    <numFmt numFmtId="167" formatCode="&quot;                    &quot;@"/>
    <numFmt numFmtId="168" formatCode="&quot;                  &quot;@"/>
    <numFmt numFmtId="169" formatCode="#,##0,_);[Red]\(#,##0,\)"/>
    <numFmt numFmtId="170" formatCode="&quot;             &quot;@"/>
    <numFmt numFmtId="171" formatCode="&quot;$&quot;#,##0.00;[Red]\-&quot;$&quot;#,##0.00"/>
    <numFmt numFmtId="172" formatCode="_(* #,##0,,_);_(* \(#,##0,,\);_(* &quot;-&quot;_)"/>
    <numFmt numFmtId="173" formatCode="0%;\(0%\)"/>
    <numFmt numFmtId="174" formatCode="&quot;          &quot;@"/>
    <numFmt numFmtId="175" formatCode="#,##0\ &quot;m&quot;;[Red]\(#,##0\)\ &quot;m&quot;;&quot;- &quot;"/>
    <numFmt numFmtId="176" formatCode="0.0"/>
    <numFmt numFmtId="177" formatCode="#,##0.00000"/>
    <numFmt numFmtId="178" formatCode="0.000"/>
    <numFmt numFmtId="179" formatCode="0.00000"/>
    <numFmt numFmtId="180" formatCode="0.000000"/>
    <numFmt numFmtId="181" formatCode="0.0000000"/>
    <numFmt numFmtId="182" formatCode="0.0000"/>
    <numFmt numFmtId="183" formatCode="0.0000E+00"/>
  </numFmts>
  <fonts count="7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b/>
      <i/>
      <u/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mbria"/>
      <family val="1"/>
      <scheme val="major"/>
    </font>
    <font>
      <b/>
      <u/>
      <sz val="11"/>
      <color theme="1"/>
      <name val="Calibri"/>
      <family val="2"/>
      <scheme val="minor"/>
    </font>
    <font>
      <sz val="10"/>
      <color rgb="FF444444"/>
      <name val="Roboto"/>
    </font>
    <font>
      <b/>
      <sz val="10"/>
      <name val="Arial"/>
      <family val="2"/>
    </font>
    <font>
      <sz val="10"/>
      <name val="Arial"/>
      <family val="2"/>
    </font>
    <font>
      <b/>
      <sz val="11"/>
      <color theme="3" tint="0.39994506668294322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8"/>
      <color rgb="FF000000"/>
      <name val="Bookman Old Style"/>
      <family val="1"/>
    </font>
    <font>
      <b/>
      <i/>
      <sz val="14"/>
      <color rgb="FF000000"/>
      <name val="Bookman Old Style"/>
      <family val="1"/>
    </font>
    <font>
      <sz val="11"/>
      <color rgb="FF000000"/>
      <name val="Bookman Old Style"/>
      <family val="1"/>
    </font>
    <font>
      <b/>
      <u/>
      <sz val="11"/>
      <name val="Bookman Old Style"/>
      <family val="1"/>
    </font>
    <font>
      <b/>
      <i/>
      <sz val="8"/>
      <name val="Bookman Old Style"/>
      <family val="1"/>
    </font>
    <font>
      <i/>
      <sz val="8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b/>
      <i/>
      <sz val="8"/>
      <color rgb="FF000000"/>
      <name val="Bookman Old Style"/>
      <family val="1"/>
    </font>
    <font>
      <sz val="11"/>
      <color rgb="FF000000"/>
      <name val="Calibri"/>
      <family val="2"/>
    </font>
    <font>
      <b/>
      <sz val="11"/>
      <color rgb="FF000000"/>
      <name val="Bookman Old Style"/>
      <family val="1"/>
    </font>
    <font>
      <sz val="11"/>
      <name val="Bookman Old Style"/>
      <family val="1"/>
    </font>
    <font>
      <sz val="10"/>
      <color rgb="FF000000"/>
      <name val="Bookman Old Style"/>
      <family val="1"/>
    </font>
    <font>
      <b/>
      <sz val="11"/>
      <name val="Bookman Old Style"/>
      <family val="1"/>
    </font>
    <font>
      <sz val="12"/>
      <name val="Tms Rmn"/>
      <charset val="134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i/>
      <sz val="8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11"/>
      <color rgb="FF000000"/>
      <name val="Bookman Old Style"/>
      <family val="1"/>
    </font>
    <font>
      <sz val="10"/>
      <color rgb="FF000000"/>
      <name val="Calibri"/>
      <family val="2"/>
    </font>
    <font>
      <sz val="8.5"/>
      <color rgb="FF000000"/>
      <name val="Calibri"/>
      <family val="2"/>
    </font>
    <font>
      <b/>
      <vertAlign val="superscript"/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Bookman Old Style"/>
      <family val="1"/>
    </font>
    <font>
      <b/>
      <sz val="11"/>
      <color rgb="FF000000"/>
      <name val="Bookman Old Style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18"/>
      <name val="Times New Roman"/>
      <family val="1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charset val="1"/>
      <scheme val="minor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Calibri"/>
      <family val="2"/>
    </font>
    <font>
      <b/>
      <sz val="11"/>
      <color rgb="FF00B05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99">
    <xf numFmtId="0" fontId="0" fillId="0" borderId="0"/>
    <xf numFmtId="164" fontId="28" fillId="0" borderId="0" applyFill="0" applyBorder="0" applyAlignment="0"/>
    <xf numFmtId="165" fontId="28" fillId="0" borderId="0" applyFill="0" applyBorder="0" applyAlignment="0"/>
    <xf numFmtId="166" fontId="28" fillId="0" borderId="0" applyFill="0" applyBorder="0" applyAlignment="0"/>
    <xf numFmtId="167" fontId="28" fillId="0" borderId="0" applyFill="0" applyBorder="0" applyAlignment="0"/>
    <xf numFmtId="168" fontId="28" fillId="0" borderId="0" applyFill="0" applyBorder="0" applyAlignment="0"/>
    <xf numFmtId="169" fontId="28" fillId="0" borderId="0" applyFill="0" applyBorder="0" applyAlignment="0"/>
    <xf numFmtId="170" fontId="28" fillId="0" borderId="0" applyFill="0" applyBorder="0" applyAlignment="0"/>
    <xf numFmtId="165" fontId="28" fillId="0" borderId="0" applyFill="0" applyBorder="0" applyAlignment="0"/>
    <xf numFmtId="169" fontId="28" fillId="0" borderId="0" applyFont="0" applyFill="0" applyBorder="0" applyAlignment="0" applyProtection="0"/>
    <xf numFmtId="171" fontId="46" fillId="0" borderId="1"/>
    <xf numFmtId="165" fontId="28" fillId="0" borderId="0" applyFont="0" applyFill="0" applyBorder="0" applyAlignment="0" applyProtection="0"/>
    <xf numFmtId="14" fontId="47" fillId="0" borderId="0" applyFill="0" applyBorder="0" applyAlignment="0"/>
    <xf numFmtId="169" fontId="28" fillId="0" borderId="0" applyFill="0" applyBorder="0" applyAlignment="0"/>
    <xf numFmtId="165" fontId="28" fillId="0" borderId="0" applyFill="0" applyBorder="0" applyAlignment="0"/>
    <xf numFmtId="169" fontId="28" fillId="0" borderId="0" applyFill="0" applyBorder="0" applyAlignment="0"/>
    <xf numFmtId="170" fontId="28" fillId="0" borderId="0" applyFill="0" applyBorder="0" applyAlignment="0"/>
    <xf numFmtId="165" fontId="28" fillId="0" borderId="0" applyFill="0" applyBorder="0" applyAlignment="0"/>
    <xf numFmtId="0" fontId="48" fillId="0" borderId="28" applyNumberFormat="0" applyAlignment="0" applyProtection="0">
      <alignment horizontal="left" vertical="center"/>
    </xf>
    <xf numFmtId="0" fontId="48" fillId="0" borderId="23">
      <alignment horizontal="left" vertical="center"/>
    </xf>
    <xf numFmtId="169" fontId="28" fillId="0" borderId="0" applyFill="0" applyBorder="0" applyAlignment="0"/>
    <xf numFmtId="165" fontId="28" fillId="0" borderId="0" applyFill="0" applyBorder="0" applyAlignment="0"/>
    <xf numFmtId="169" fontId="28" fillId="0" borderId="0" applyFill="0" applyBorder="0" applyAlignment="0"/>
    <xf numFmtId="170" fontId="28" fillId="0" borderId="0" applyFill="0" applyBorder="0" applyAlignment="0"/>
    <xf numFmtId="165" fontId="28" fillId="0" borderId="0" applyFill="0" applyBorder="0" applyAlignment="0"/>
    <xf numFmtId="172" fontId="28" fillId="0" borderId="0"/>
    <xf numFmtId="0" fontId="28" fillId="0" borderId="0"/>
    <xf numFmtId="0" fontId="49" fillId="0" borderId="0"/>
    <xf numFmtId="0" fontId="57" fillId="0" borderId="0"/>
    <xf numFmtId="0" fontId="28" fillId="0" borderId="0"/>
    <xf numFmtId="0" fontId="57" fillId="0" borderId="0"/>
    <xf numFmtId="0" fontId="14" fillId="0" borderId="0">
      <alignment vertical="center"/>
    </xf>
    <xf numFmtId="168" fontId="28" fillId="0" borderId="0" applyFont="0" applyFill="0" applyBorder="0" applyAlignment="0" applyProtection="0"/>
    <xf numFmtId="173" fontId="28" fillId="0" borderId="0" applyFont="0" applyFill="0" applyBorder="0" applyAlignment="0" applyProtection="0"/>
    <xf numFmtId="169" fontId="28" fillId="0" borderId="0" applyFill="0" applyBorder="0" applyAlignment="0"/>
    <xf numFmtId="165" fontId="28" fillId="0" borderId="0" applyFill="0" applyBorder="0" applyAlignment="0"/>
    <xf numFmtId="169" fontId="28" fillId="0" borderId="0" applyFill="0" applyBorder="0" applyAlignment="0"/>
    <xf numFmtId="170" fontId="28" fillId="0" borderId="0" applyFill="0" applyBorder="0" applyAlignment="0"/>
    <xf numFmtId="165" fontId="28" fillId="0" borderId="0" applyFill="0" applyBorder="0" applyAlignment="0"/>
    <xf numFmtId="0" fontId="50" fillId="0" borderId="29"/>
    <xf numFmtId="0" fontId="51" fillId="0" borderId="30"/>
    <xf numFmtId="49" fontId="47" fillId="0" borderId="0" applyFill="0" applyBorder="0" applyAlignment="0"/>
    <xf numFmtId="174" fontId="28" fillId="0" borderId="0" applyFill="0" applyBorder="0" applyAlignment="0"/>
    <xf numFmtId="175" fontId="28" fillId="0" borderId="0" applyFill="0" applyBorder="0" applyAlignment="0"/>
    <xf numFmtId="0" fontId="8" fillId="0" borderId="0"/>
    <xf numFmtId="164" fontId="63" fillId="0" borderId="0" applyFill="0" applyBorder="0" applyAlignment="0"/>
    <xf numFmtId="165" fontId="63" fillId="0" borderId="0" applyFill="0" applyBorder="0" applyAlignment="0"/>
    <xf numFmtId="166" fontId="63" fillId="0" borderId="0" applyFill="0" applyBorder="0" applyAlignment="0"/>
    <xf numFmtId="167" fontId="63" fillId="0" borderId="0" applyFill="0" applyBorder="0" applyAlignment="0"/>
    <xf numFmtId="168" fontId="63" fillId="0" borderId="0" applyFill="0" applyBorder="0" applyAlignment="0"/>
    <xf numFmtId="169" fontId="63" fillId="0" borderId="0" applyFill="0" applyBorder="0" applyAlignment="0"/>
    <xf numFmtId="170" fontId="63" fillId="0" borderId="0" applyFill="0" applyBorder="0" applyAlignment="0"/>
    <xf numFmtId="165" fontId="63" fillId="0" borderId="0" applyFill="0" applyBorder="0" applyAlignment="0"/>
    <xf numFmtId="169" fontId="63" fillId="0" borderId="0" applyFont="0" applyFill="0" applyBorder="0" applyAlignment="0" applyProtection="0"/>
    <xf numFmtId="0" fontId="8" fillId="0" borderId="0"/>
    <xf numFmtId="165" fontId="63" fillId="0" borderId="0" applyFont="0" applyFill="0" applyBorder="0" applyAlignment="0" applyProtection="0"/>
    <xf numFmtId="14" fontId="65" fillId="0" borderId="0" applyFill="0" applyBorder="0" applyAlignment="0"/>
    <xf numFmtId="169" fontId="63" fillId="0" borderId="0" applyFill="0" applyBorder="0" applyAlignment="0"/>
    <xf numFmtId="165" fontId="63" fillId="0" borderId="0" applyFill="0" applyBorder="0" applyAlignment="0"/>
    <xf numFmtId="169" fontId="63" fillId="0" borderId="0" applyFill="0" applyBorder="0" applyAlignment="0"/>
    <xf numFmtId="170" fontId="63" fillId="0" borderId="0" applyFill="0" applyBorder="0" applyAlignment="0"/>
    <xf numFmtId="165" fontId="63" fillId="0" borderId="0" applyFill="0" applyBorder="0" applyAlignment="0"/>
    <xf numFmtId="0" fontId="66" fillId="0" borderId="28" applyNumberFormat="0" applyAlignment="0" applyProtection="0">
      <alignment horizontal="left" vertical="center"/>
    </xf>
    <xf numFmtId="0" fontId="66" fillId="0" borderId="23">
      <alignment horizontal="left" vertical="center"/>
    </xf>
    <xf numFmtId="169" fontId="63" fillId="0" borderId="0" applyFill="0" applyBorder="0" applyAlignment="0"/>
    <xf numFmtId="165" fontId="63" fillId="0" borderId="0" applyFill="0" applyBorder="0" applyAlignment="0"/>
    <xf numFmtId="169" fontId="63" fillId="0" borderId="0" applyFill="0" applyBorder="0" applyAlignment="0"/>
    <xf numFmtId="170" fontId="63" fillId="0" borderId="0" applyFill="0" applyBorder="0" applyAlignment="0"/>
    <xf numFmtId="165" fontId="63" fillId="0" borderId="0" applyFill="0" applyBorder="0" applyAlignment="0"/>
    <xf numFmtId="172" fontId="63" fillId="0" borderId="0"/>
    <xf numFmtId="0" fontId="63" fillId="0" borderId="0"/>
    <xf numFmtId="0" fontId="67" fillId="0" borderId="0"/>
    <xf numFmtId="168" fontId="63" fillId="0" borderId="0" applyFont="0" applyFill="0" applyBorder="0" applyAlignment="0" applyProtection="0"/>
    <xf numFmtId="173" fontId="63" fillId="0" borderId="0" applyFont="0" applyFill="0" applyBorder="0" applyAlignment="0" applyProtection="0"/>
    <xf numFmtId="169" fontId="63" fillId="0" borderId="0" applyFill="0" applyBorder="0" applyAlignment="0"/>
    <xf numFmtId="165" fontId="63" fillId="0" borderId="0" applyFill="0" applyBorder="0" applyAlignment="0"/>
    <xf numFmtId="169" fontId="63" fillId="0" borderId="0" applyFill="0" applyBorder="0" applyAlignment="0"/>
    <xf numFmtId="170" fontId="63" fillId="0" borderId="0" applyFill="0" applyBorder="0" applyAlignment="0"/>
    <xf numFmtId="165" fontId="63" fillId="0" borderId="0" applyFill="0" applyBorder="0" applyAlignment="0"/>
    <xf numFmtId="0" fontId="68" fillId="0" borderId="29"/>
    <xf numFmtId="0" fontId="69" fillId="0" borderId="30"/>
    <xf numFmtId="49" fontId="65" fillId="0" borderId="0" applyFill="0" applyBorder="0" applyAlignment="0"/>
    <xf numFmtId="174" fontId="63" fillId="0" borderId="0" applyFill="0" applyBorder="0" applyAlignment="0"/>
    <xf numFmtId="175" fontId="63" fillId="0" borderId="0" applyFill="0" applyBorder="0" applyAlignment="0"/>
    <xf numFmtId="0" fontId="63" fillId="0" borderId="0"/>
    <xf numFmtId="0" fontId="8" fillId="0" borderId="0"/>
    <xf numFmtId="0" fontId="70" fillId="0" borderId="0">
      <alignment vertical="center"/>
    </xf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251">
    <xf numFmtId="0" fontId="0" fillId="0" borderId="0" xfId="0"/>
    <xf numFmtId="0" fontId="14" fillId="0" borderId="0" xfId="31">
      <alignment vertical="center"/>
    </xf>
    <xf numFmtId="0" fontId="14" fillId="0" borderId="1" xfId="31" applyBorder="1" applyAlignment="1"/>
    <xf numFmtId="0" fontId="15" fillId="0" borderId="1" xfId="31" applyFont="1" applyBorder="1" applyAlignment="1"/>
    <xf numFmtId="0" fontId="16" fillId="0" borderId="1" xfId="31" applyFont="1" applyBorder="1" applyAlignment="1"/>
    <xf numFmtId="0" fontId="17" fillId="0" borderId="0" xfId="31" applyFont="1" applyAlignment="1"/>
    <xf numFmtId="0" fontId="14" fillId="0" borderId="0" xfId="31" applyAlignment="1"/>
    <xf numFmtId="0" fontId="15" fillId="0" borderId="0" xfId="31" applyFont="1" applyAlignment="1"/>
    <xf numFmtId="0" fontId="15" fillId="0" borderId="1" xfId="31" applyFont="1" applyBorder="1" applyAlignment="1">
      <alignment horizontal="center"/>
    </xf>
    <xf numFmtId="1" fontId="16" fillId="0" borderId="1" xfId="31" applyNumberFormat="1" applyFont="1" applyBorder="1" applyAlignment="1"/>
    <xf numFmtId="176" fontId="16" fillId="0" borderId="1" xfId="31" applyNumberFormat="1" applyFont="1" applyBorder="1" applyAlignment="1"/>
    <xf numFmtId="0" fontId="18" fillId="2" borderId="1" xfId="31" applyFont="1" applyFill="1" applyBorder="1" applyAlignment="1"/>
    <xf numFmtId="0" fontId="16" fillId="0" borderId="0" xfId="31" applyFont="1" applyAlignme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2" fillId="3" borderId="1" xfId="0" applyFont="1" applyFill="1" applyBorder="1" applyAlignment="1">
      <alignment horizontal="center" wrapText="1"/>
    </xf>
    <xf numFmtId="0" fontId="22" fillId="4" borderId="1" xfId="0" applyFont="1" applyFill="1" applyBorder="1" applyAlignment="1">
      <alignment horizontal="center" wrapText="1"/>
    </xf>
    <xf numFmtId="0" fontId="57" fillId="0" borderId="1" xfId="30" applyBorder="1"/>
    <xf numFmtId="0" fontId="57" fillId="0" borderId="1" xfId="30" applyBorder="1" applyAlignment="1">
      <alignment horizontal="right"/>
    </xf>
    <xf numFmtId="0" fontId="0" fillId="0" borderId="1" xfId="0" applyBorder="1" applyAlignment="1">
      <alignment vertical="center"/>
    </xf>
    <xf numFmtId="0" fontId="14" fillId="0" borderId="1" xfId="0" applyFont="1" applyBorder="1" applyAlignment="1">
      <alignment vertical="center"/>
    </xf>
    <xf numFmtId="177" fontId="57" fillId="0" borderId="1" xfId="30" applyNumberFormat="1" applyBorder="1" applyAlignment="1">
      <alignment horizontal="right"/>
    </xf>
    <xf numFmtId="178" fontId="0" fillId="0" borderId="1" xfId="0" applyNumberFormat="1" applyBorder="1" applyAlignment="1">
      <alignment vertical="center"/>
    </xf>
    <xf numFmtId="177" fontId="23" fillId="0" borderId="1" xfId="30" applyNumberFormat="1" applyFont="1" applyBorder="1"/>
    <xf numFmtId="179" fontId="57" fillId="0" borderId="1" xfId="30" applyNumberFormat="1" applyBorder="1" applyAlignment="1">
      <alignment horizontal="right"/>
    </xf>
    <xf numFmtId="180" fontId="57" fillId="0" borderId="1" xfId="30" applyNumberFormat="1" applyBorder="1" applyAlignment="1">
      <alignment horizontal="right"/>
    </xf>
    <xf numFmtId="179" fontId="23" fillId="0" borderId="1" xfId="30" applyNumberFormat="1" applyFont="1" applyBorder="1"/>
    <xf numFmtId="179" fontId="24" fillId="0" borderId="1" xfId="0" applyNumberFormat="1" applyFont="1" applyBorder="1" applyAlignment="1">
      <alignment vertical="center"/>
    </xf>
    <xf numFmtId="0" fontId="25" fillId="0" borderId="0" xfId="0" applyFont="1"/>
    <xf numFmtId="0" fontId="2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0" borderId="2" xfId="0" applyBorder="1"/>
    <xf numFmtId="1" fontId="0" fillId="0" borderId="0" xfId="0" applyNumberFormat="1"/>
    <xf numFmtId="0" fontId="26" fillId="0" borderId="0" xfId="0" applyFont="1"/>
    <xf numFmtId="0" fontId="18" fillId="0" borderId="0" xfId="0" applyFont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179" fontId="0" fillId="0" borderId="0" xfId="0" applyNumberFormat="1"/>
    <xf numFmtId="0" fontId="19" fillId="0" borderId="0" xfId="0" applyFont="1" applyAlignment="1">
      <alignment vertical="center"/>
    </xf>
    <xf numFmtId="0" fontId="22" fillId="6" borderId="1" xfId="0" applyFont="1" applyFill="1" applyBorder="1" applyAlignment="1">
      <alignment horizontal="center" wrapText="1"/>
    </xf>
    <xf numFmtId="0" fontId="27" fillId="7" borderId="1" xfId="26" applyFont="1" applyFill="1" applyBorder="1" applyAlignment="1">
      <alignment horizontal="center" vertical="center" wrapText="1"/>
    </xf>
    <xf numFmtId="0" fontId="28" fillId="0" borderId="1" xfId="26" applyBorder="1" applyAlignment="1">
      <alignment horizontal="center"/>
    </xf>
    <xf numFmtId="179" fontId="29" fillId="0" borderId="1" xfId="0" applyNumberFormat="1" applyFont="1" applyBorder="1"/>
    <xf numFmtId="0" fontId="30" fillId="0" borderId="0" xfId="0" applyFont="1"/>
    <xf numFmtId="0" fontId="31" fillId="0" borderId="0" xfId="0" applyFont="1"/>
    <xf numFmtId="0" fontId="31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0" fillId="8" borderId="13" xfId="0" applyFont="1" applyFill="1" applyBorder="1" applyAlignment="1">
      <alignment horizontal="center"/>
    </xf>
    <xf numFmtId="0" fontId="30" fillId="8" borderId="3" xfId="0" applyFont="1" applyFill="1" applyBorder="1" applyAlignment="1">
      <alignment horizontal="center"/>
    </xf>
    <xf numFmtId="0" fontId="31" fillId="0" borderId="14" xfId="0" applyFont="1" applyBorder="1"/>
    <xf numFmtId="0" fontId="31" fillId="0" borderId="14" xfId="0" applyFont="1" applyBorder="1" applyAlignment="1">
      <alignment horizontal="center"/>
    </xf>
    <xf numFmtId="0" fontId="31" fillId="9" borderId="15" xfId="0" applyFont="1" applyFill="1" applyBorder="1"/>
    <xf numFmtId="0" fontId="31" fillId="9" borderId="15" xfId="0" applyFont="1" applyFill="1" applyBorder="1" applyAlignment="1">
      <alignment horizontal="center"/>
    </xf>
    <xf numFmtId="181" fontId="31" fillId="9" borderId="15" xfId="0" applyNumberFormat="1" applyFont="1" applyFill="1" applyBorder="1" applyAlignment="1">
      <alignment horizontal="center"/>
    </xf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16" xfId="0" applyFont="1" applyBorder="1"/>
    <xf numFmtId="0" fontId="31" fillId="0" borderId="16" xfId="0" applyFont="1" applyBorder="1" applyAlignment="1">
      <alignment horizontal="center"/>
    </xf>
    <xf numFmtId="0" fontId="31" fillId="0" borderId="17" xfId="0" applyFont="1" applyBorder="1"/>
    <xf numFmtId="0" fontId="31" fillId="0" borderId="18" xfId="0" applyFont="1" applyBorder="1"/>
    <xf numFmtId="0" fontId="31" fillId="0" borderId="18" xfId="0" applyFont="1" applyBorder="1" applyAlignment="1">
      <alignment horizontal="center"/>
    </xf>
    <xf numFmtId="0" fontId="31" fillId="0" borderId="19" xfId="0" applyFont="1" applyBorder="1"/>
    <xf numFmtId="0" fontId="31" fillId="0" borderId="20" xfId="0" applyFont="1" applyBorder="1"/>
    <xf numFmtId="0" fontId="31" fillId="0" borderId="20" xfId="0" applyFont="1" applyBorder="1" applyAlignment="1">
      <alignment horizontal="center"/>
    </xf>
    <xf numFmtId="0" fontId="31" fillId="0" borderId="21" xfId="0" applyFont="1" applyBorder="1"/>
    <xf numFmtId="0" fontId="31" fillId="0" borderId="22" xfId="0" applyFont="1" applyBorder="1"/>
    <xf numFmtId="0" fontId="31" fillId="0" borderId="22" xfId="0" applyFont="1" applyBorder="1" applyAlignment="1">
      <alignment horizontal="center"/>
    </xf>
    <xf numFmtId="0" fontId="31" fillId="0" borderId="13" xfId="0" applyFont="1" applyBorder="1"/>
    <xf numFmtId="0" fontId="0" fillId="0" borderId="23" xfId="0" applyBorder="1"/>
    <xf numFmtId="180" fontId="0" fillId="0" borderId="0" xfId="0" applyNumberFormat="1"/>
    <xf numFmtId="182" fontId="0" fillId="0" borderId="0" xfId="0" applyNumberFormat="1"/>
    <xf numFmtId="0" fontId="32" fillId="0" borderId="0" xfId="0" applyFont="1" applyAlignment="1">
      <alignment horizontal="left"/>
    </xf>
    <xf numFmtId="0" fontId="32" fillId="0" borderId="0" xfId="0" applyFont="1" applyAlignment="1">
      <alignment horizontal="center"/>
    </xf>
    <xf numFmtId="0" fontId="31" fillId="0" borderId="24" xfId="0" applyFont="1" applyBorder="1"/>
    <xf numFmtId="0" fontId="31" fillId="0" borderId="24" xfId="0" applyFont="1" applyBorder="1" applyAlignment="1">
      <alignment horizontal="center"/>
    </xf>
    <xf numFmtId="0" fontId="31" fillId="0" borderId="14" xfId="0" applyFont="1" applyBorder="1" applyAlignment="1">
      <alignment horizontal="right"/>
    </xf>
    <xf numFmtId="0" fontId="31" fillId="0" borderId="25" xfId="0" applyFont="1" applyBorder="1"/>
    <xf numFmtId="0" fontId="31" fillId="0" borderId="25" xfId="0" applyFont="1" applyBorder="1" applyAlignment="1">
      <alignment horizontal="center"/>
    </xf>
    <xf numFmtId="0" fontId="31" fillId="0" borderId="15" xfId="0" applyFont="1" applyBorder="1" applyAlignment="1">
      <alignment horizontal="right"/>
    </xf>
    <xf numFmtId="2" fontId="31" fillId="0" borderId="15" xfId="0" applyNumberFormat="1" applyFont="1" applyBorder="1" applyAlignment="1">
      <alignment horizontal="right"/>
    </xf>
    <xf numFmtId="0" fontId="31" fillId="0" borderId="26" xfId="0" applyFont="1" applyBorder="1"/>
    <xf numFmtId="0" fontId="31" fillId="0" borderId="26" xfId="0" applyFont="1" applyBorder="1" applyAlignment="1">
      <alignment horizontal="center"/>
    </xf>
    <xf numFmtId="178" fontId="31" fillId="0" borderId="16" xfId="0" applyNumberFormat="1" applyFont="1" applyBorder="1" applyAlignment="1">
      <alignment horizontal="right"/>
    </xf>
    <xf numFmtId="0" fontId="0" fillId="0" borderId="27" xfId="0" applyBorder="1"/>
    <xf numFmtId="0" fontId="35" fillId="0" borderId="0" xfId="31" applyFont="1">
      <alignment vertical="center"/>
    </xf>
    <xf numFmtId="0" fontId="35" fillId="0" borderId="0" xfId="31" applyFont="1" applyAlignment="1">
      <alignment horizontal="center" vertical="center"/>
    </xf>
    <xf numFmtId="0" fontId="36" fillId="0" borderId="0" xfId="31" applyFont="1">
      <alignment vertical="center"/>
    </xf>
    <xf numFmtId="0" fontId="14" fillId="0" borderId="0" xfId="31" applyAlignment="1">
      <alignment vertical="center" wrapText="1"/>
    </xf>
    <xf numFmtId="0" fontId="37" fillId="0" borderId="0" xfId="31" applyFont="1">
      <alignment vertical="center"/>
    </xf>
    <xf numFmtId="0" fontId="38" fillId="0" borderId="0" xfId="31" applyFont="1">
      <alignment vertical="center"/>
    </xf>
    <xf numFmtId="0" fontId="35" fillId="0" borderId="0" xfId="31" applyFont="1" applyAlignment="1">
      <alignment horizontal="justify" vertical="center"/>
    </xf>
    <xf numFmtId="0" fontId="38" fillId="0" borderId="0" xfId="31" applyFont="1" applyAlignment="1">
      <alignment horizontal="justify" vertical="center"/>
    </xf>
    <xf numFmtId="0" fontId="39" fillId="0" borderId="0" xfId="31" applyFont="1">
      <alignment vertical="center"/>
    </xf>
    <xf numFmtId="0" fontId="40" fillId="0" borderId="0" xfId="31" applyFont="1">
      <alignment vertical="center"/>
    </xf>
    <xf numFmtId="0" fontId="41" fillId="0" borderId="0" xfId="31" applyFont="1">
      <alignment vertical="center"/>
    </xf>
    <xf numFmtId="0" fontId="42" fillId="0" borderId="0" xfId="31" applyFont="1" applyAlignment="1">
      <alignment horizontal="left" vertical="center"/>
    </xf>
    <xf numFmtId="0" fontId="42" fillId="0" borderId="0" xfId="31" applyFont="1">
      <alignment vertical="center"/>
    </xf>
    <xf numFmtId="0" fontId="35" fillId="0" borderId="0" xfId="31" applyFont="1" applyAlignment="1">
      <alignment horizontal="left" vertical="center"/>
    </xf>
    <xf numFmtId="0" fontId="42" fillId="0" borderId="0" xfId="31" applyFont="1" applyAlignment="1">
      <alignment horizontal="center" vertical="center"/>
    </xf>
    <xf numFmtId="0" fontId="43" fillId="0" borderId="0" xfId="31" applyFont="1">
      <alignment vertical="center"/>
    </xf>
    <xf numFmtId="0" fontId="38" fillId="0" borderId="0" xfId="31" applyFont="1" applyAlignment="1">
      <alignment horizontal="center" vertical="center"/>
    </xf>
    <xf numFmtId="0" fontId="41" fillId="0" borderId="0" xfId="31" applyFont="1" applyAlignment="1">
      <alignment horizontal="center" vertical="center"/>
    </xf>
    <xf numFmtId="0" fontId="43" fillId="0" borderId="0" xfId="31" applyFont="1" applyAlignment="1">
      <alignment horizontal="center" vertical="center"/>
    </xf>
    <xf numFmtId="15" fontId="44" fillId="0" borderId="0" xfId="31" applyNumberFormat="1" applyFont="1">
      <alignment vertical="center"/>
    </xf>
    <xf numFmtId="0" fontId="39" fillId="0" borderId="0" xfId="31" applyFont="1" applyAlignment="1">
      <alignment horizontal="left" vertical="center"/>
    </xf>
    <xf numFmtId="0" fontId="35" fillId="0" borderId="1" xfId="31" applyFont="1" applyBorder="1" applyAlignment="1">
      <alignment horizontal="center" vertical="center"/>
    </xf>
    <xf numFmtId="2" fontId="43" fillId="0" borderId="0" xfId="31" applyNumberFormat="1" applyFont="1">
      <alignment vertical="center"/>
    </xf>
    <xf numFmtId="0" fontId="35" fillId="10" borderId="0" xfId="31" applyFont="1" applyFill="1">
      <alignment vertical="center"/>
    </xf>
    <xf numFmtId="0" fontId="45" fillId="0" borderId="0" xfId="31" applyFont="1" applyAlignment="1">
      <alignment horizontal="center" vertical="center"/>
    </xf>
    <xf numFmtId="0" fontId="45" fillId="0" borderId="0" xfId="31" applyFont="1">
      <alignment vertical="center"/>
    </xf>
    <xf numFmtId="0" fontId="42" fillId="10" borderId="0" xfId="31" applyFont="1" applyFill="1">
      <alignment vertical="center"/>
    </xf>
    <xf numFmtId="0" fontId="35" fillId="10" borderId="0" xfId="31" applyFont="1" applyFill="1" applyAlignment="1">
      <alignment horizontal="center" vertical="center"/>
    </xf>
    <xf numFmtId="0" fontId="43" fillId="0" borderId="0" xfId="31" applyFont="1" applyAlignment="1">
      <alignment horizontal="right" vertical="center"/>
    </xf>
    <xf numFmtId="182" fontId="43" fillId="0" borderId="0" xfId="31" applyNumberFormat="1" applyFont="1">
      <alignment vertical="center"/>
    </xf>
    <xf numFmtId="0" fontId="43" fillId="0" borderId="0" xfId="31" applyFont="1" applyAlignment="1"/>
    <xf numFmtId="1" fontId="43" fillId="0" borderId="0" xfId="31" applyNumberFormat="1" applyFont="1">
      <alignment vertical="center"/>
    </xf>
    <xf numFmtId="14" fontId="0" fillId="0" borderId="0" xfId="0" applyNumberFormat="1"/>
    <xf numFmtId="0" fontId="0" fillId="0" borderId="1" xfId="0" applyBorder="1" applyAlignment="1">
      <alignment horizontal="center" wrapText="1"/>
    </xf>
    <xf numFmtId="0" fontId="28" fillId="0" borderId="0" xfId="26"/>
    <xf numFmtId="0" fontId="28" fillId="0" borderId="0" xfId="26" applyAlignment="1">
      <alignment horizontal="center"/>
    </xf>
    <xf numFmtId="179" fontId="0" fillId="0" borderId="11" xfId="0" applyNumberFormat="1" applyBorder="1"/>
    <xf numFmtId="179" fontId="0" fillId="0" borderId="10" xfId="0" applyNumberFormat="1" applyBorder="1"/>
    <xf numFmtId="183" fontId="0" fillId="0" borderId="1" xfId="0" applyNumberFormat="1" applyBorder="1"/>
    <xf numFmtId="0" fontId="59" fillId="0" borderId="0" xfId="31" applyFont="1">
      <alignment vertical="center"/>
    </xf>
    <xf numFmtId="0" fontId="58" fillId="0" borderId="0" xfId="31" applyFont="1" applyAlignment="1">
      <alignment horizontal="left" vertical="center"/>
    </xf>
    <xf numFmtId="0" fontId="35" fillId="0" borderId="0" xfId="31" applyFont="1" applyAlignment="1">
      <alignment vertical="center" wrapText="1"/>
    </xf>
    <xf numFmtId="0" fontId="58" fillId="0" borderId="0" xfId="31" applyFont="1">
      <alignment vertical="center"/>
    </xf>
    <xf numFmtId="0" fontId="60" fillId="0" borderId="0" xfId="0" applyFont="1"/>
    <xf numFmtId="0" fontId="61" fillId="0" borderId="0" xfId="0" applyFont="1" applyAlignment="1">
      <alignment horizontal="center"/>
    </xf>
    <xf numFmtId="0" fontId="62" fillId="7" borderId="1" xfId="26" applyFont="1" applyFill="1" applyBorder="1" applyAlignment="1">
      <alignment horizontal="center" vertical="center" wrapText="1"/>
    </xf>
    <xf numFmtId="0" fontId="63" fillId="0" borderId="1" xfId="26" applyFont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/>
    <xf numFmtId="0" fontId="0" fillId="11" borderId="1" xfId="0" applyFill="1" applyBorder="1"/>
    <xf numFmtId="0" fontId="0" fillId="11" borderId="1" xfId="0" applyFill="1" applyBorder="1" applyAlignment="1">
      <alignment horizontal="left"/>
    </xf>
    <xf numFmtId="0" fontId="12" fillId="11" borderId="1" xfId="0" applyFont="1" applyFill="1" applyBorder="1" applyAlignment="1">
      <alignment horizontal="left"/>
    </xf>
    <xf numFmtId="179" fontId="0" fillId="9" borderId="1" xfId="0" applyNumberFormat="1" applyFill="1" applyBorder="1" applyAlignment="1">
      <alignment horizontal="left"/>
    </xf>
    <xf numFmtId="0" fontId="0" fillId="5" borderId="1" xfId="0" applyFill="1" applyBorder="1"/>
    <xf numFmtId="0" fontId="16" fillId="5" borderId="1" xfId="0" applyFont="1" applyFill="1" applyBorder="1"/>
    <xf numFmtId="49" fontId="0" fillId="5" borderId="1" xfId="0" applyNumberFormat="1" applyFill="1" applyBorder="1"/>
    <xf numFmtId="49" fontId="0" fillId="5" borderId="1" xfId="0" applyNumberFormat="1" applyFill="1" applyBorder="1" applyAlignment="1">
      <alignment horizontal="left"/>
    </xf>
    <xf numFmtId="0" fontId="0" fillId="9" borderId="0" xfId="0" applyFill="1"/>
    <xf numFmtId="0" fontId="64" fillId="0" borderId="0" xfId="0" applyFont="1"/>
    <xf numFmtId="0" fontId="12" fillId="0" borderId="1" xfId="0" applyFont="1" applyBorder="1"/>
    <xf numFmtId="0" fontId="11" fillId="0" borderId="1" xfId="0" applyFont="1" applyBorder="1"/>
    <xf numFmtId="0" fontId="31" fillId="0" borderId="31" xfId="0" applyFont="1" applyBorder="1"/>
    <xf numFmtId="0" fontId="31" fillId="0" borderId="32" xfId="0" applyFont="1" applyBorder="1"/>
    <xf numFmtId="0" fontId="31" fillId="0" borderId="32" xfId="0" applyFont="1" applyBorder="1" applyAlignment="1">
      <alignment horizontal="center"/>
    </xf>
    <xf numFmtId="0" fontId="31" fillId="0" borderId="33" xfId="0" applyFont="1" applyBorder="1"/>
    <xf numFmtId="0" fontId="31" fillId="0" borderId="33" xfId="0" applyFont="1" applyBorder="1" applyAlignment="1">
      <alignment horizontal="center"/>
    </xf>
    <xf numFmtId="0" fontId="31" fillId="0" borderId="34" xfId="0" applyFont="1" applyBorder="1" applyAlignment="1">
      <alignment horizontal="right"/>
    </xf>
    <xf numFmtId="0" fontId="31" fillId="0" borderId="34" xfId="0" applyFont="1" applyBorder="1" applyAlignment="1">
      <alignment horizontal="center"/>
    </xf>
    <xf numFmtId="0" fontId="31" fillId="0" borderId="23" xfId="0" applyFont="1" applyBorder="1"/>
    <xf numFmtId="0" fontId="31" fillId="0" borderId="23" xfId="0" applyFont="1" applyBorder="1" applyAlignment="1">
      <alignment horizontal="center"/>
    </xf>
    <xf numFmtId="0" fontId="31" fillId="0" borderId="27" xfId="0" applyFont="1" applyBorder="1"/>
    <xf numFmtId="0" fontId="31" fillId="0" borderId="27" xfId="0" applyFont="1" applyBorder="1" applyAlignment="1">
      <alignment horizontal="center"/>
    </xf>
    <xf numFmtId="0" fontId="31" fillId="0" borderId="1" xfId="0" applyFont="1" applyBorder="1" applyAlignment="1">
      <alignment horizontal="right"/>
    </xf>
    <xf numFmtId="0" fontId="31" fillId="0" borderId="1" xfId="0" applyFont="1" applyBorder="1" applyAlignment="1">
      <alignment horizontal="center"/>
    </xf>
    <xf numFmtId="0" fontId="10" fillId="0" borderId="0" xfId="0" applyFont="1"/>
    <xf numFmtId="0" fontId="10" fillId="9" borderId="1" xfId="0" applyFont="1" applyFill="1" applyBorder="1" applyAlignment="1">
      <alignment horizontal="left"/>
    </xf>
    <xf numFmtId="0" fontId="63" fillId="0" borderId="1" xfId="26" applyFont="1" applyBorder="1" applyAlignment="1">
      <alignment horizontal="right"/>
    </xf>
    <xf numFmtId="0" fontId="0" fillId="0" borderId="1" xfId="30" applyFont="1" applyBorder="1"/>
    <xf numFmtId="0" fontId="13" fillId="5" borderId="1" xfId="0" applyFont="1" applyFill="1" applyBorder="1"/>
    <xf numFmtId="0" fontId="0" fillId="12" borderId="1" xfId="0" applyFill="1" applyBorder="1" applyAlignment="1">
      <alignment horizontal="left"/>
    </xf>
    <xf numFmtId="0" fontId="9" fillId="0" borderId="0" xfId="0" applyFont="1"/>
    <xf numFmtId="0" fontId="5" fillId="0" borderId="0" xfId="96"/>
    <xf numFmtId="179" fontId="5" fillId="0" borderId="12" xfId="96" applyNumberFormat="1" applyBorder="1"/>
    <xf numFmtId="0" fontId="5" fillId="0" borderId="5" xfId="96" applyBorder="1"/>
    <xf numFmtId="0" fontId="5" fillId="0" borderId="12" xfId="96" applyBorder="1"/>
    <xf numFmtId="0" fontId="5" fillId="0" borderId="8" xfId="96" applyBorder="1"/>
    <xf numFmtId="0" fontId="5" fillId="0" borderId="9" xfId="96" applyBorder="1"/>
    <xf numFmtId="178" fontId="5" fillId="0" borderId="12" xfId="96" applyNumberFormat="1" applyBorder="1"/>
    <xf numFmtId="178" fontId="5" fillId="0" borderId="8" xfId="96" applyNumberFormat="1" applyBorder="1"/>
    <xf numFmtId="0" fontId="4" fillId="0" borderId="1" xfId="0" applyFont="1" applyBorder="1"/>
    <xf numFmtId="0" fontId="4" fillId="0" borderId="0" xfId="0" applyFont="1"/>
    <xf numFmtId="0" fontId="4" fillId="0" borderId="1" xfId="0" applyFont="1" applyBorder="1" applyAlignment="1">
      <alignment vertical="center"/>
    </xf>
    <xf numFmtId="0" fontId="0" fillId="9" borderId="1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8" fillId="9" borderId="1" xfId="0" applyFont="1" applyFill="1" applyBorder="1" applyAlignment="1">
      <alignment horizontal="left"/>
    </xf>
    <xf numFmtId="179" fontId="0" fillId="0" borderId="1" xfId="0" applyNumberFormat="1" applyBorder="1" applyAlignment="1">
      <alignment vertical="center"/>
    </xf>
    <xf numFmtId="0" fontId="3" fillId="0" borderId="0" xfId="0" applyFont="1"/>
    <xf numFmtId="0" fontId="57" fillId="0" borderId="0" xfId="30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180" fontId="0" fillId="0" borderId="1" xfId="0" applyNumberFormat="1" applyBorder="1"/>
    <xf numFmtId="0" fontId="2" fillId="5" borderId="1" xfId="0" applyFont="1" applyFill="1" applyBorder="1" applyAlignment="1">
      <alignment horizontal="left"/>
    </xf>
    <xf numFmtId="0" fontId="35" fillId="0" borderId="7" xfId="31" applyFont="1" applyBorder="1" applyAlignment="1">
      <alignment horizontal="center" vertical="center"/>
    </xf>
    <xf numFmtId="178" fontId="43" fillId="0" borderId="0" xfId="31" applyNumberFormat="1" applyFont="1" applyAlignment="1">
      <alignment horizontal="center" vertical="center"/>
    </xf>
    <xf numFmtId="182" fontId="31" fillId="0" borderId="16" xfId="0" applyNumberFormat="1" applyFont="1" applyBorder="1" applyAlignment="1">
      <alignment horizontal="right"/>
    </xf>
    <xf numFmtId="182" fontId="31" fillId="0" borderId="15" xfId="0" applyNumberFormat="1" applyFont="1" applyBorder="1" applyAlignment="1">
      <alignment horizontal="right"/>
    </xf>
    <xf numFmtId="0" fontId="35" fillId="0" borderId="0" xfId="31" applyFont="1" applyAlignment="1">
      <alignment horizontal="right" vertical="center"/>
    </xf>
    <xf numFmtId="0" fontId="35" fillId="0" borderId="0" xfId="31" applyFont="1" applyAlignment="1">
      <alignment vertical="top"/>
    </xf>
    <xf numFmtId="0" fontId="35" fillId="0" borderId="0" xfId="31" applyFont="1" applyAlignment="1">
      <alignment horizontal="right" vertical="top"/>
    </xf>
    <xf numFmtId="179" fontId="1" fillId="0" borderId="4" xfId="96" applyNumberFormat="1" applyFont="1" applyBorder="1"/>
    <xf numFmtId="0" fontId="5" fillId="5" borderId="12" xfId="96" applyFill="1" applyBorder="1"/>
    <xf numFmtId="178" fontId="5" fillId="5" borderId="12" xfId="96" applyNumberFormat="1" applyFill="1" applyBorder="1"/>
    <xf numFmtId="0" fontId="0" fillId="9" borderId="13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178" fontId="43" fillId="0" borderId="13" xfId="31" applyNumberFormat="1" applyFont="1" applyBorder="1" applyAlignment="1">
      <alignment horizontal="center" vertical="center"/>
    </xf>
    <xf numFmtId="178" fontId="43" fillId="0" borderId="23" xfId="31" applyNumberFormat="1" applyFont="1" applyBorder="1" applyAlignment="1">
      <alignment horizontal="center" vertical="center"/>
    </xf>
    <xf numFmtId="178" fontId="43" fillId="0" borderId="27" xfId="31" applyNumberFormat="1" applyFont="1" applyBorder="1" applyAlignment="1">
      <alignment horizontal="center" vertical="center"/>
    </xf>
    <xf numFmtId="0" fontId="43" fillId="0" borderId="1" xfId="31" applyFont="1" applyBorder="1" applyAlignment="1">
      <alignment horizontal="center" vertical="center"/>
    </xf>
    <xf numFmtId="0" fontId="35" fillId="0" borderId="13" xfId="31" applyFont="1" applyBorder="1" applyAlignment="1">
      <alignment horizontal="center" vertical="center"/>
    </xf>
    <xf numFmtId="0" fontId="35" fillId="0" borderId="27" xfId="31" applyFont="1" applyBorder="1" applyAlignment="1">
      <alignment horizontal="center" vertical="center"/>
    </xf>
    <xf numFmtId="0" fontId="35" fillId="0" borderId="1" xfId="31" applyFont="1" applyBorder="1" applyAlignment="1">
      <alignment horizontal="center" vertical="center"/>
    </xf>
    <xf numFmtId="0" fontId="35" fillId="0" borderId="4" xfId="31" applyFont="1" applyBorder="1" applyAlignment="1">
      <alignment horizontal="center" vertical="center" wrapText="1"/>
    </xf>
    <xf numFmtId="0" fontId="35" fillId="0" borderId="6" xfId="31" applyFont="1" applyBorder="1" applyAlignment="1">
      <alignment horizontal="center" vertical="center" wrapText="1"/>
    </xf>
    <xf numFmtId="0" fontId="35" fillId="0" borderId="3" xfId="31" applyFont="1" applyBorder="1" applyAlignment="1">
      <alignment horizontal="center" vertical="center"/>
    </xf>
    <xf numFmtId="0" fontId="35" fillId="0" borderId="5" xfId="31" applyFont="1" applyBorder="1" applyAlignment="1">
      <alignment horizontal="center" vertical="center" wrapText="1"/>
    </xf>
    <xf numFmtId="0" fontId="35" fillId="0" borderId="8" xfId="31" applyFont="1" applyBorder="1" applyAlignment="1">
      <alignment horizontal="center" vertical="center"/>
    </xf>
    <xf numFmtId="0" fontId="35" fillId="0" borderId="10" xfId="31" applyFont="1" applyBorder="1" applyAlignment="1">
      <alignment horizontal="center" vertical="center"/>
    </xf>
    <xf numFmtId="0" fontId="43" fillId="0" borderId="7" xfId="31" applyFont="1" applyBorder="1" applyAlignment="1">
      <alignment horizontal="center" vertical="center"/>
    </xf>
    <xf numFmtId="0" fontId="43" fillId="0" borderId="8" xfId="31" applyFont="1" applyBorder="1" applyAlignment="1">
      <alignment horizontal="center" vertical="center"/>
    </xf>
    <xf numFmtId="0" fontId="43" fillId="0" borderId="9" xfId="31" applyFont="1" applyBorder="1" applyAlignment="1">
      <alignment horizontal="center" vertical="center"/>
    </xf>
    <xf numFmtId="0" fontId="43" fillId="0" borderId="10" xfId="31" applyFont="1" applyBorder="1" applyAlignment="1">
      <alignment horizontal="center" vertical="center"/>
    </xf>
    <xf numFmtId="0" fontId="43" fillId="0" borderId="13" xfId="31" applyFont="1" applyBorder="1" applyAlignment="1">
      <alignment horizontal="center" vertical="center"/>
    </xf>
    <xf numFmtId="0" fontId="43" fillId="0" borderId="27" xfId="31" applyFont="1" applyBorder="1" applyAlignment="1">
      <alignment horizontal="center" vertical="center"/>
    </xf>
    <xf numFmtId="0" fontId="33" fillId="0" borderId="0" xfId="31" applyFont="1" applyAlignment="1">
      <alignment horizontal="center" vertical="center"/>
    </xf>
    <xf numFmtId="0" fontId="34" fillId="0" borderId="0" xfId="31" applyFont="1" applyAlignment="1">
      <alignment horizontal="center" vertical="center"/>
    </xf>
    <xf numFmtId="0" fontId="35" fillId="0" borderId="0" xfId="31" applyFont="1" applyAlignment="1">
      <alignment horizontal="center" vertical="center"/>
    </xf>
    <xf numFmtId="0" fontId="42" fillId="0" borderId="0" xfId="31" applyFont="1">
      <alignment vertical="center"/>
    </xf>
    <xf numFmtId="179" fontId="43" fillId="0" borderId="8" xfId="31" applyNumberFormat="1" applyFont="1" applyBorder="1" applyAlignment="1">
      <alignment horizontal="center" vertical="center"/>
    </xf>
    <xf numFmtId="179" fontId="43" fillId="0" borderId="10" xfId="31" applyNumberFormat="1" applyFont="1" applyBorder="1" applyAlignment="1">
      <alignment horizontal="center" vertical="center"/>
    </xf>
    <xf numFmtId="180" fontId="43" fillId="0" borderId="1" xfId="31" applyNumberFormat="1" applyFont="1" applyBorder="1" applyAlignment="1">
      <alignment horizontal="center" vertical="center"/>
    </xf>
    <xf numFmtId="2" fontId="43" fillId="0" borderId="13" xfId="31" applyNumberFormat="1" applyFont="1" applyBorder="1" applyAlignment="1">
      <alignment horizontal="center" vertical="center"/>
    </xf>
    <xf numFmtId="2" fontId="43" fillId="0" borderId="23" xfId="31" applyNumberFormat="1" applyFont="1" applyBorder="1" applyAlignment="1">
      <alignment horizontal="center" vertical="center"/>
    </xf>
    <xf numFmtId="2" fontId="43" fillId="0" borderId="27" xfId="31" applyNumberFormat="1" applyFont="1" applyBorder="1" applyAlignment="1">
      <alignment horizontal="center" vertical="center"/>
    </xf>
    <xf numFmtId="176" fontId="43" fillId="0" borderId="13" xfId="31" applyNumberFormat="1" applyFont="1" applyBorder="1" applyAlignment="1">
      <alignment horizontal="center" vertical="center"/>
    </xf>
    <xf numFmtId="176" fontId="43" fillId="0" borderId="23" xfId="31" applyNumberFormat="1" applyFont="1" applyBorder="1" applyAlignment="1">
      <alignment horizontal="center" vertical="center"/>
    </xf>
    <xf numFmtId="176" fontId="43" fillId="0" borderId="27" xfId="31" applyNumberFormat="1" applyFont="1" applyBorder="1" applyAlignment="1">
      <alignment horizontal="center" vertical="center"/>
    </xf>
    <xf numFmtId="0" fontId="35" fillId="0" borderId="0" xfId="31" applyFont="1" applyAlignment="1">
      <alignment horizontal="left" vertical="top" wrapText="1"/>
    </xf>
    <xf numFmtId="178" fontId="43" fillId="0" borderId="8" xfId="31" applyNumberFormat="1" applyFont="1" applyBorder="1" applyAlignment="1">
      <alignment horizontal="center" vertical="center"/>
    </xf>
    <xf numFmtId="178" fontId="43" fillId="0" borderId="9" xfId="31" applyNumberFormat="1" applyFont="1" applyBorder="1" applyAlignment="1">
      <alignment horizontal="center" vertical="center"/>
    </xf>
    <xf numFmtId="178" fontId="43" fillId="0" borderId="10" xfId="31" applyNumberFormat="1" applyFont="1" applyBorder="1" applyAlignment="1">
      <alignment horizontal="center" vertical="center"/>
    </xf>
  </cellXfs>
  <cellStyles count="99">
    <cellStyle name="Calc Currency (0)" xfId="1" xr:uid="{00000000-0005-0000-0000-000031000000}"/>
    <cellStyle name="Calc Currency (0) 2" xfId="45" xr:uid="{C99AC188-E607-4B0D-8034-493FDF1E4B32}"/>
    <cellStyle name="Calc Currency (2)" xfId="2" xr:uid="{00000000-0005-0000-0000-000032000000}"/>
    <cellStyle name="Calc Currency (2) 2" xfId="46" xr:uid="{712F25FC-519A-4F47-B932-56FFD81889FB}"/>
    <cellStyle name="Calc Percent (0)" xfId="3" xr:uid="{00000000-0005-0000-0000-000033000000}"/>
    <cellStyle name="Calc Percent (0) 2" xfId="47" xr:uid="{91372B33-47DB-4D9D-B90A-2D33613337CA}"/>
    <cellStyle name="Calc Percent (1)" xfId="4" xr:uid="{00000000-0005-0000-0000-000034000000}"/>
    <cellStyle name="Calc Percent (1) 2" xfId="48" xr:uid="{89F81B62-98AD-4ED2-A245-6ADE8971E8B3}"/>
    <cellStyle name="Calc Percent (2)" xfId="5" xr:uid="{00000000-0005-0000-0000-000035000000}"/>
    <cellStyle name="Calc Percent (2) 2" xfId="49" xr:uid="{C6C3DBD5-11F6-4A9F-8D08-29266B13FA70}"/>
    <cellStyle name="Calc Units (0)" xfId="6" xr:uid="{00000000-0005-0000-0000-000036000000}"/>
    <cellStyle name="Calc Units (0) 2" xfId="50" xr:uid="{692A53FB-3F72-4B0F-8187-73EA39FF879F}"/>
    <cellStyle name="Calc Units (1)" xfId="7" xr:uid="{00000000-0005-0000-0000-000037000000}"/>
    <cellStyle name="Calc Units (1) 2" xfId="51" xr:uid="{FD7D84FB-934F-40C0-9E2A-4C182C529C38}"/>
    <cellStyle name="Calc Units (2)" xfId="8" xr:uid="{00000000-0005-0000-0000-000038000000}"/>
    <cellStyle name="Calc Units (2) 2" xfId="52" xr:uid="{C2856ED1-67F6-4FD7-A9C0-61BC1A84A6F0}"/>
    <cellStyle name="Comma [00]" xfId="9" xr:uid="{00000000-0005-0000-0000-000039000000}"/>
    <cellStyle name="Comma [00] 2" xfId="53" xr:uid="{73BDB66B-CC0B-48B2-A0FC-41FC84BF5CCD}"/>
    <cellStyle name="Currency (0.00)" xfId="10" xr:uid="{00000000-0005-0000-0000-00003A000000}"/>
    <cellStyle name="Currency [00]" xfId="11" xr:uid="{00000000-0005-0000-0000-00003B000000}"/>
    <cellStyle name="Currency [00] 2" xfId="55" xr:uid="{AAA02B91-5806-421F-8EE7-F4883D4E1247}"/>
    <cellStyle name="Date Short" xfId="12" xr:uid="{00000000-0005-0000-0000-00003C000000}"/>
    <cellStyle name="Date Short 2" xfId="56" xr:uid="{990B207B-C90C-4E98-819A-BBB19C14C656}"/>
    <cellStyle name="Enter Currency (0)" xfId="13" xr:uid="{00000000-0005-0000-0000-00003D000000}"/>
    <cellStyle name="Enter Currency (0) 2" xfId="57" xr:uid="{71938B1F-D6EF-44D1-A9F2-C0019DA17221}"/>
    <cellStyle name="Enter Currency (2)" xfId="14" xr:uid="{00000000-0005-0000-0000-00003E000000}"/>
    <cellStyle name="Enter Currency (2) 2" xfId="58" xr:uid="{4ED5E5EB-E9FA-49DF-993B-6CF8E2FD1B9F}"/>
    <cellStyle name="Enter Units (0)" xfId="15" xr:uid="{00000000-0005-0000-0000-00003F000000}"/>
    <cellStyle name="Enter Units (0) 2" xfId="59" xr:uid="{ECE81110-9869-48B2-B19A-684C45009C8A}"/>
    <cellStyle name="Enter Units (1)" xfId="16" xr:uid="{00000000-0005-0000-0000-000040000000}"/>
    <cellStyle name="Enter Units (1) 2" xfId="60" xr:uid="{98D0DBE3-C471-49BF-AA8F-0AAE0699D89B}"/>
    <cellStyle name="Enter Units (2)" xfId="17" xr:uid="{00000000-0005-0000-0000-000041000000}"/>
    <cellStyle name="Enter Units (2) 2" xfId="61" xr:uid="{5D3398CF-BD2A-40A2-8AE6-A4D10D832105}"/>
    <cellStyle name="Header1" xfId="18" xr:uid="{00000000-0005-0000-0000-000042000000}"/>
    <cellStyle name="Header1 2" xfId="62" xr:uid="{A22F0999-9CF9-4B5F-8177-A7AA338FA256}"/>
    <cellStyle name="Header2" xfId="19" xr:uid="{00000000-0005-0000-0000-000043000000}"/>
    <cellStyle name="Header2 2" xfId="63" xr:uid="{48FD99B1-169F-48C6-AF45-11681BE064D7}"/>
    <cellStyle name="Link Currency (0)" xfId="20" xr:uid="{00000000-0005-0000-0000-000044000000}"/>
    <cellStyle name="Link Currency (0) 2" xfId="64" xr:uid="{B6A4759D-EB28-44A4-BFD5-799929D10BD9}"/>
    <cellStyle name="Link Currency (2)" xfId="21" xr:uid="{00000000-0005-0000-0000-000045000000}"/>
    <cellStyle name="Link Currency (2) 2" xfId="65" xr:uid="{D8092260-AA1B-43E5-92A9-AB8565B29719}"/>
    <cellStyle name="Link Units (0)" xfId="22" xr:uid="{00000000-0005-0000-0000-000046000000}"/>
    <cellStyle name="Link Units (0) 2" xfId="66" xr:uid="{9C3D2869-2A67-4C2A-8AFE-935757D4413B}"/>
    <cellStyle name="Link Units (1)" xfId="23" xr:uid="{00000000-0005-0000-0000-000047000000}"/>
    <cellStyle name="Link Units (1) 2" xfId="67" xr:uid="{AC3E7CEC-2D2D-45C4-94B9-9A0849068005}"/>
    <cellStyle name="Link Units (2)" xfId="24" xr:uid="{00000000-0005-0000-0000-000048000000}"/>
    <cellStyle name="Link Units (2) 2" xfId="68" xr:uid="{F863D4F2-0DDA-47AB-ABC0-AC46B7CA198B}"/>
    <cellStyle name="Normal" xfId="0" builtinId="0"/>
    <cellStyle name="Normal - Style1" xfId="25" xr:uid="{00000000-0005-0000-0000-000049000000}"/>
    <cellStyle name="Normal - Style1 2" xfId="69" xr:uid="{E79CF8E2-3448-4E23-B825-891E0F99FEA5}"/>
    <cellStyle name="Normal 10" xfId="95" xr:uid="{6A35B24F-9E97-4677-8548-0DB2B1F40A46}"/>
    <cellStyle name="Normal 11" xfId="96" xr:uid="{5CBD54C5-AD22-4400-A1C2-385F9DFE5F21}"/>
    <cellStyle name="Normal 2" xfId="26" xr:uid="{00000000-0005-0000-0000-00004A000000}"/>
    <cellStyle name="Normal 2 2" xfId="27" xr:uid="{00000000-0005-0000-0000-00004B000000}"/>
    <cellStyle name="Normal 2 2 2" xfId="71" xr:uid="{948CB3EE-7D4F-48CA-99FD-8CF020DEE8C1}"/>
    <cellStyle name="Normal 2 3" xfId="28" xr:uid="{00000000-0005-0000-0000-00004C000000}"/>
    <cellStyle name="Normal 2 3 2" xfId="85" xr:uid="{08CFB9BB-55A7-4EF6-AFF6-FB0154606B52}"/>
    <cellStyle name="Normal 2 3 3" xfId="89" xr:uid="{3FE62963-A95D-4170-B66A-C28B3C80264F}"/>
    <cellStyle name="Normal 2 3 4" xfId="93" xr:uid="{42FCEDA6-7606-4FB4-9C0F-EEF73679F582}"/>
    <cellStyle name="Normal 2 3 5" xfId="97" xr:uid="{2771DCE1-1C7B-4D4C-8CBA-91111FE9ACAF}"/>
    <cellStyle name="Normal 2 4" xfId="70" xr:uid="{7F545766-3034-4ED2-AACF-EF93CD4F6F82}"/>
    <cellStyle name="Normal 3" xfId="29" xr:uid="{00000000-0005-0000-0000-00004D000000}"/>
    <cellStyle name="Normal 3 2" xfId="30" xr:uid="{00000000-0005-0000-0000-00004E000000}"/>
    <cellStyle name="Normal 3 2 2" xfId="87" xr:uid="{0CC664D7-A7D3-404A-ACAC-B3E03FD4C0C4}"/>
    <cellStyle name="Normal 3 2 3" xfId="90" xr:uid="{71D56F9B-5C27-4DB3-A76E-80E85AEC5ECC}"/>
    <cellStyle name="Normal 3 2 4" xfId="94" xr:uid="{2403F1F3-3D73-4EDC-95F7-74364E96755D}"/>
    <cellStyle name="Normal 3 2 5" xfId="98" xr:uid="{1349F338-7A81-43F0-B043-E7228E6D26D7}"/>
    <cellStyle name="Normal 3 3" xfId="84" xr:uid="{E8F5631B-0BFA-4985-97E9-1FC317162C09}"/>
    <cellStyle name="Normal 4" xfId="31" xr:uid="{00000000-0005-0000-0000-00004F000000}"/>
    <cellStyle name="Normal 4 2" xfId="86" xr:uid="{90C83EC9-BE09-4D51-B454-B1D7DC1F7569}"/>
    <cellStyle name="Normal 5" xfId="44" xr:uid="{04D391A7-4868-439D-B0DA-63B95A2C99DB}"/>
    <cellStyle name="Normal 6" xfId="54" xr:uid="{05A7BC02-B77E-498C-AB5D-04DAF045D2B8}"/>
    <cellStyle name="Normal 7" xfId="88" xr:uid="{210E42B8-BC22-4715-A327-86F31C691E37}"/>
    <cellStyle name="Normal 8" xfId="91" xr:uid="{2194254F-5E62-4CB3-8E98-B839C709ED8B}"/>
    <cellStyle name="Normal 9" xfId="92" xr:uid="{18CC71B9-3EDD-45CD-BB44-D98D12C6BB62}"/>
    <cellStyle name="Percent [0]" xfId="32" xr:uid="{00000000-0005-0000-0000-000050000000}"/>
    <cellStyle name="Percent [0] 2" xfId="72" xr:uid="{8CF6CDE4-794F-41A7-9DA4-8F85F9F36183}"/>
    <cellStyle name="Percent [00]" xfId="33" xr:uid="{00000000-0005-0000-0000-000051000000}"/>
    <cellStyle name="Percent [00] 2" xfId="73" xr:uid="{E9DDF235-2FD0-44E8-B322-DE55971E87F6}"/>
    <cellStyle name="PrePop Currency (0)" xfId="34" xr:uid="{00000000-0005-0000-0000-000052000000}"/>
    <cellStyle name="PrePop Currency (0) 2" xfId="74" xr:uid="{939A5C54-BD5C-467B-AC12-D73C9CE1F4ED}"/>
    <cellStyle name="PrePop Currency (2)" xfId="35" xr:uid="{00000000-0005-0000-0000-000053000000}"/>
    <cellStyle name="PrePop Currency (2) 2" xfId="75" xr:uid="{292E99C8-4B85-4618-9827-9CB13BBF5A2D}"/>
    <cellStyle name="PrePop Units (0)" xfId="36" xr:uid="{00000000-0005-0000-0000-000054000000}"/>
    <cellStyle name="PrePop Units (0) 2" xfId="76" xr:uid="{EDC1912C-34FF-4022-BE3F-E9E01E022579}"/>
    <cellStyle name="PrePop Units (1)" xfId="37" xr:uid="{00000000-0005-0000-0000-000055000000}"/>
    <cellStyle name="PrePop Units (1) 2" xfId="77" xr:uid="{01E98C32-6A87-4FEA-B50F-8B757588B1AA}"/>
    <cellStyle name="PrePop Units (2)" xfId="38" xr:uid="{00000000-0005-0000-0000-000056000000}"/>
    <cellStyle name="PrePop Units (2) 2" xfId="78" xr:uid="{0B8FFD5F-B79C-43E6-878C-84ED8316388D}"/>
    <cellStyle name="sbt2" xfId="39" xr:uid="{00000000-0005-0000-0000-000057000000}"/>
    <cellStyle name="sbt2 2" xfId="79" xr:uid="{9445FD2D-D36E-4F21-A827-03F82DE1B0B8}"/>
    <cellStyle name="subt1" xfId="40" xr:uid="{00000000-0005-0000-0000-000058000000}"/>
    <cellStyle name="subt1 2" xfId="80" xr:uid="{14010AD9-CD34-4C83-A6E8-FB1E9E2D02EA}"/>
    <cellStyle name="Text Indent A" xfId="41" xr:uid="{00000000-0005-0000-0000-000059000000}"/>
    <cellStyle name="Text Indent A 2" xfId="81" xr:uid="{8606F96E-B6DB-4AAC-BDEA-552A6FC7CA4B}"/>
    <cellStyle name="Text Indent B" xfId="42" xr:uid="{00000000-0005-0000-0000-00005A000000}"/>
    <cellStyle name="Text Indent B 2" xfId="82" xr:uid="{3F2F2A6C-2876-487A-B937-14591A9B93C3}"/>
    <cellStyle name="Text Indent C" xfId="43" xr:uid="{00000000-0005-0000-0000-00005B000000}"/>
    <cellStyle name="Text Indent C 2" xfId="83" xr:uid="{A8AAA4F1-F0A8-436F-A6CC-6BB9739DB71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www.wps.cn/officeDocument/2023/relationships/customStorage" Target="customStorage/customStorag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276225</xdr:colOff>
      <xdr:row>0</xdr:row>
      <xdr:rowOff>76200</xdr:rowOff>
    </xdr:from>
    <xdr:to>
      <xdr:col>23</xdr:col>
      <xdr:colOff>381000</xdr:colOff>
      <xdr:row>56</xdr:row>
      <xdr:rowOff>85207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33278" t="23668" r="31615" b="5917"/>
        <a:stretch>
          <a:fillRect/>
        </a:stretch>
      </xdr:blipFill>
      <xdr:spPr>
        <a:xfrm>
          <a:off x="6667500" y="76200"/>
          <a:ext cx="8029575" cy="90766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201706</xdr:colOff>
      <xdr:row>90</xdr:row>
      <xdr:rowOff>58930</xdr:rowOff>
    </xdr:from>
    <xdr:to>
      <xdr:col>20</xdr:col>
      <xdr:colOff>282843</xdr:colOff>
      <xdr:row>108</xdr:row>
      <xdr:rowOff>114559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6D48EA-8186-41D7-AFD9-3DDF6147C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93469" y="16575280"/>
          <a:ext cx="5096051" cy="345265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112</xdr:row>
      <xdr:rowOff>0</xdr:rowOff>
    </xdr:from>
    <xdr:to>
      <xdr:col>14</xdr:col>
      <xdr:colOff>304800</xdr:colOff>
      <xdr:row>113</xdr:row>
      <xdr:rowOff>123825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67C51131-6A4B-4937-A47B-0772DFA35CD1}"/>
            </a:ext>
          </a:extLst>
        </xdr:cNvPr>
        <xdr:cNvSpPr>
          <a:spLocks noChangeAspect="1" noChangeArrowheads="1"/>
        </xdr:cNvSpPr>
      </xdr:nvSpPr>
      <xdr:spPr>
        <a:xfrm>
          <a:off x="11168063" y="2052161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149678</xdr:colOff>
      <xdr:row>81</xdr:row>
      <xdr:rowOff>128141</xdr:rowOff>
    </xdr:from>
    <xdr:to>
      <xdr:col>22</xdr:col>
      <xdr:colOff>142874</xdr:colOff>
      <xdr:row>89</xdr:row>
      <xdr:rowOff>125619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6EF7EA-833F-4665-A18C-7E2D5966F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41441" y="15015716"/>
          <a:ext cx="6313035" cy="14452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H25"/>
  <sheetViews>
    <sheetView topLeftCell="A13" workbookViewId="0">
      <selection activeCell="F39" sqref="F39"/>
    </sheetView>
  </sheetViews>
  <sheetFormatPr defaultColWidth="9.109375" defaultRowHeight="13.2"/>
  <cols>
    <col min="1" max="1" width="13.5546875" style="132" customWidth="1"/>
    <col min="2" max="16384" width="9.109375" style="132"/>
  </cols>
  <sheetData>
    <row r="1" spans="1:8">
      <c r="A1" s="133" t="s">
        <v>0</v>
      </c>
      <c r="B1" s="133" t="s">
        <v>1</v>
      </c>
      <c r="C1" s="133" t="s">
        <v>2</v>
      </c>
      <c r="D1" s="133" t="s">
        <v>3</v>
      </c>
      <c r="E1" s="133" t="s">
        <v>4</v>
      </c>
      <c r="F1" s="133" t="s">
        <v>5</v>
      </c>
      <c r="G1" s="133" t="s">
        <v>6</v>
      </c>
      <c r="H1" s="133" t="s">
        <v>7</v>
      </c>
    </row>
    <row r="2" spans="1:8">
      <c r="A2" s="133" t="s">
        <v>8</v>
      </c>
      <c r="B2" s="133">
        <v>25</v>
      </c>
      <c r="C2" s="133">
        <v>75</v>
      </c>
      <c r="D2" s="133">
        <v>250</v>
      </c>
      <c r="E2" s="133">
        <v>750</v>
      </c>
      <c r="F2" s="133">
        <v>2500</v>
      </c>
      <c r="G2" s="133">
        <v>7500</v>
      </c>
      <c r="H2" s="133">
        <v>25000</v>
      </c>
    </row>
    <row r="3" spans="1:8">
      <c r="A3" s="133" t="s">
        <v>9</v>
      </c>
      <c r="B3" s="133">
        <v>10</v>
      </c>
      <c r="C3" s="133">
        <v>30</v>
      </c>
      <c r="D3" s="133">
        <v>100</v>
      </c>
      <c r="E3" s="133">
        <v>300</v>
      </c>
      <c r="F3" s="133">
        <v>1000</v>
      </c>
      <c r="G3" s="133">
        <v>3000</v>
      </c>
      <c r="H3" s="133">
        <v>10000</v>
      </c>
    </row>
    <row r="4" spans="1:8">
      <c r="A4" s="133" t="s">
        <v>10</v>
      </c>
      <c r="B4" s="133">
        <v>5</v>
      </c>
      <c r="C4" s="133">
        <v>15</v>
      </c>
      <c r="D4" s="133">
        <v>50</v>
      </c>
      <c r="E4" s="133">
        <v>150</v>
      </c>
      <c r="F4" s="133">
        <v>500</v>
      </c>
      <c r="G4" s="133">
        <v>1500</v>
      </c>
      <c r="H4" s="133">
        <v>5000</v>
      </c>
    </row>
    <row r="5" spans="1:8">
      <c r="A5" s="133" t="s">
        <v>11</v>
      </c>
      <c r="B5" s="133">
        <v>2.5</v>
      </c>
      <c r="C5" s="133">
        <v>7.5</v>
      </c>
      <c r="D5" s="133">
        <v>25</v>
      </c>
      <c r="E5" s="133">
        <v>75</v>
      </c>
      <c r="F5" s="133">
        <v>250</v>
      </c>
      <c r="G5" s="133">
        <v>750</v>
      </c>
      <c r="H5" s="133">
        <v>2500</v>
      </c>
    </row>
    <row r="6" spans="1:8">
      <c r="A6" s="133" t="s">
        <v>12</v>
      </c>
      <c r="B6" s="133">
        <v>1</v>
      </c>
      <c r="C6" s="133">
        <v>3</v>
      </c>
      <c r="D6" s="133">
        <v>10</v>
      </c>
      <c r="E6" s="133">
        <v>30</v>
      </c>
      <c r="F6" s="133">
        <v>100</v>
      </c>
      <c r="G6" s="133">
        <v>300</v>
      </c>
      <c r="H6" s="133">
        <v>1000</v>
      </c>
    </row>
    <row r="7" spans="1:8">
      <c r="A7" s="133" t="s">
        <v>13</v>
      </c>
      <c r="B7" s="133">
        <v>0.5</v>
      </c>
      <c r="C7" s="133">
        <v>1.5</v>
      </c>
      <c r="D7" s="133">
        <v>5</v>
      </c>
      <c r="E7" s="133">
        <v>15</v>
      </c>
      <c r="F7" s="133">
        <v>50</v>
      </c>
      <c r="G7" s="133">
        <v>150</v>
      </c>
      <c r="H7" s="133">
        <v>500</v>
      </c>
    </row>
    <row r="8" spans="1:8">
      <c r="A8" s="133" t="s">
        <v>14</v>
      </c>
      <c r="B8" s="133">
        <v>0.25</v>
      </c>
      <c r="C8" s="133">
        <v>0.75</v>
      </c>
      <c r="D8" s="133">
        <v>2.5</v>
      </c>
      <c r="E8" s="133">
        <v>7.5</v>
      </c>
      <c r="F8" s="133">
        <v>25</v>
      </c>
      <c r="G8" s="133">
        <v>75</v>
      </c>
      <c r="H8" s="133">
        <v>250</v>
      </c>
    </row>
    <row r="9" spans="1:8">
      <c r="A9" s="133" t="s">
        <v>15</v>
      </c>
      <c r="B9" s="133">
        <v>0.01</v>
      </c>
      <c r="C9" s="133">
        <v>0.3</v>
      </c>
      <c r="D9" s="133">
        <v>1</v>
      </c>
      <c r="E9" s="133">
        <v>3</v>
      </c>
      <c r="F9" s="133">
        <v>10</v>
      </c>
      <c r="G9" s="133">
        <v>30</v>
      </c>
      <c r="H9" s="133">
        <v>100</v>
      </c>
    </row>
    <row r="10" spans="1:8">
      <c r="A10" s="133" t="s">
        <v>16</v>
      </c>
      <c r="B10" s="133">
        <v>0.05</v>
      </c>
      <c r="C10" s="133">
        <v>0.15</v>
      </c>
      <c r="D10" s="133">
        <v>0.5</v>
      </c>
      <c r="E10" s="133">
        <v>1.5</v>
      </c>
      <c r="F10" s="133">
        <v>5</v>
      </c>
      <c r="G10" s="133">
        <v>15</v>
      </c>
      <c r="H10" s="133">
        <v>50</v>
      </c>
    </row>
    <row r="11" spans="1:8">
      <c r="A11" s="133" t="s">
        <v>17</v>
      </c>
      <c r="B11" s="133">
        <v>0.03</v>
      </c>
      <c r="C11" s="133">
        <v>0.1</v>
      </c>
      <c r="D11" s="133">
        <v>0.3</v>
      </c>
      <c r="E11" s="133">
        <v>1</v>
      </c>
      <c r="F11" s="133">
        <v>3</v>
      </c>
      <c r="G11" s="133">
        <v>10</v>
      </c>
      <c r="H11" s="133">
        <v>30</v>
      </c>
    </row>
    <row r="12" spans="1:8">
      <c r="A12" s="133" t="s">
        <v>18</v>
      </c>
      <c r="B12" s="133">
        <v>2.5000000000000001E-2</v>
      </c>
      <c r="C12" s="133">
        <v>0.08</v>
      </c>
      <c r="D12" s="133">
        <v>0.25</v>
      </c>
      <c r="E12" s="133">
        <v>0.8</v>
      </c>
      <c r="F12" s="133">
        <v>2.5</v>
      </c>
      <c r="G12" s="133">
        <v>8</v>
      </c>
      <c r="H12" s="133">
        <v>25</v>
      </c>
    </row>
    <row r="13" spans="1:8">
      <c r="A13" s="133" t="s">
        <v>19</v>
      </c>
      <c r="B13" s="133">
        <v>0.02</v>
      </c>
      <c r="C13" s="133">
        <v>0.06</v>
      </c>
      <c r="D13" s="133">
        <v>0.2</v>
      </c>
      <c r="E13" s="133">
        <v>0.6</v>
      </c>
      <c r="F13" s="133">
        <v>2</v>
      </c>
      <c r="G13" s="133">
        <v>6</v>
      </c>
      <c r="H13" s="133">
        <v>20</v>
      </c>
    </row>
    <row r="14" spans="1:8">
      <c r="A14" s="133" t="s">
        <v>20</v>
      </c>
      <c r="B14" s="133">
        <v>1.4999999999999999E-2</v>
      </c>
      <c r="C14" s="133">
        <v>0.05</v>
      </c>
      <c r="D14" s="133">
        <v>0.15</v>
      </c>
      <c r="E14" s="133">
        <v>0.5</v>
      </c>
      <c r="F14" s="133">
        <v>1.5</v>
      </c>
      <c r="G14" s="133">
        <v>5</v>
      </c>
      <c r="H14" s="133">
        <v>15</v>
      </c>
    </row>
    <row r="15" spans="1:8">
      <c r="A15" s="133" t="s">
        <v>21</v>
      </c>
      <c r="B15" s="133">
        <v>1.2E-2</v>
      </c>
      <c r="C15" s="133">
        <v>0.04</v>
      </c>
      <c r="D15" s="133">
        <v>0.12</v>
      </c>
      <c r="E15" s="133">
        <v>0.4</v>
      </c>
      <c r="F15" s="133">
        <v>1.2</v>
      </c>
      <c r="G15" s="133">
        <v>4</v>
      </c>
      <c r="H15" s="133">
        <v>12</v>
      </c>
    </row>
    <row r="16" spans="1:8">
      <c r="A16" s="133" t="s">
        <v>22</v>
      </c>
      <c r="B16" s="133">
        <v>0.01</v>
      </c>
      <c r="C16" s="133">
        <v>0.03</v>
      </c>
      <c r="D16" s="133">
        <v>0.1</v>
      </c>
      <c r="E16" s="133">
        <v>0.3</v>
      </c>
      <c r="F16" s="133">
        <v>1</v>
      </c>
      <c r="G16" s="133">
        <v>3</v>
      </c>
      <c r="H16" s="133">
        <v>10</v>
      </c>
    </row>
    <row r="17" spans="1:8">
      <c r="A17" s="133" t="s">
        <v>23</v>
      </c>
      <c r="B17" s="133">
        <v>8.0000000000000002E-3</v>
      </c>
      <c r="C17" s="133">
        <v>2.5000000000000001E-2</v>
      </c>
      <c r="D17" s="133">
        <v>0.08</v>
      </c>
      <c r="E17" s="133">
        <v>0.25</v>
      </c>
      <c r="F17" s="133">
        <v>0.8</v>
      </c>
      <c r="G17" s="133">
        <v>2.5</v>
      </c>
      <c r="H17" s="133" t="s">
        <v>24</v>
      </c>
    </row>
    <row r="18" spans="1:8">
      <c r="A18" s="133" t="s">
        <v>25</v>
      </c>
      <c r="B18" s="133">
        <v>6.0000000000000001E-3</v>
      </c>
      <c r="C18" s="133">
        <v>0.02</v>
      </c>
      <c r="D18" s="133">
        <v>0.06</v>
      </c>
      <c r="E18" s="133">
        <v>0.2</v>
      </c>
      <c r="F18" s="133">
        <v>0.6</v>
      </c>
      <c r="G18" s="133">
        <v>2</v>
      </c>
      <c r="H18" s="133" t="s">
        <v>24</v>
      </c>
    </row>
    <row r="19" spans="1:8">
      <c r="A19" s="133" t="s">
        <v>26</v>
      </c>
      <c r="B19" s="133">
        <v>5.0000000000000001E-3</v>
      </c>
      <c r="C19" s="133">
        <v>1.4999999999999999E-2</v>
      </c>
      <c r="D19" s="133">
        <v>0.05</v>
      </c>
      <c r="E19" s="133">
        <v>0.15</v>
      </c>
      <c r="F19" s="133">
        <v>0.5</v>
      </c>
      <c r="G19" s="133">
        <v>1.5</v>
      </c>
      <c r="H19" s="133" t="s">
        <v>24</v>
      </c>
    </row>
    <row r="20" spans="1:8">
      <c r="A20" s="133" t="s">
        <v>27</v>
      </c>
      <c r="B20" s="133">
        <v>4.0000000000000001E-3</v>
      </c>
      <c r="C20" s="133">
        <v>1.2E-2</v>
      </c>
      <c r="D20" s="133">
        <v>0.04</v>
      </c>
      <c r="E20" s="133">
        <v>0.12</v>
      </c>
      <c r="F20" s="133">
        <v>0.4</v>
      </c>
      <c r="G20" s="133" t="s">
        <v>24</v>
      </c>
      <c r="H20" s="133" t="s">
        <v>24</v>
      </c>
    </row>
    <row r="21" spans="1:8">
      <c r="A21" s="133" t="s">
        <v>28</v>
      </c>
      <c r="B21" s="133">
        <v>3.0000000000000001E-3</v>
      </c>
      <c r="C21" s="133">
        <v>0.01</v>
      </c>
      <c r="D21" s="133">
        <v>0.03</v>
      </c>
      <c r="E21" s="133">
        <v>0.1</v>
      </c>
      <c r="F21" s="133">
        <v>0.3</v>
      </c>
      <c r="G21" s="133" t="s">
        <v>24</v>
      </c>
      <c r="H21" s="133" t="s">
        <v>24</v>
      </c>
    </row>
    <row r="22" spans="1:8">
      <c r="A22" s="133" t="s">
        <v>29</v>
      </c>
      <c r="B22" s="133">
        <v>2E-3</v>
      </c>
      <c r="C22" s="133">
        <v>8.0000000000000002E-3</v>
      </c>
      <c r="D22" s="133">
        <v>2.5000000000000001E-2</v>
      </c>
      <c r="E22" s="133">
        <v>0.08</v>
      </c>
      <c r="F22" s="133">
        <v>0.25</v>
      </c>
      <c r="G22" s="133" t="s">
        <v>24</v>
      </c>
      <c r="H22" s="133" t="s">
        <v>24</v>
      </c>
    </row>
    <row r="23" spans="1:8">
      <c r="A23" s="133" t="s">
        <v>30</v>
      </c>
      <c r="B23" s="133">
        <v>2E-3</v>
      </c>
      <c r="C23" s="133">
        <v>6.0000000000000001E-3</v>
      </c>
      <c r="D23" s="133">
        <v>0.02</v>
      </c>
      <c r="E23" s="133">
        <v>0.06</v>
      </c>
      <c r="F23" s="133">
        <v>0.2</v>
      </c>
      <c r="G23" s="133" t="s">
        <v>24</v>
      </c>
      <c r="H23" s="133" t="s">
        <v>24</v>
      </c>
    </row>
    <row r="24" spans="1:8">
      <c r="A24" s="133" t="s">
        <v>31</v>
      </c>
      <c r="B24" s="133">
        <v>2E-3</v>
      </c>
      <c r="C24" s="133">
        <v>6.0000000000000001E-3</v>
      </c>
      <c r="D24" s="133">
        <v>0.02</v>
      </c>
      <c r="E24" s="133">
        <v>0.06</v>
      </c>
      <c r="F24" s="133">
        <v>0.2</v>
      </c>
      <c r="G24" s="133" t="s">
        <v>24</v>
      </c>
      <c r="H24" s="133" t="s">
        <v>24</v>
      </c>
    </row>
    <row r="25" spans="1:8">
      <c r="A25" s="133" t="s">
        <v>32</v>
      </c>
      <c r="B25" s="133">
        <v>2E-3</v>
      </c>
      <c r="C25" s="133">
        <v>6.0000000000000001E-3</v>
      </c>
      <c r="D25" s="133">
        <v>0.02</v>
      </c>
      <c r="E25" s="133">
        <v>0.06</v>
      </c>
      <c r="F25" s="133">
        <v>0.2</v>
      </c>
      <c r="G25" s="133" t="s">
        <v>24</v>
      </c>
      <c r="H25" s="133" t="s">
        <v>24</v>
      </c>
    </row>
  </sheetData>
  <pageMargins left="0.7" right="0.7" top="0.75" bottom="0.75" header="0.3" footer="0.3"/>
  <pageSetup paperSize="9" orientation="portrait" horizontalDpi="360" verticalDpi="36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B1:D30"/>
  <sheetViews>
    <sheetView topLeftCell="A19" workbookViewId="0">
      <selection activeCell="C1" sqref="C1"/>
    </sheetView>
  </sheetViews>
  <sheetFormatPr defaultColWidth="9" defaultRowHeight="14.4"/>
  <cols>
    <col min="1" max="1" width="4.77734375" customWidth="1"/>
    <col min="2" max="2" width="8.5546875" customWidth="1"/>
    <col min="3" max="3" width="15.88671875" customWidth="1"/>
    <col min="4" max="4" width="19" customWidth="1"/>
    <col min="5" max="5" width="10.77734375" customWidth="1"/>
  </cols>
  <sheetData>
    <row r="1" spans="2:4">
      <c r="C1" s="130">
        <v>44809</v>
      </c>
    </row>
    <row r="2" spans="2:4" ht="28.8">
      <c r="B2" s="131" t="s">
        <v>33</v>
      </c>
      <c r="C2" s="131" t="s">
        <v>34</v>
      </c>
      <c r="D2" s="131" t="s">
        <v>35</v>
      </c>
    </row>
    <row r="3" spans="2:4">
      <c r="B3" s="32">
        <v>5000</v>
      </c>
      <c r="C3" s="32">
        <v>4999.9986600000002</v>
      </c>
      <c r="D3" s="32">
        <v>0.6</v>
      </c>
    </row>
    <row r="4" spans="2:4">
      <c r="B4" s="32" t="s">
        <v>36</v>
      </c>
      <c r="C4" s="32">
        <v>2000.0319999999999</v>
      </c>
      <c r="D4" s="32">
        <v>24</v>
      </c>
    </row>
    <row r="5" spans="2:4">
      <c r="B5" s="32">
        <v>2000</v>
      </c>
      <c r="C5" s="32">
        <v>2000.0319999999999</v>
      </c>
      <c r="D5" s="32">
        <v>24</v>
      </c>
    </row>
    <row r="6" spans="2:4">
      <c r="B6" s="32">
        <v>1000</v>
      </c>
      <c r="C6" s="32">
        <v>1000.000837</v>
      </c>
      <c r="D6" s="32">
        <v>9.9000000000000005E-2</v>
      </c>
    </row>
    <row r="7" spans="2:4">
      <c r="B7" s="32">
        <v>500</v>
      </c>
      <c r="C7" s="32">
        <v>500.00008400000002</v>
      </c>
      <c r="D7" s="32">
        <v>5.6000000000000001E-2</v>
      </c>
    </row>
    <row r="8" spans="2:4">
      <c r="B8" s="32">
        <v>200</v>
      </c>
      <c r="C8" s="32">
        <v>199.999922</v>
      </c>
      <c r="D8" s="32">
        <v>2.5000000000000001E-2</v>
      </c>
    </row>
    <row r="9" spans="2:4">
      <c r="B9" s="32" t="s">
        <v>37</v>
      </c>
      <c r="C9" s="32">
        <v>199.999977</v>
      </c>
      <c r="D9" s="32">
        <v>2.5000000000000001E-2</v>
      </c>
    </row>
    <row r="10" spans="2:4">
      <c r="B10" s="32">
        <v>100</v>
      </c>
      <c r="C10" s="32">
        <v>99.999909000000002</v>
      </c>
      <c r="D10" s="32">
        <v>2.1999999999999999E-2</v>
      </c>
    </row>
    <row r="11" spans="2:4">
      <c r="B11" s="32">
        <v>50</v>
      </c>
      <c r="C11" s="32">
        <v>49.999975999999997</v>
      </c>
      <c r="D11" s="32">
        <v>1.2E-2</v>
      </c>
    </row>
    <row r="12" spans="2:4">
      <c r="B12" s="32">
        <v>20</v>
      </c>
      <c r="C12" s="32">
        <v>19.999989299999999</v>
      </c>
      <c r="D12" s="32">
        <v>8.9999999999999993E-3</v>
      </c>
    </row>
    <row r="13" spans="2:4">
      <c r="B13" s="32" t="s">
        <v>38</v>
      </c>
      <c r="C13" s="32">
        <v>19.999988800000001</v>
      </c>
      <c r="D13" s="32">
        <v>8.9999999999999993E-3</v>
      </c>
    </row>
    <row r="14" spans="2:4">
      <c r="B14" s="32">
        <v>10</v>
      </c>
      <c r="C14" s="32">
        <v>9.9999660000000006</v>
      </c>
      <c r="D14" s="32">
        <v>8.3000000000000001E-3</v>
      </c>
    </row>
    <row r="15" spans="2:4">
      <c r="B15" s="32">
        <v>5</v>
      </c>
      <c r="C15" s="32">
        <v>5.0000099000000002</v>
      </c>
      <c r="D15" s="32">
        <v>5.1000000000000004E-3</v>
      </c>
    </row>
    <row r="16" spans="2:4">
      <c r="B16" s="32">
        <v>2</v>
      </c>
      <c r="C16" s="32">
        <v>2.0000124000000001</v>
      </c>
      <c r="D16" s="32">
        <v>3.8999999999999998E-3</v>
      </c>
    </row>
    <row r="17" spans="2:4">
      <c r="B17" s="32" t="s">
        <v>39</v>
      </c>
      <c r="C17" s="32">
        <v>1.9999897</v>
      </c>
      <c r="D17" s="32">
        <v>3.8999999999999998E-3</v>
      </c>
    </row>
    <row r="18" spans="2:4">
      <c r="B18" s="32">
        <v>1</v>
      </c>
      <c r="C18" s="32">
        <v>0.99998560000000003</v>
      </c>
      <c r="D18" s="32">
        <v>3.5000000000000001E-3</v>
      </c>
    </row>
    <row r="19" spans="2:4">
      <c r="B19" s="32">
        <v>0.5</v>
      </c>
      <c r="C19" s="32">
        <v>0.50001799999999996</v>
      </c>
      <c r="D19" s="32">
        <v>3.0000000000000001E-3</v>
      </c>
    </row>
    <row r="20" spans="2:4">
      <c r="B20" s="32">
        <v>0.2</v>
      </c>
      <c r="C20" s="32">
        <v>0.20000999999999999</v>
      </c>
      <c r="D20" s="32">
        <v>3.0000000000000001E-3</v>
      </c>
    </row>
    <row r="21" spans="2:4">
      <c r="B21" s="32" t="s">
        <v>40</v>
      </c>
      <c r="C21" s="32">
        <v>0.200014</v>
      </c>
      <c r="D21" s="32">
        <v>3.0000000000000001E-3</v>
      </c>
    </row>
    <row r="22" spans="2:4">
      <c r="B22" s="32">
        <v>0.1</v>
      </c>
      <c r="C22" s="32">
        <v>0.100005</v>
      </c>
      <c r="D22" s="32">
        <v>2E-3</v>
      </c>
    </row>
    <row r="23" spans="2:4">
      <c r="B23" s="32">
        <v>0.05</v>
      </c>
      <c r="C23" s="32">
        <v>5.0004E-2</v>
      </c>
      <c r="D23" s="32">
        <v>2E-3</v>
      </c>
    </row>
    <row r="24" spans="2:4">
      <c r="B24" s="32">
        <v>0.02</v>
      </c>
      <c r="C24" s="32">
        <v>2.0004999999999998E-2</v>
      </c>
      <c r="D24" s="32">
        <v>2E-3</v>
      </c>
    </row>
    <row r="25" spans="2:4">
      <c r="B25" s="32" t="s">
        <v>41</v>
      </c>
      <c r="C25" s="32">
        <v>1.9996E-2</v>
      </c>
      <c r="D25" s="32">
        <v>2E-3</v>
      </c>
    </row>
    <row r="26" spans="2:4">
      <c r="B26" s="32">
        <v>0.01</v>
      </c>
      <c r="C26" s="32">
        <v>9.9950000000000004E-3</v>
      </c>
      <c r="D26" s="32">
        <v>2E-3</v>
      </c>
    </row>
    <row r="27" spans="2:4">
      <c r="B27" s="32">
        <v>5.0000000000000001E-3</v>
      </c>
      <c r="C27" s="32">
        <v>5.0039999999999998E-3</v>
      </c>
      <c r="D27" s="32">
        <v>2E-3</v>
      </c>
    </row>
    <row r="28" spans="2:4">
      <c r="B28" s="32">
        <v>2E-3</v>
      </c>
      <c r="C28" s="32">
        <v>1.9989999999999999E-3</v>
      </c>
      <c r="D28" s="32">
        <v>2E-3</v>
      </c>
    </row>
    <row r="29" spans="2:4">
      <c r="B29" s="32" t="s">
        <v>42</v>
      </c>
      <c r="C29" s="32">
        <v>2.0049999999999998E-3</v>
      </c>
      <c r="D29" s="32">
        <v>2E-3</v>
      </c>
    </row>
    <row r="30" spans="2:4">
      <c r="B30" s="32">
        <v>1E-3</v>
      </c>
      <c r="C30" s="32">
        <v>1.0039999999999999E-3</v>
      </c>
      <c r="D30" s="32">
        <v>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25546-CC20-47E9-BBE3-A6D83040CAAF}">
  <sheetPr>
    <tabColor rgb="FFFFC000"/>
  </sheetPr>
  <dimension ref="A1:D19"/>
  <sheetViews>
    <sheetView workbookViewId="0">
      <selection activeCell="B5" sqref="B5"/>
    </sheetView>
  </sheetViews>
  <sheetFormatPr defaultRowHeight="14.4"/>
  <cols>
    <col min="1" max="1" width="17.33203125" bestFit="1" customWidth="1"/>
    <col min="2" max="2" width="27.109375" bestFit="1" customWidth="1"/>
    <col min="3" max="3" width="6.88671875" bestFit="1" customWidth="1"/>
  </cols>
  <sheetData>
    <row r="1" spans="1:4">
      <c r="A1" s="31" t="s">
        <v>122</v>
      </c>
      <c r="B1" s="31" t="s">
        <v>123</v>
      </c>
      <c r="C1" s="31" t="s">
        <v>124</v>
      </c>
    </row>
    <row r="2" spans="1:4">
      <c r="A2" s="147" t="s">
        <v>126</v>
      </c>
      <c r="B2" s="153"/>
      <c r="C2" s="147"/>
    </row>
    <row r="3" spans="1:4">
      <c r="A3" s="147" t="s">
        <v>128</v>
      </c>
      <c r="B3" s="153" t="s">
        <v>302</v>
      </c>
      <c r="C3" s="147"/>
    </row>
    <row r="4" spans="1:4">
      <c r="A4" s="147" t="s">
        <v>130</v>
      </c>
      <c r="B4" s="153" t="s">
        <v>307</v>
      </c>
      <c r="C4" s="147"/>
    </row>
    <row r="5" spans="1:4">
      <c r="A5" s="147" t="s">
        <v>84</v>
      </c>
      <c r="B5" s="177"/>
      <c r="C5" s="147"/>
    </row>
    <row r="6" spans="1:4">
      <c r="A6" s="147" t="s">
        <v>133</v>
      </c>
      <c r="B6" s="34" t="s">
        <v>239</v>
      </c>
      <c r="C6" s="147"/>
    </row>
    <row r="7" spans="1:4">
      <c r="A7" s="147" t="s">
        <v>135</v>
      </c>
      <c r="B7" s="34" t="s">
        <v>24</v>
      </c>
      <c r="C7" s="147"/>
    </row>
    <row r="8" spans="1:4">
      <c r="A8" s="147" t="s">
        <v>51</v>
      </c>
      <c r="B8" s="201" t="s">
        <v>298</v>
      </c>
      <c r="C8" s="147"/>
    </row>
    <row r="9" spans="1:4">
      <c r="A9" s="147" t="s">
        <v>138</v>
      </c>
      <c r="B9" s="201" t="s">
        <v>282</v>
      </c>
      <c r="C9" s="147"/>
    </row>
    <row r="10" spans="1:4">
      <c r="A10" s="147" t="s">
        <v>275</v>
      </c>
      <c r="B10" s="201" t="s">
        <v>299</v>
      </c>
      <c r="C10" s="147"/>
    </row>
    <row r="11" spans="1:4">
      <c r="A11" s="147" t="s">
        <v>139</v>
      </c>
      <c r="B11" s="34" t="s">
        <v>24</v>
      </c>
      <c r="C11" s="147"/>
    </row>
    <row r="12" spans="1:4">
      <c r="A12" s="147" t="s">
        <v>81</v>
      </c>
      <c r="B12" s="154" t="s">
        <v>300</v>
      </c>
      <c r="C12" s="147"/>
      <c r="D12" s="38" t="s">
        <v>154</v>
      </c>
    </row>
    <row r="13" spans="1:4">
      <c r="A13" s="147" t="s">
        <v>82</v>
      </c>
      <c r="B13" s="155" t="s">
        <v>300</v>
      </c>
      <c r="C13" s="147"/>
      <c r="D13" s="38" t="s">
        <v>154</v>
      </c>
    </row>
    <row r="14" spans="1:4">
      <c r="A14" s="212" t="s">
        <v>273</v>
      </c>
      <c r="B14" s="213"/>
      <c r="C14" s="214"/>
    </row>
    <row r="15" spans="1:4">
      <c r="A15" s="191"/>
      <c r="B15" s="192"/>
      <c r="C15" s="193"/>
    </row>
    <row r="16" spans="1:4">
      <c r="A16" s="147" t="s">
        <v>156</v>
      </c>
      <c r="B16" s="178">
        <v>90803270</v>
      </c>
      <c r="C16" s="147"/>
    </row>
    <row r="17" spans="1:3">
      <c r="A17" s="147" t="s">
        <v>157</v>
      </c>
      <c r="B17" s="178" t="s">
        <v>245</v>
      </c>
      <c r="C17" s="147"/>
    </row>
    <row r="18" spans="1:3">
      <c r="A18" s="147" t="s">
        <v>159</v>
      </c>
      <c r="B18" s="146" t="str">
        <f>VLOOKUP('FORM '!B17,Database!J1:L5,2,FALSE)</f>
        <v>Mettler Toledo</v>
      </c>
      <c r="C18" s="147"/>
    </row>
    <row r="19" spans="1:3">
      <c r="A19" s="147" t="s">
        <v>274</v>
      </c>
      <c r="B19" s="194">
        <f>VLOOKUP(B17,Database!J1:L5,3,FALSE)</f>
        <v>158856</v>
      </c>
      <c r="C19" s="147"/>
    </row>
  </sheetData>
  <mergeCells count="1">
    <mergeCell ref="A14:C1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A2FF1D4-2DE7-4258-B51F-3E024C3557F2}">
          <x14:formula1>
            <xm:f>Database!$D$2:$D$4</xm:f>
          </x14:formula1>
          <xm:sqref>B16</xm:sqref>
        </x14:dataValidation>
        <x14:dataValidation type="list" allowBlank="1" showInputMessage="1" showErrorMessage="1" xr:uid="{B50528AF-4921-4027-BF51-277DA968C4F6}">
          <x14:formula1>
            <xm:f>Database!$B$2:$B$5</xm:f>
          </x14:formula1>
          <xm:sqref>B17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06F3-2085-4008-A0F8-B8726DCF5327}">
  <sheetPr>
    <tabColor rgb="FF00B050"/>
  </sheetPr>
  <dimension ref="A1:X114"/>
  <sheetViews>
    <sheetView topLeftCell="A9" zoomScale="70" zoomScaleNormal="70" workbookViewId="0">
      <selection activeCell="F2" sqref="F2"/>
    </sheetView>
  </sheetViews>
  <sheetFormatPr defaultColWidth="9.109375" defaultRowHeight="14.4"/>
  <cols>
    <col min="2" max="2" width="20.88671875" customWidth="1"/>
    <col min="3" max="3" width="15.6640625" bestFit="1" customWidth="1"/>
    <col min="4" max="4" width="13.6640625" customWidth="1"/>
    <col min="5" max="5" width="11.44140625" customWidth="1"/>
    <col min="6" max="6" width="12" customWidth="1"/>
    <col min="7" max="7" width="11.5546875" customWidth="1"/>
    <col min="9" max="9" width="9.21875" customWidth="1"/>
    <col min="10" max="10" width="12.109375" customWidth="1"/>
    <col min="11" max="11" width="14.109375" customWidth="1"/>
    <col min="13" max="13" width="9.21875" customWidth="1"/>
    <col min="14" max="14" width="12.21875" customWidth="1"/>
    <col min="15" max="15" width="12.109375" customWidth="1"/>
    <col min="18" max="18" width="9.21875" customWidth="1"/>
  </cols>
  <sheetData>
    <row r="1" spans="1:24" s="13" customFormat="1" ht="18">
      <c r="A1" s="14" t="s">
        <v>244</v>
      </c>
      <c r="E1" s="15" t="s">
        <v>263</v>
      </c>
      <c r="F1" s="16"/>
      <c r="G1" s="16"/>
      <c r="I1" s="15" t="s">
        <v>94</v>
      </c>
      <c r="J1" s="49"/>
      <c r="K1" s="49"/>
      <c r="M1" s="14" t="s">
        <v>245</v>
      </c>
      <c r="Q1" s="14" t="s">
        <v>95</v>
      </c>
    </row>
    <row r="2" spans="1:24" ht="57.6">
      <c r="A2" s="17" t="s">
        <v>33</v>
      </c>
      <c r="B2" s="17" t="s">
        <v>96</v>
      </c>
      <c r="C2" s="17" t="s">
        <v>97</v>
      </c>
      <c r="E2" s="18" t="s">
        <v>33</v>
      </c>
      <c r="F2" s="18" t="s">
        <v>96</v>
      </c>
      <c r="G2" s="18" t="s">
        <v>97</v>
      </c>
      <c r="I2" s="50" t="s">
        <v>98</v>
      </c>
      <c r="J2" s="50" t="s">
        <v>96</v>
      </c>
      <c r="K2" s="50" t="s">
        <v>97</v>
      </c>
      <c r="M2" s="17" t="s">
        <v>33</v>
      </c>
      <c r="N2" s="17" t="s">
        <v>96</v>
      </c>
      <c r="O2" s="17" t="s">
        <v>97</v>
      </c>
      <c r="Q2" s="143" t="s">
        <v>246</v>
      </c>
      <c r="R2" s="51" t="s">
        <v>99</v>
      </c>
      <c r="S2" s="51" t="s">
        <v>100</v>
      </c>
      <c r="T2" s="51" t="s">
        <v>3</v>
      </c>
      <c r="U2" s="51" t="s">
        <v>4</v>
      </c>
      <c r="V2" s="51" t="s">
        <v>5</v>
      </c>
      <c r="W2" s="51" t="s">
        <v>6</v>
      </c>
      <c r="X2" s="51" t="s">
        <v>7</v>
      </c>
    </row>
    <row r="3" spans="1:24">
      <c r="A3" s="19">
        <v>2000</v>
      </c>
      <c r="B3" s="20">
        <v>1999.9985200000001</v>
      </c>
      <c r="C3" s="20">
        <v>0.32</v>
      </c>
      <c r="E3" s="21">
        <v>20000</v>
      </c>
      <c r="F3" s="21">
        <v>20000.022000000001</v>
      </c>
      <c r="G3" s="21">
        <v>13</v>
      </c>
      <c r="I3" s="21" t="s">
        <v>94</v>
      </c>
      <c r="J3" s="21">
        <v>19999.414000000001</v>
      </c>
      <c r="K3" s="21">
        <v>45</v>
      </c>
      <c r="M3" s="19">
        <v>5000</v>
      </c>
      <c r="N3" s="20">
        <v>4999.9985800000004</v>
      </c>
      <c r="O3" s="20">
        <v>0.72</v>
      </c>
      <c r="Q3" s="144" t="s">
        <v>247</v>
      </c>
      <c r="R3" s="52">
        <v>25</v>
      </c>
      <c r="S3" s="52">
        <v>75</v>
      </c>
      <c r="T3" s="52">
        <v>250</v>
      </c>
      <c r="U3" s="52">
        <v>750</v>
      </c>
      <c r="V3" s="52">
        <v>2500</v>
      </c>
      <c r="W3" s="52">
        <v>7500</v>
      </c>
      <c r="X3" s="52">
        <v>25000</v>
      </c>
    </row>
    <row r="4" spans="1:24">
      <c r="A4" s="19">
        <v>1000</v>
      </c>
      <c r="B4" s="20">
        <v>1000.00055</v>
      </c>
      <c r="C4" s="20">
        <v>0.14000000000000001</v>
      </c>
      <c r="E4" s="21">
        <v>10000</v>
      </c>
      <c r="F4" s="22">
        <v>10000.040999999999</v>
      </c>
      <c r="G4" s="21">
        <v>4.5999999999999996</v>
      </c>
      <c r="I4" s="21" t="s">
        <v>101</v>
      </c>
      <c r="J4" s="21">
        <v>19999.234</v>
      </c>
      <c r="K4" s="21">
        <v>45</v>
      </c>
      <c r="M4" s="19">
        <v>1000</v>
      </c>
      <c r="N4" s="20">
        <v>1000.0005</v>
      </c>
      <c r="O4" s="20">
        <v>3.1E-4</v>
      </c>
      <c r="Q4" s="144" t="s">
        <v>248</v>
      </c>
      <c r="R4" s="52">
        <v>10</v>
      </c>
      <c r="S4" s="52">
        <v>30</v>
      </c>
      <c r="T4" s="52">
        <v>100</v>
      </c>
      <c r="U4" s="52">
        <v>300</v>
      </c>
      <c r="V4" s="52">
        <v>1000</v>
      </c>
      <c r="W4" s="52">
        <v>3000</v>
      </c>
      <c r="X4" s="52">
        <v>10000</v>
      </c>
    </row>
    <row r="5" spans="1:24">
      <c r="A5" s="19">
        <v>500</v>
      </c>
      <c r="B5" s="23">
        <v>500.00000999999997</v>
      </c>
      <c r="C5" s="20">
        <v>0.08</v>
      </c>
      <c r="E5" s="21">
        <v>5000</v>
      </c>
      <c r="F5" s="195">
        <v>5000.0162799999998</v>
      </c>
      <c r="G5" s="21">
        <v>2.6</v>
      </c>
      <c r="I5" s="21" t="s">
        <v>102</v>
      </c>
      <c r="J5" s="21">
        <v>19999.627</v>
      </c>
      <c r="K5" s="21">
        <v>45</v>
      </c>
      <c r="M5" s="19">
        <v>500</v>
      </c>
      <c r="N5" s="23">
        <v>500.00060000000002</v>
      </c>
      <c r="O5" s="20">
        <v>1.6000000000000001E-4</v>
      </c>
      <c r="Q5" s="144" t="s">
        <v>249</v>
      </c>
      <c r="R5" s="52">
        <v>5</v>
      </c>
      <c r="S5" s="52">
        <v>15</v>
      </c>
      <c r="T5" s="52">
        <v>50</v>
      </c>
      <c r="U5" s="52">
        <v>150</v>
      </c>
      <c r="V5" s="52">
        <v>500</v>
      </c>
      <c r="W5" s="52">
        <v>1500</v>
      </c>
      <c r="X5" s="52">
        <v>5000</v>
      </c>
    </row>
    <row r="6" spans="1:24">
      <c r="A6" s="19">
        <v>200</v>
      </c>
      <c r="B6" s="23">
        <v>200.00001</v>
      </c>
      <c r="C6" s="20">
        <v>0.04</v>
      </c>
      <c r="E6" s="21" t="s">
        <v>267</v>
      </c>
      <c r="F6" s="24">
        <v>2000.00152</v>
      </c>
      <c r="G6" s="21">
        <v>1.4</v>
      </c>
      <c r="I6" s="21" t="s">
        <v>103</v>
      </c>
      <c r="J6" s="21">
        <v>20000.346000000001</v>
      </c>
      <c r="K6" s="21">
        <v>45</v>
      </c>
      <c r="M6" s="19">
        <v>200</v>
      </c>
      <c r="N6" s="23">
        <v>200.00020000000001</v>
      </c>
      <c r="O6" s="20">
        <v>6.0000000000000002E-5</v>
      </c>
      <c r="Q6" s="144" t="s">
        <v>250</v>
      </c>
      <c r="R6" s="52">
        <v>2.5</v>
      </c>
      <c r="S6" s="52">
        <v>7.5</v>
      </c>
      <c r="T6" s="52">
        <v>25</v>
      </c>
      <c r="U6" s="52">
        <v>75</v>
      </c>
      <c r="V6" s="52">
        <v>250</v>
      </c>
      <c r="W6" s="52">
        <v>750</v>
      </c>
      <c r="X6" s="52">
        <v>2500</v>
      </c>
    </row>
    <row r="7" spans="1:24">
      <c r="A7" s="176" t="s">
        <v>268</v>
      </c>
      <c r="B7" s="23">
        <v>200.00004999999999</v>
      </c>
      <c r="C7" s="20">
        <v>0.04</v>
      </c>
      <c r="E7" s="19">
        <v>2000</v>
      </c>
      <c r="F7" s="26">
        <v>1999.9994200000001</v>
      </c>
      <c r="G7" s="20">
        <v>1.4</v>
      </c>
      <c r="I7" s="21" t="s">
        <v>104</v>
      </c>
      <c r="J7" s="21">
        <v>20000.124</v>
      </c>
      <c r="K7" s="21">
        <v>45</v>
      </c>
      <c r="M7" s="176" t="s">
        <v>268</v>
      </c>
      <c r="N7" s="23">
        <v>200.00020000000001</v>
      </c>
      <c r="O7" s="20">
        <v>7.2000000000000002E-5</v>
      </c>
      <c r="Q7" s="144" t="s">
        <v>251</v>
      </c>
      <c r="R7" s="52">
        <v>1</v>
      </c>
      <c r="S7" s="52">
        <v>3</v>
      </c>
      <c r="T7" s="52">
        <v>10</v>
      </c>
      <c r="U7" s="52">
        <v>30</v>
      </c>
      <c r="V7" s="52">
        <v>100</v>
      </c>
      <c r="W7" s="52">
        <v>300</v>
      </c>
      <c r="X7" s="52">
        <v>1000</v>
      </c>
    </row>
    <row r="8" spans="1:24">
      <c r="A8" s="19">
        <v>100</v>
      </c>
      <c r="B8" s="23">
        <v>100.00008</v>
      </c>
      <c r="C8" s="20">
        <v>0.03</v>
      </c>
      <c r="E8" s="19">
        <v>1000</v>
      </c>
      <c r="F8" s="26">
        <v>1000.00105</v>
      </c>
      <c r="G8" s="20">
        <v>1.1000000000000001</v>
      </c>
      <c r="I8" s="21" t="s">
        <v>105</v>
      </c>
      <c r="J8" s="21">
        <v>20000.153999999999</v>
      </c>
      <c r="K8" s="21">
        <v>45</v>
      </c>
      <c r="M8" s="19">
        <v>100</v>
      </c>
      <c r="N8" s="23">
        <v>100.00001</v>
      </c>
      <c r="O8" s="20">
        <v>3.6000000000000001E-5</v>
      </c>
      <c r="Q8" s="144" t="s">
        <v>252</v>
      </c>
      <c r="R8" s="52">
        <v>0.5</v>
      </c>
      <c r="S8" s="52">
        <v>1.5</v>
      </c>
      <c r="T8" s="52">
        <v>5</v>
      </c>
      <c r="U8" s="52">
        <v>15</v>
      </c>
      <c r="V8" s="52">
        <v>50</v>
      </c>
      <c r="W8" s="52">
        <v>150</v>
      </c>
      <c r="X8" s="52">
        <v>500</v>
      </c>
    </row>
    <row r="9" spans="1:24">
      <c r="A9" s="19">
        <v>50</v>
      </c>
      <c r="B9" s="23">
        <v>50.000019999999999</v>
      </c>
      <c r="C9" s="20">
        <v>0.02</v>
      </c>
      <c r="E9" s="19">
        <v>500</v>
      </c>
      <c r="F9" s="26">
        <v>499.99860999999999</v>
      </c>
      <c r="G9" s="20">
        <v>1</v>
      </c>
      <c r="I9" s="21" t="s">
        <v>106</v>
      </c>
      <c r="J9" s="21">
        <v>19999.125</v>
      </c>
      <c r="K9" s="21">
        <v>45</v>
      </c>
      <c r="M9" s="19">
        <v>50</v>
      </c>
      <c r="N9" s="23">
        <v>50.000019999999999</v>
      </c>
      <c r="O9" s="20">
        <v>2.0999999999999999E-5</v>
      </c>
      <c r="Q9" s="144" t="s">
        <v>14</v>
      </c>
      <c r="R9" s="52">
        <v>0.25</v>
      </c>
      <c r="S9" s="52">
        <v>0.75</v>
      </c>
      <c r="T9" s="52">
        <v>2.5</v>
      </c>
      <c r="U9" s="52">
        <v>7.5</v>
      </c>
      <c r="V9" s="52">
        <v>25</v>
      </c>
      <c r="W9" s="52">
        <v>75</v>
      </c>
      <c r="X9" s="52">
        <v>250</v>
      </c>
    </row>
    <row r="10" spans="1:24">
      <c r="A10" s="19">
        <v>20</v>
      </c>
      <c r="B10" s="25">
        <v>19.999977999999999</v>
      </c>
      <c r="C10" s="20">
        <v>8.9999999999999993E-3</v>
      </c>
      <c r="E10" s="19">
        <v>200</v>
      </c>
      <c r="F10" s="26">
        <v>199.99968000000001</v>
      </c>
      <c r="G10" s="20">
        <v>0.11</v>
      </c>
      <c r="I10" s="21" t="s">
        <v>107</v>
      </c>
      <c r="J10" s="21">
        <v>19999.806</v>
      </c>
      <c r="K10" s="21">
        <v>45</v>
      </c>
      <c r="M10" s="19">
        <v>20</v>
      </c>
      <c r="N10" s="25">
        <v>20.000029999999999</v>
      </c>
      <c r="O10" s="20">
        <v>1.5999999999999999E-5</v>
      </c>
      <c r="Q10" s="144" t="s">
        <v>15</v>
      </c>
      <c r="R10" s="52">
        <v>0.01</v>
      </c>
      <c r="S10" s="52">
        <v>0.3</v>
      </c>
      <c r="T10" s="52">
        <v>1</v>
      </c>
      <c r="U10" s="52">
        <v>3</v>
      </c>
      <c r="V10" s="52">
        <v>10</v>
      </c>
      <c r="W10" s="52">
        <v>30</v>
      </c>
      <c r="X10" s="52">
        <v>100</v>
      </c>
    </row>
    <row r="11" spans="1:24">
      <c r="A11" s="176" t="s">
        <v>269</v>
      </c>
      <c r="B11" s="25">
        <v>19.999977000000001</v>
      </c>
      <c r="C11" s="20">
        <v>8.9999999999999993E-3</v>
      </c>
      <c r="E11" s="19" t="s">
        <v>268</v>
      </c>
      <c r="F11" s="26">
        <v>199.99881999999999</v>
      </c>
      <c r="G11" s="20">
        <v>0.11</v>
      </c>
      <c r="I11" s="21" t="s">
        <v>108</v>
      </c>
      <c r="J11" s="21">
        <v>20000.237000000001</v>
      </c>
      <c r="K11" s="21">
        <v>45</v>
      </c>
      <c r="M11" s="176" t="s">
        <v>269</v>
      </c>
      <c r="N11" s="25">
        <v>20.00001</v>
      </c>
      <c r="O11" s="20">
        <v>1.5999999999999999E-5</v>
      </c>
      <c r="Q11" s="144" t="s">
        <v>16</v>
      </c>
      <c r="R11" s="52">
        <v>0.05</v>
      </c>
      <c r="S11" s="52">
        <v>0.15</v>
      </c>
      <c r="T11" s="52">
        <v>0.5</v>
      </c>
      <c r="U11" s="52">
        <v>1.5</v>
      </c>
      <c r="V11" s="52">
        <v>5</v>
      </c>
      <c r="W11" s="52">
        <v>15</v>
      </c>
      <c r="X11" s="52">
        <v>50</v>
      </c>
    </row>
    <row r="12" spans="1:24">
      <c r="A12" s="19">
        <v>10</v>
      </c>
      <c r="B12" s="23">
        <v>9.9999760000000002</v>
      </c>
      <c r="C12" s="20">
        <v>8.0000000000000002E-3</v>
      </c>
      <c r="E12" s="19">
        <v>100</v>
      </c>
      <c r="F12" s="26">
        <v>99.999763000000002</v>
      </c>
      <c r="G12" s="20">
        <v>6.7000000000000004E-2</v>
      </c>
      <c r="I12" s="21" t="s">
        <v>109</v>
      </c>
      <c r="J12" s="21">
        <v>19999.831999999999</v>
      </c>
      <c r="K12" s="21">
        <v>45</v>
      </c>
      <c r="M12" s="19">
        <v>10</v>
      </c>
      <c r="N12" s="23">
        <v>10.000023000000001</v>
      </c>
      <c r="O12" s="20">
        <v>1.4E-5</v>
      </c>
      <c r="Q12" s="144" t="s">
        <v>17</v>
      </c>
      <c r="R12" s="52">
        <v>0.03</v>
      </c>
      <c r="S12" s="52">
        <v>0.1</v>
      </c>
      <c r="T12" s="52">
        <v>0.3</v>
      </c>
      <c r="U12" s="52">
        <v>1</v>
      </c>
      <c r="V12" s="52">
        <v>3</v>
      </c>
      <c r="W12" s="52">
        <v>10</v>
      </c>
      <c r="X12" s="52">
        <v>30</v>
      </c>
    </row>
    <row r="13" spans="1:24">
      <c r="A13" s="19">
        <v>5</v>
      </c>
      <c r="B13" s="27">
        <v>5.000006</v>
      </c>
      <c r="C13" s="20">
        <v>7.0000000000000001E-3</v>
      </c>
      <c r="E13" s="19">
        <v>50</v>
      </c>
      <c r="F13" s="26">
        <v>49.999814000000001</v>
      </c>
      <c r="G13" s="20">
        <v>4.2000000000000003E-2</v>
      </c>
      <c r="I13" s="21" t="s">
        <v>110</v>
      </c>
      <c r="J13" s="21">
        <v>19999.934000000001</v>
      </c>
      <c r="K13" s="21">
        <v>45</v>
      </c>
      <c r="M13" s="19">
        <v>5</v>
      </c>
      <c r="N13" s="27">
        <v>5.0000030000000004</v>
      </c>
      <c r="O13" s="20">
        <v>8.8999999999999995E-6</v>
      </c>
      <c r="Q13" s="144" t="s">
        <v>18</v>
      </c>
      <c r="R13" s="52">
        <v>2.5000000000000001E-2</v>
      </c>
      <c r="S13" s="52">
        <v>0.08</v>
      </c>
      <c r="T13" s="52">
        <v>0.25</v>
      </c>
      <c r="U13" s="52">
        <v>0.8</v>
      </c>
      <c r="V13" s="52">
        <v>2.5</v>
      </c>
      <c r="W13" s="52">
        <v>8</v>
      </c>
      <c r="X13" s="52">
        <v>25</v>
      </c>
    </row>
    <row r="14" spans="1:24">
      <c r="A14" s="19">
        <v>2</v>
      </c>
      <c r="B14" s="20">
        <v>2.000013</v>
      </c>
      <c r="C14" s="20">
        <v>5.0000000000000001E-3</v>
      </c>
      <c r="E14" s="19">
        <v>20</v>
      </c>
      <c r="F14" s="28">
        <v>20.000008999999999</v>
      </c>
      <c r="G14" s="20">
        <v>3.5999999999999997E-2</v>
      </c>
      <c r="I14" s="21" t="s">
        <v>111</v>
      </c>
      <c r="J14" s="21">
        <v>19999.845000000001</v>
      </c>
      <c r="K14" s="21">
        <v>45</v>
      </c>
      <c r="M14" s="19">
        <v>2</v>
      </c>
      <c r="N14" s="20">
        <v>2.0000149999999999</v>
      </c>
      <c r="O14" s="20">
        <v>7.0999999999999998E-6</v>
      </c>
      <c r="Q14" s="144" t="s">
        <v>253</v>
      </c>
      <c r="R14" s="52">
        <v>0.02</v>
      </c>
      <c r="S14" s="52">
        <v>0.06</v>
      </c>
      <c r="T14" s="52">
        <v>0.2</v>
      </c>
      <c r="U14" s="52">
        <v>0.6</v>
      </c>
      <c r="V14" s="52">
        <v>2</v>
      </c>
      <c r="W14" s="52">
        <v>6</v>
      </c>
      <c r="X14" s="52">
        <v>20</v>
      </c>
    </row>
    <row r="15" spans="1:24">
      <c r="A15" s="176" t="s">
        <v>270</v>
      </c>
      <c r="B15" s="20">
        <v>2.0000149999999999</v>
      </c>
      <c r="C15" s="20">
        <v>5.0000000000000001E-3</v>
      </c>
      <c r="E15" s="19" t="s">
        <v>269</v>
      </c>
      <c r="F15" s="28">
        <v>20.000048</v>
      </c>
      <c r="G15" s="20">
        <v>3.5999999999999997E-2</v>
      </c>
      <c r="I15" s="21" t="s">
        <v>112</v>
      </c>
      <c r="J15" s="21">
        <v>20000.802</v>
      </c>
      <c r="K15" s="21">
        <v>45</v>
      </c>
      <c r="M15" s="176" t="s">
        <v>270</v>
      </c>
      <c r="N15" s="20">
        <v>2.000003</v>
      </c>
      <c r="O15" s="20">
        <v>7.0999999999999998E-6</v>
      </c>
      <c r="Q15" s="144" t="s">
        <v>20</v>
      </c>
      <c r="R15" s="52">
        <v>1.4999999999999999E-2</v>
      </c>
      <c r="S15" s="52">
        <v>0.05</v>
      </c>
      <c r="T15" s="52">
        <v>0.15</v>
      </c>
      <c r="U15" s="52">
        <v>0.5</v>
      </c>
      <c r="V15" s="52">
        <v>1.5</v>
      </c>
      <c r="W15" s="52">
        <v>5</v>
      </c>
      <c r="X15" s="52">
        <v>15</v>
      </c>
    </row>
    <row r="16" spans="1:24">
      <c r="A16" s="19">
        <v>1</v>
      </c>
      <c r="B16" s="20">
        <v>0.99999700000000002</v>
      </c>
      <c r="C16" s="20">
        <v>5.0000000000000001E-3</v>
      </c>
      <c r="E16" s="19">
        <v>10</v>
      </c>
      <c r="F16" s="26">
        <v>10.000017</v>
      </c>
      <c r="G16" s="20">
        <v>3.2000000000000001E-2</v>
      </c>
      <c r="I16" s="21" t="s">
        <v>113</v>
      </c>
      <c r="J16" s="21">
        <v>19999.575000000001</v>
      </c>
      <c r="K16" s="21">
        <v>45</v>
      </c>
      <c r="M16" s="19">
        <v>1</v>
      </c>
      <c r="N16" s="20">
        <v>1.000013</v>
      </c>
      <c r="O16" s="20">
        <v>6.8000000000000001E-6</v>
      </c>
      <c r="Q16" s="144" t="s">
        <v>21</v>
      </c>
      <c r="R16" s="52">
        <v>1.2E-2</v>
      </c>
      <c r="S16" s="52">
        <v>0.04</v>
      </c>
      <c r="T16" s="52">
        <v>0.12</v>
      </c>
      <c r="U16" s="52">
        <v>0.4</v>
      </c>
      <c r="V16" s="52">
        <v>1.2</v>
      </c>
      <c r="W16" s="52">
        <v>4</v>
      </c>
      <c r="X16" s="52">
        <v>12</v>
      </c>
    </row>
    <row r="17" spans="1:24">
      <c r="A17" s="19">
        <v>0.5</v>
      </c>
      <c r="B17" s="21">
        <v>0.50001799999999996</v>
      </c>
      <c r="C17" s="21">
        <v>4.0000000000000001E-3</v>
      </c>
      <c r="E17" s="19">
        <v>5</v>
      </c>
      <c r="F17" s="26">
        <v>4.9999399999999996</v>
      </c>
      <c r="G17" s="20">
        <v>0.05</v>
      </c>
      <c r="I17" s="21" t="s">
        <v>114</v>
      </c>
      <c r="J17" s="21">
        <v>20000.329000000002</v>
      </c>
      <c r="K17" s="21">
        <v>45</v>
      </c>
      <c r="M17" s="19">
        <v>0.5</v>
      </c>
      <c r="N17" s="21">
        <f>500.011/1000</f>
        <v>0.50001099999999998</v>
      </c>
      <c r="O17" s="21">
        <v>5.1000000000000004E-3</v>
      </c>
      <c r="Q17" s="144" t="s">
        <v>22</v>
      </c>
      <c r="R17" s="52">
        <v>0.01</v>
      </c>
      <c r="S17" s="52">
        <v>0.03</v>
      </c>
      <c r="T17" s="52">
        <v>0.1</v>
      </c>
      <c r="U17" s="52">
        <v>0.3</v>
      </c>
      <c r="V17" s="52">
        <v>1</v>
      </c>
      <c r="W17" s="52">
        <v>3</v>
      </c>
      <c r="X17" s="52">
        <v>10</v>
      </c>
    </row>
    <row r="18" spans="1:24">
      <c r="A18" s="19">
        <v>0.2</v>
      </c>
      <c r="B18" s="21">
        <v>0.200013</v>
      </c>
      <c r="C18" s="21">
        <v>3.0000000000000001E-3</v>
      </c>
      <c r="E18" s="19">
        <v>2</v>
      </c>
      <c r="F18" s="26">
        <v>2</v>
      </c>
      <c r="G18" s="20">
        <v>0.04</v>
      </c>
      <c r="I18" s="21" t="s">
        <v>115</v>
      </c>
      <c r="J18" s="21">
        <v>20000.932000000001</v>
      </c>
      <c r="K18" s="21">
        <v>45</v>
      </c>
      <c r="M18" s="19">
        <v>0.2</v>
      </c>
      <c r="N18" s="21">
        <f>200.001/1000</f>
        <v>0.20000100000000001</v>
      </c>
      <c r="O18" s="21">
        <v>3.0999999999999999E-3</v>
      </c>
      <c r="Q18" s="144" t="s">
        <v>254</v>
      </c>
      <c r="R18" s="52">
        <v>8.0000000000000002E-3</v>
      </c>
      <c r="S18" s="52">
        <v>2.5000000000000001E-2</v>
      </c>
      <c r="T18" s="52">
        <v>0.08</v>
      </c>
      <c r="U18" s="52">
        <v>0.25</v>
      </c>
      <c r="V18" s="52">
        <v>0.8</v>
      </c>
      <c r="W18" s="52">
        <v>2.5</v>
      </c>
      <c r="X18" s="52" t="s">
        <v>24</v>
      </c>
    </row>
    <row r="19" spans="1:24">
      <c r="A19" s="21" t="s">
        <v>278</v>
      </c>
      <c r="B19" s="21">
        <v>0.200015</v>
      </c>
      <c r="C19" s="21">
        <v>3.0000000000000001E-3</v>
      </c>
      <c r="E19" s="19" t="s">
        <v>270</v>
      </c>
      <c r="F19" s="29">
        <v>1.9999800000000001</v>
      </c>
      <c r="G19" s="20">
        <v>0.04</v>
      </c>
      <c r="I19" s="21" t="s">
        <v>116</v>
      </c>
      <c r="J19" s="21">
        <v>20001.683000000001</v>
      </c>
      <c r="K19" s="21">
        <v>45</v>
      </c>
      <c r="M19" s="21" t="s">
        <v>278</v>
      </c>
      <c r="N19" s="21">
        <f>199.999/1000</f>
        <v>0.19999899999999998</v>
      </c>
      <c r="O19" s="21">
        <v>3.5999999999999999E-3</v>
      </c>
      <c r="Q19" s="144" t="s">
        <v>255</v>
      </c>
      <c r="R19" s="52">
        <v>6.0000000000000001E-3</v>
      </c>
      <c r="S19" s="52">
        <v>0.02</v>
      </c>
      <c r="T19" s="52">
        <v>0.06</v>
      </c>
      <c r="U19" s="52">
        <v>0.2</v>
      </c>
      <c r="V19" s="52">
        <v>0.6</v>
      </c>
      <c r="W19" s="52">
        <v>2</v>
      </c>
      <c r="X19" s="52" t="s">
        <v>24</v>
      </c>
    </row>
    <row r="20" spans="1:24">
      <c r="A20" s="19">
        <v>0.1</v>
      </c>
      <c r="B20" s="21">
        <v>0.10000299999999999</v>
      </c>
      <c r="C20" s="21">
        <v>2E-3</v>
      </c>
      <c r="E20" s="19">
        <v>1</v>
      </c>
      <c r="F20" s="29">
        <v>1</v>
      </c>
      <c r="G20" s="20">
        <v>0.03</v>
      </c>
      <c r="I20" s="21" t="s">
        <v>117</v>
      </c>
      <c r="J20" s="21">
        <v>10001.616900000001</v>
      </c>
      <c r="K20" s="21">
        <v>26</v>
      </c>
      <c r="M20" s="19">
        <v>0.1</v>
      </c>
      <c r="N20" s="21">
        <f>100.009/1000</f>
        <v>0.100009</v>
      </c>
      <c r="O20" s="21">
        <v>3.0999999999999999E-3</v>
      </c>
      <c r="Q20" s="144" t="s">
        <v>256</v>
      </c>
      <c r="R20" s="52">
        <v>5.0000000000000001E-3</v>
      </c>
      <c r="S20" s="52">
        <v>1.4999999999999999E-2</v>
      </c>
      <c r="T20" s="52">
        <v>0.05</v>
      </c>
      <c r="U20" s="52">
        <v>0.15</v>
      </c>
      <c r="V20" s="52">
        <v>0.5</v>
      </c>
      <c r="W20" s="52">
        <v>1.5</v>
      </c>
      <c r="X20" s="52" t="s">
        <v>24</v>
      </c>
    </row>
    <row r="21" spans="1:24">
      <c r="I21" s="21" t="s">
        <v>118</v>
      </c>
      <c r="J21" s="21">
        <v>4998.9960000000001</v>
      </c>
      <c r="K21" s="21">
        <v>5.7</v>
      </c>
      <c r="M21" s="19">
        <v>0.05</v>
      </c>
      <c r="N21" s="32">
        <f>50.005/1000</f>
        <v>5.0005000000000001E-2</v>
      </c>
      <c r="O21" s="21">
        <v>2.3999999999999998E-3</v>
      </c>
      <c r="Q21" s="144" t="s">
        <v>257</v>
      </c>
      <c r="R21" s="52">
        <v>4.0000000000000001E-3</v>
      </c>
      <c r="S21" s="52">
        <v>1.2E-2</v>
      </c>
      <c r="T21" s="52">
        <v>0.04</v>
      </c>
      <c r="U21" s="52">
        <v>0.12</v>
      </c>
      <c r="V21" s="52">
        <v>0.4</v>
      </c>
      <c r="W21" s="52" t="s">
        <v>24</v>
      </c>
      <c r="X21" s="52" t="s">
        <v>24</v>
      </c>
    </row>
    <row r="22" spans="1:24">
      <c r="I22" s="21" t="s">
        <v>119</v>
      </c>
      <c r="J22" s="21">
        <v>9999.5660000000007</v>
      </c>
      <c r="K22" s="21">
        <v>26</v>
      </c>
      <c r="M22" s="19">
        <v>0.02</v>
      </c>
      <c r="N22" s="32">
        <f>20.003/1000</f>
        <v>2.0003E-2</v>
      </c>
      <c r="O22" s="21">
        <v>2.2000000000000001E-3</v>
      </c>
      <c r="Q22" s="144" t="s">
        <v>258</v>
      </c>
      <c r="R22" s="52">
        <v>3.0000000000000001E-3</v>
      </c>
      <c r="S22" s="52">
        <v>0.01</v>
      </c>
      <c r="T22" s="52">
        <v>0.03</v>
      </c>
      <c r="U22" s="52">
        <v>0.1</v>
      </c>
      <c r="V22" s="52">
        <v>0.3</v>
      </c>
      <c r="W22" s="52" t="s">
        <v>24</v>
      </c>
      <c r="X22" s="52" t="s">
        <v>24</v>
      </c>
    </row>
    <row r="23" spans="1:24">
      <c r="B23" s="30"/>
      <c r="I23" s="21" t="s">
        <v>121</v>
      </c>
      <c r="J23" s="24">
        <v>19999.312000000002</v>
      </c>
      <c r="K23" s="21">
        <v>45</v>
      </c>
      <c r="M23" s="32" t="s">
        <v>271</v>
      </c>
      <c r="N23" s="32">
        <f>20.001/1000</f>
        <v>2.0001000000000001E-2</v>
      </c>
      <c r="O23" s="21">
        <v>2E-3</v>
      </c>
      <c r="Q23" s="144" t="s">
        <v>259</v>
      </c>
      <c r="R23" s="52">
        <v>2E-3</v>
      </c>
      <c r="S23" s="52">
        <v>8.0000000000000002E-3</v>
      </c>
      <c r="T23" s="52">
        <v>2.5000000000000001E-2</v>
      </c>
      <c r="U23" s="52">
        <v>0.08</v>
      </c>
      <c r="V23" s="52">
        <v>0.25</v>
      </c>
      <c r="W23" s="52" t="s">
        <v>24</v>
      </c>
      <c r="X23" s="52" t="s">
        <v>24</v>
      </c>
    </row>
    <row r="24" spans="1:24">
      <c r="I24" s="21" t="s">
        <v>125</v>
      </c>
      <c r="J24" s="24">
        <v>19999.189999999999</v>
      </c>
      <c r="K24" s="21">
        <v>45</v>
      </c>
      <c r="M24" s="32">
        <v>0.01</v>
      </c>
      <c r="N24" s="32">
        <f>10.002/1000</f>
        <v>1.0002E-2</v>
      </c>
      <c r="O24" s="21">
        <v>1.6000000000000001E-3</v>
      </c>
      <c r="Q24" s="144" t="s">
        <v>260</v>
      </c>
      <c r="R24" s="52">
        <v>2E-3</v>
      </c>
      <c r="S24" s="52">
        <v>6.0000000000000001E-3</v>
      </c>
      <c r="T24" s="52">
        <v>0.02</v>
      </c>
      <c r="U24" s="52">
        <v>0.06</v>
      </c>
      <c r="V24" s="52">
        <v>0.2</v>
      </c>
      <c r="W24" s="52" t="s">
        <v>24</v>
      </c>
      <c r="X24" s="52" t="s">
        <v>24</v>
      </c>
    </row>
    <row r="25" spans="1:24">
      <c r="I25" s="21" t="s">
        <v>127</v>
      </c>
      <c r="J25" s="24">
        <v>19999.069</v>
      </c>
      <c r="K25" s="21">
        <v>45</v>
      </c>
      <c r="M25" s="32">
        <v>5.0000000000000001E-3</v>
      </c>
      <c r="N25" s="32">
        <f>5.002/1000</f>
        <v>5.0019999999999995E-3</v>
      </c>
      <c r="O25" s="21">
        <v>1.8E-3</v>
      </c>
      <c r="Q25" s="144" t="s">
        <v>261</v>
      </c>
      <c r="R25" s="52">
        <v>2E-3</v>
      </c>
      <c r="S25" s="52">
        <v>6.0000000000000001E-3</v>
      </c>
      <c r="T25" s="52">
        <v>0.02</v>
      </c>
      <c r="U25" s="52">
        <v>0.06</v>
      </c>
      <c r="V25" s="52">
        <v>0.2</v>
      </c>
      <c r="W25" s="52" t="s">
        <v>24</v>
      </c>
      <c r="X25" s="52" t="s">
        <v>24</v>
      </c>
    </row>
    <row r="26" spans="1:24">
      <c r="I26" s="21" t="s">
        <v>129</v>
      </c>
      <c r="J26" s="24">
        <v>19999.281999999999</v>
      </c>
      <c r="K26" s="21">
        <v>45</v>
      </c>
      <c r="M26" s="32">
        <v>2E-3</v>
      </c>
      <c r="N26" s="32">
        <f>2.002/1000</f>
        <v>2.0019999999999999E-3</v>
      </c>
      <c r="O26" s="21">
        <v>1.4E-3</v>
      </c>
      <c r="Q26" s="144" t="s">
        <v>262</v>
      </c>
      <c r="R26" s="52">
        <v>2E-3</v>
      </c>
      <c r="S26" s="52">
        <v>6.0000000000000001E-3</v>
      </c>
      <c r="T26" s="52">
        <v>0.02</v>
      </c>
      <c r="U26" s="52">
        <v>0.06</v>
      </c>
      <c r="V26" s="52">
        <v>0.2</v>
      </c>
      <c r="W26" s="52" t="s">
        <v>24</v>
      </c>
      <c r="X26" s="52" t="s">
        <v>24</v>
      </c>
    </row>
    <row r="27" spans="1:24">
      <c r="I27" s="21" t="s">
        <v>131</v>
      </c>
      <c r="J27" s="24">
        <v>19999.268</v>
      </c>
      <c r="K27" s="21">
        <v>45</v>
      </c>
      <c r="M27" s="32" t="s">
        <v>272</v>
      </c>
      <c r="N27" s="200">
        <f>2/1000</f>
        <v>2E-3</v>
      </c>
      <c r="O27" s="21">
        <v>1.4E-3</v>
      </c>
    </row>
    <row r="28" spans="1:24">
      <c r="I28" s="21" t="s">
        <v>132</v>
      </c>
      <c r="J28" s="24">
        <v>19999.330000000002</v>
      </c>
      <c r="K28" s="21">
        <v>45</v>
      </c>
      <c r="M28" s="32">
        <v>1E-3</v>
      </c>
      <c r="N28" s="32">
        <f>1.001/1000</f>
        <v>1.0009999999999999E-3</v>
      </c>
      <c r="O28" s="21">
        <v>1.4E-3</v>
      </c>
    </row>
    <row r="29" spans="1:24">
      <c r="I29" s="21" t="s">
        <v>134</v>
      </c>
      <c r="J29" s="24">
        <v>19999.21</v>
      </c>
      <c r="K29" s="21">
        <v>45</v>
      </c>
    </row>
    <row r="30" spans="1:24">
      <c r="I30" s="21" t="s">
        <v>136</v>
      </c>
      <c r="J30" s="24">
        <v>20000.486000000001</v>
      </c>
      <c r="K30" s="21">
        <v>45</v>
      </c>
    </row>
    <row r="31" spans="1:24">
      <c r="I31" s="21" t="s">
        <v>137</v>
      </c>
      <c r="J31" s="24">
        <v>19999.254000000001</v>
      </c>
      <c r="K31" s="21">
        <v>45</v>
      </c>
    </row>
    <row r="36" spans="2:9">
      <c r="B36" s="30" t="s">
        <v>120</v>
      </c>
      <c r="C36" s="156"/>
    </row>
    <row r="37" spans="2:9">
      <c r="B37" s="152" t="s">
        <v>140</v>
      </c>
      <c r="C37" s="34">
        <v>20.399999999999999</v>
      </c>
      <c r="D37" s="32" t="s">
        <v>141</v>
      </c>
      <c r="E37" s="189" t="s">
        <v>287</v>
      </c>
    </row>
    <row r="38" spans="2:9">
      <c r="B38" s="152" t="s">
        <v>142</v>
      </c>
      <c r="C38" s="34">
        <v>20.9</v>
      </c>
      <c r="D38" s="32" t="s">
        <v>141</v>
      </c>
    </row>
    <row r="39" spans="2:9">
      <c r="B39" s="32" t="s">
        <v>143</v>
      </c>
      <c r="C39" s="33">
        <f>AVERAGE(C37,C38)</f>
        <v>20.65</v>
      </c>
      <c r="D39" s="32" t="s">
        <v>141</v>
      </c>
    </row>
    <row r="40" spans="2:9">
      <c r="B40" s="152" t="s">
        <v>144</v>
      </c>
      <c r="C40" s="34">
        <v>64.3</v>
      </c>
      <c r="D40" s="32" t="s">
        <v>145</v>
      </c>
    </row>
    <row r="41" spans="2:9">
      <c r="B41" s="152" t="s">
        <v>146</v>
      </c>
      <c r="C41" s="34">
        <v>62.8</v>
      </c>
      <c r="D41" s="32" t="s">
        <v>145</v>
      </c>
    </row>
    <row r="42" spans="2:9">
      <c r="B42" s="32" t="s">
        <v>147</v>
      </c>
      <c r="C42" s="33">
        <f>AVERAGE(C40,C41)</f>
        <v>63.55</v>
      </c>
      <c r="D42" s="32" t="s">
        <v>145</v>
      </c>
    </row>
    <row r="43" spans="2:9">
      <c r="B43" s="152" t="s">
        <v>148</v>
      </c>
      <c r="C43" s="34">
        <v>924</v>
      </c>
      <c r="D43" s="35" t="s">
        <v>149</v>
      </c>
      <c r="E43" s="36">
        <f>C43*H43</f>
        <v>693.05913599999997</v>
      </c>
      <c r="F43" t="s">
        <v>150</v>
      </c>
      <c r="G43" t="s">
        <v>151</v>
      </c>
      <c r="H43" s="37">
        <v>0.75006399999999995</v>
      </c>
      <c r="I43" t="s">
        <v>150</v>
      </c>
    </row>
    <row r="44" spans="2:9">
      <c r="B44" s="152" t="s">
        <v>152</v>
      </c>
      <c r="C44" s="34">
        <v>923</v>
      </c>
      <c r="D44" s="35" t="s">
        <v>149</v>
      </c>
      <c r="E44" s="36">
        <f>C44*H44</f>
        <v>692.3090719999999</v>
      </c>
      <c r="F44" t="s">
        <v>150</v>
      </c>
      <c r="G44" t="s">
        <v>151</v>
      </c>
      <c r="H44" s="37">
        <v>0.75006399999999995</v>
      </c>
      <c r="I44" t="s">
        <v>150</v>
      </c>
    </row>
    <row r="45" spans="2:9">
      <c r="B45" s="32" t="s">
        <v>153</v>
      </c>
      <c r="C45" s="33">
        <f>AVERAGE(C43:C44)</f>
        <v>923.5</v>
      </c>
      <c r="D45" s="35" t="s">
        <v>149</v>
      </c>
      <c r="E45" s="36">
        <f>C45*H45</f>
        <v>692.68410399999993</v>
      </c>
      <c r="F45" t="s">
        <v>150</v>
      </c>
      <c r="G45" t="s">
        <v>151</v>
      </c>
      <c r="H45" s="37">
        <v>0.75006399999999995</v>
      </c>
      <c r="I45" t="s">
        <v>150</v>
      </c>
    </row>
    <row r="46" spans="2:9">
      <c r="B46" s="148" t="s">
        <v>288</v>
      </c>
      <c r="C46" s="149">
        <v>5000</v>
      </c>
      <c r="D46" s="32" t="s">
        <v>155</v>
      </c>
      <c r="E46" s="189" t="s">
        <v>286</v>
      </c>
    </row>
    <row r="47" spans="2:9">
      <c r="B47" s="148" t="s">
        <v>156</v>
      </c>
      <c r="C47" s="149">
        <v>90602105</v>
      </c>
      <c r="D47" s="32"/>
    </row>
    <row r="48" spans="2:9">
      <c r="B48" s="148" t="s">
        <v>289</v>
      </c>
      <c r="C48" s="149">
        <v>0.01</v>
      </c>
      <c r="D48" s="32" t="s">
        <v>155</v>
      </c>
    </row>
    <row r="49" spans="1:7">
      <c r="B49" s="148" t="s">
        <v>157</v>
      </c>
      <c r="C49" s="150" t="s">
        <v>263</v>
      </c>
      <c r="D49" s="32"/>
      <c r="E49" t="s">
        <v>158</v>
      </c>
    </row>
    <row r="50" spans="1:7">
      <c r="B50" s="32" t="s">
        <v>159</v>
      </c>
      <c r="C50" s="146" t="str">
        <f>VLOOKUP(C49,Database!J1:L5,2,FALSE)</f>
        <v>YCS</v>
      </c>
      <c r="D50" s="147"/>
      <c r="E50" s="189" t="s">
        <v>284</v>
      </c>
    </row>
    <row r="51" spans="1:7">
      <c r="B51" s="32" t="s">
        <v>138</v>
      </c>
      <c r="C51" s="174" t="str">
        <f>VLOOKUP(C49,Database!J1:L5,3,FALSE)</f>
        <v>YCS-01-653-00</v>
      </c>
      <c r="D51" s="147"/>
      <c r="E51" s="189" t="s">
        <v>284</v>
      </c>
    </row>
    <row r="52" spans="1:7">
      <c r="B52" s="32" t="s">
        <v>160</v>
      </c>
      <c r="C52" s="151">
        <f>IFERROR(IF(C49=A1,VLOOKUP(C46,A2:C20,2,FALSE),IF(C49=E1,VLOOKUP(C46,E2:G20,2,FALSE),IF(C49=I1,VLOOKUP(C46,I2:K31,2,FALSE),IF(C49=M1,VLOOKUP(C46,M2:O28,2,FALSE),0)))),"No range/Error")</f>
        <v>5000.0162799999998</v>
      </c>
      <c r="D52" s="32" t="s">
        <v>155</v>
      </c>
      <c r="E52" s="189" t="s">
        <v>285</v>
      </c>
    </row>
    <row r="53" spans="1:7">
      <c r="B53" s="32" t="s">
        <v>161</v>
      </c>
      <c r="C53" s="146">
        <f>IFERROR(IF(C49=A1,VLOOKUP(C46,A2:C20,3,FALSE),IF(C49=E1,VLOOKUP(C46,E2:G20,3,FALSE),IF(C49=I1,VLOOKUP(C46,I2:K31,3,FALSE),IF(C49=M1,VLOOKUP(C46,M2:O28,3,FALSE),0)))),"No Range/error")</f>
        <v>2.6</v>
      </c>
      <c r="D53" s="32" t="s">
        <v>162</v>
      </c>
      <c r="E53" s="189" t="s">
        <v>285</v>
      </c>
    </row>
    <row r="55" spans="1:7">
      <c r="A55" s="39"/>
      <c r="B55" s="40" t="s">
        <v>163</v>
      </c>
      <c r="C55" s="41" t="s">
        <v>164</v>
      </c>
      <c r="D55" s="41" t="s">
        <v>165</v>
      </c>
      <c r="E55" s="41" t="s">
        <v>166</v>
      </c>
      <c r="F55" s="41" t="s">
        <v>167</v>
      </c>
      <c r="G55" s="42" t="s">
        <v>168</v>
      </c>
    </row>
    <row r="56" spans="1:7">
      <c r="A56" s="43"/>
      <c r="B56" s="44" t="s">
        <v>90</v>
      </c>
      <c r="C56" s="45" t="s">
        <v>90</v>
      </c>
      <c r="D56" s="45" t="s">
        <v>90</v>
      </c>
      <c r="E56" s="45" t="s">
        <v>90</v>
      </c>
      <c r="F56" s="45" t="s">
        <v>90</v>
      </c>
      <c r="G56" s="46" t="s">
        <v>155</v>
      </c>
    </row>
    <row r="57" spans="1:7">
      <c r="A57" s="39" t="s">
        <v>169</v>
      </c>
      <c r="B57" s="209">
        <v>5000.05</v>
      </c>
      <c r="C57" s="182"/>
      <c r="D57" s="182"/>
      <c r="E57" s="182"/>
      <c r="F57" s="182"/>
      <c r="G57" s="47"/>
    </row>
    <row r="58" spans="1:7">
      <c r="A58" s="35" t="s">
        <v>170</v>
      </c>
      <c r="B58" s="181">
        <v>4999.01</v>
      </c>
      <c r="C58" s="180"/>
      <c r="D58" s="180"/>
      <c r="E58" s="180"/>
      <c r="F58" s="180"/>
      <c r="G58" s="134">
        <f>B58-B57</f>
        <v>-1.0399999999999636</v>
      </c>
    </row>
    <row r="59" spans="1:7">
      <c r="A59" s="35" t="s">
        <v>171</v>
      </c>
      <c r="B59" s="181">
        <v>4999.0200000000004</v>
      </c>
      <c r="C59" s="180"/>
      <c r="D59" s="180"/>
      <c r="E59" s="180"/>
      <c r="F59" s="180"/>
      <c r="G59" s="134"/>
    </row>
    <row r="60" spans="1:7">
      <c r="A60" s="35" t="s">
        <v>172</v>
      </c>
      <c r="B60" s="181">
        <v>5000.0600000000004</v>
      </c>
      <c r="C60" s="180"/>
      <c r="D60" s="180"/>
      <c r="E60" s="180"/>
      <c r="F60" s="180"/>
      <c r="G60" s="134">
        <f>B59-B60</f>
        <v>-1.0399999999999636</v>
      </c>
    </row>
    <row r="61" spans="1:7">
      <c r="A61" s="35" t="s">
        <v>173</v>
      </c>
      <c r="B61" s="183"/>
      <c r="C61" s="210">
        <v>5000.01</v>
      </c>
      <c r="D61" s="180"/>
      <c r="E61" s="180"/>
      <c r="F61" s="180"/>
      <c r="G61" s="134"/>
    </row>
    <row r="62" spans="1:7">
      <c r="A62" s="35" t="s">
        <v>174</v>
      </c>
      <c r="B62" s="183"/>
      <c r="C62" s="211">
        <v>4998.97</v>
      </c>
      <c r="D62" s="180"/>
      <c r="E62" s="180"/>
      <c r="F62" s="180"/>
      <c r="G62" s="134">
        <f>C62-C61</f>
        <v>-1.0399999999999636</v>
      </c>
    </row>
    <row r="63" spans="1:7">
      <c r="A63" s="35" t="s">
        <v>175</v>
      </c>
      <c r="B63" s="183"/>
      <c r="C63" s="186">
        <v>4998.97</v>
      </c>
      <c r="D63" s="180"/>
      <c r="E63" s="180"/>
      <c r="F63" s="180"/>
      <c r="G63" s="134"/>
    </row>
    <row r="64" spans="1:7">
      <c r="A64" s="35" t="s">
        <v>176</v>
      </c>
      <c r="B64" s="183"/>
      <c r="C64" s="186">
        <v>5000.01</v>
      </c>
      <c r="D64" s="180"/>
      <c r="E64" s="180"/>
      <c r="F64" s="180"/>
      <c r="G64" s="134">
        <f>C63-C64</f>
        <v>-1.0399999999999636</v>
      </c>
    </row>
    <row r="65" spans="1:19">
      <c r="A65" s="35" t="s">
        <v>177</v>
      </c>
      <c r="B65" s="183"/>
      <c r="C65" s="180"/>
      <c r="D65" s="186">
        <v>5000.07</v>
      </c>
      <c r="E65" s="180"/>
      <c r="F65" s="180"/>
      <c r="G65" s="134"/>
    </row>
    <row r="66" spans="1:19">
      <c r="A66" s="35" t="s">
        <v>178</v>
      </c>
      <c r="B66" s="183"/>
      <c r="C66" s="180"/>
      <c r="D66" s="186">
        <v>4999.0200000000004</v>
      </c>
      <c r="E66" s="180"/>
      <c r="F66" s="180"/>
      <c r="G66" s="134">
        <f>D66-D65</f>
        <v>-1.0499999999992724</v>
      </c>
    </row>
    <row r="67" spans="1:19">
      <c r="A67" s="35" t="s">
        <v>179</v>
      </c>
      <c r="B67" s="183"/>
      <c r="C67" s="180"/>
      <c r="D67" s="211">
        <v>4998.99</v>
      </c>
      <c r="E67" s="180"/>
      <c r="F67" s="180"/>
      <c r="G67" s="134"/>
    </row>
    <row r="68" spans="1:19">
      <c r="A68" s="35" t="s">
        <v>180</v>
      </c>
      <c r="B68" s="183"/>
      <c r="C68" s="180"/>
      <c r="D68" s="211">
        <v>5000.05</v>
      </c>
      <c r="E68" s="180"/>
      <c r="F68" s="180"/>
      <c r="G68" s="134">
        <f>D67-D68</f>
        <v>-1.0600000000004002</v>
      </c>
    </row>
    <row r="69" spans="1:19">
      <c r="A69" s="35" t="s">
        <v>181</v>
      </c>
      <c r="B69" s="183"/>
      <c r="C69" s="180"/>
      <c r="D69" s="180"/>
      <c r="E69" s="186">
        <v>5000.0600000000004</v>
      </c>
      <c r="F69" s="180"/>
      <c r="G69" s="134"/>
    </row>
    <row r="70" spans="1:19">
      <c r="A70" s="35" t="s">
        <v>182</v>
      </c>
      <c r="B70" s="183"/>
      <c r="C70" s="180"/>
      <c r="D70" s="180"/>
      <c r="E70" s="186">
        <v>4999.01</v>
      </c>
      <c r="F70" s="180"/>
      <c r="G70" s="134">
        <f>E70-E69</f>
        <v>-1.0500000000001819</v>
      </c>
    </row>
    <row r="71" spans="1:19">
      <c r="A71" s="35" t="s">
        <v>183</v>
      </c>
      <c r="B71" s="183"/>
      <c r="C71" s="180"/>
      <c r="D71" s="180"/>
      <c r="E71" s="186">
        <v>4999</v>
      </c>
      <c r="F71" s="180"/>
      <c r="G71" s="134"/>
    </row>
    <row r="72" spans="1:19">
      <c r="A72" s="35" t="s">
        <v>184</v>
      </c>
      <c r="B72" s="183"/>
      <c r="C72" s="180"/>
      <c r="D72" s="180"/>
      <c r="E72" s="186">
        <v>5000.05</v>
      </c>
      <c r="F72" s="180"/>
      <c r="G72" s="134">
        <f>E71-E72</f>
        <v>-1.0500000000001819</v>
      </c>
    </row>
    <row r="73" spans="1:19">
      <c r="A73" s="35" t="s">
        <v>185</v>
      </c>
      <c r="B73" s="183"/>
      <c r="C73" s="180"/>
      <c r="D73" s="180"/>
      <c r="E73" s="180"/>
      <c r="F73" s="186">
        <v>5000.0600000000004</v>
      </c>
      <c r="G73" s="134"/>
    </row>
    <row r="74" spans="1:19">
      <c r="A74" s="35" t="s">
        <v>186</v>
      </c>
      <c r="B74" s="183"/>
      <c r="C74" s="180"/>
      <c r="D74" s="180"/>
      <c r="E74" s="180"/>
      <c r="F74" s="186">
        <v>4999</v>
      </c>
      <c r="G74" s="134">
        <f>F74-F73</f>
        <v>-1.0600000000004002</v>
      </c>
    </row>
    <row r="75" spans="1:19">
      <c r="A75" s="35" t="s">
        <v>187</v>
      </c>
      <c r="B75" s="183"/>
      <c r="C75" s="180"/>
      <c r="D75" s="180"/>
      <c r="E75" s="180"/>
      <c r="F75" s="186">
        <v>4998.99</v>
      </c>
      <c r="G75" s="134"/>
    </row>
    <row r="76" spans="1:19">
      <c r="A76" s="43" t="s">
        <v>188</v>
      </c>
      <c r="B76" s="184"/>
      <c r="C76" s="185"/>
      <c r="D76" s="185"/>
      <c r="E76" s="185"/>
      <c r="F76" s="187">
        <v>5000.03</v>
      </c>
      <c r="G76" s="135">
        <f>F75-F76</f>
        <v>-1.0399999999999636</v>
      </c>
    </row>
    <row r="77" spans="1:19">
      <c r="F77" s="32"/>
      <c r="G77" s="32"/>
    </row>
    <row r="78" spans="1:19">
      <c r="F78" s="32" t="s">
        <v>189</v>
      </c>
      <c r="G78" s="32">
        <f>AVERAGE(G57:G76)</f>
        <v>-1.0470000000000255</v>
      </c>
      <c r="H78" t="s">
        <v>155</v>
      </c>
    </row>
    <row r="79" spans="1:19">
      <c r="F79" s="32"/>
      <c r="G79" s="32"/>
    </row>
    <row r="80" spans="1:19">
      <c r="F80" s="32" t="s">
        <v>190</v>
      </c>
      <c r="G80" s="136">
        <f>STDEVP(G57:G76)</f>
        <v>7.8102496760422005E-3</v>
      </c>
      <c r="H80" t="s">
        <v>155</v>
      </c>
      <c r="K80" s="83"/>
      <c r="R80" s="83"/>
      <c r="S80" s="83"/>
    </row>
    <row r="81" spans="2:13">
      <c r="F81" s="32"/>
      <c r="G81" s="32"/>
      <c r="M81" s="83"/>
    </row>
    <row r="82" spans="2:13">
      <c r="F82" s="32" t="s">
        <v>191</v>
      </c>
      <c r="G82" s="32">
        <f>(0.82*C48)/2</f>
        <v>4.0999999999999995E-3</v>
      </c>
      <c r="H82" t="s">
        <v>155</v>
      </c>
      <c r="I82" s="84"/>
    </row>
    <row r="83" spans="2:13">
      <c r="F83" s="32"/>
      <c r="G83" s="32"/>
    </row>
    <row r="84" spans="2:13">
      <c r="F84" s="32" t="s">
        <v>192</v>
      </c>
      <c r="G84" s="53">
        <f>C52+G78</f>
        <v>4998.9692799999993</v>
      </c>
      <c r="H84" t="s">
        <v>155</v>
      </c>
    </row>
    <row r="85" spans="2:13">
      <c r="G85" s="48">
        <f>G84</f>
        <v>4998.9692799999993</v>
      </c>
    </row>
    <row r="86" spans="2:13">
      <c r="F86" t="s">
        <v>193</v>
      </c>
      <c r="G86">
        <f>IF(G80&gt;G82,G80,G82)</f>
        <v>7.8102496760422005E-3</v>
      </c>
    </row>
    <row r="88" spans="2:13">
      <c r="B88" s="54" t="s">
        <v>194</v>
      </c>
      <c r="C88" s="54"/>
      <c r="D88" s="54"/>
      <c r="E88" s="54"/>
      <c r="F88" s="54"/>
      <c r="G88" s="55"/>
      <c r="H88" s="55"/>
      <c r="I88" s="55"/>
      <c r="J88" s="55"/>
      <c r="K88" s="55"/>
      <c r="L88" s="55"/>
    </row>
    <row r="89" spans="2:13">
      <c r="B89" s="56" t="s">
        <v>195</v>
      </c>
      <c r="C89" s="56" t="s">
        <v>196</v>
      </c>
      <c r="D89" s="57"/>
      <c r="E89" s="58"/>
      <c r="F89" s="57"/>
      <c r="G89" s="55"/>
      <c r="H89" s="55"/>
      <c r="I89" s="55"/>
      <c r="J89" s="55"/>
      <c r="K89" s="55"/>
      <c r="L89" s="55"/>
    </row>
    <row r="90" spans="2:13">
      <c r="B90" s="55" t="s">
        <v>197</v>
      </c>
      <c r="C90" s="55" t="str">
        <f>CONCATENATE("Anak Timbangan ",'FORM '!B8)</f>
        <v>Anak Timbangan F1</v>
      </c>
      <c r="D90" s="55"/>
      <c r="E90" s="59"/>
      <c r="F90" s="55"/>
      <c r="G90" s="55"/>
      <c r="H90" s="55"/>
      <c r="I90" s="55"/>
      <c r="J90" s="55"/>
      <c r="K90" s="85"/>
      <c r="L90" s="86"/>
    </row>
    <row r="91" spans="2:13">
      <c r="B91" s="55" t="s">
        <v>198</v>
      </c>
      <c r="C91" s="55" t="str">
        <f>CONCATENATE("Anak Timbangan ",C49)</f>
        <v xml:space="preserve">Anak Timbangan F1 </v>
      </c>
      <c r="D91" s="55"/>
      <c r="E91" s="59"/>
      <c r="F91" s="55"/>
      <c r="G91" s="55"/>
      <c r="H91" s="55"/>
      <c r="I91" s="55"/>
      <c r="J91" s="55"/>
      <c r="K91" s="85"/>
      <c r="L91" s="86"/>
    </row>
    <row r="92" spans="2:13" ht="16.2">
      <c r="B92" s="55" t="s">
        <v>199</v>
      </c>
      <c r="C92" s="55" cm="1">
        <f t="array" ref="C92">IF(ISNUMBER(C46),C46,_xlfn.TEXTJOIN("",TRUE,IFERROR(MID(C46,_xlfn.SEQUENCE(LEN(C46)),1)*1,""))*1)</f>
        <v>5000</v>
      </c>
      <c r="D92" s="56" t="s">
        <v>155</v>
      </c>
      <c r="E92" s="142"/>
      <c r="F92" s="141" t="str">
        <f>CONCATENATE("MPE ",C92," g")</f>
        <v>MPE 5000 g</v>
      </c>
      <c r="G92" s="55">
        <f>IFERROR(VLOOKUP(CONCATENATE(IF(ISNUMBER(C46),C46,LEFT(C46,LEN(C46)-1))," g"),Q2:X26,IF(LEFT(C49,2)="E2",3,IF(LEFT(C49,2)="F1",4,IF(LEFT(C49,2)="M1",6))),FALSE),0)</f>
        <v>25</v>
      </c>
      <c r="H92" s="55" t="s">
        <v>162</v>
      </c>
      <c r="I92" s="55"/>
      <c r="J92" s="55"/>
      <c r="K92" s="55"/>
      <c r="L92" s="55"/>
    </row>
    <row r="93" spans="2:13">
      <c r="B93" s="55" t="s">
        <v>200</v>
      </c>
      <c r="C93" s="55"/>
      <c r="D93" s="55"/>
      <c r="E93" s="59"/>
      <c r="F93" s="55"/>
      <c r="G93" s="55"/>
      <c r="H93" s="55"/>
      <c r="I93" s="55"/>
      <c r="J93" s="55"/>
      <c r="K93" s="55"/>
      <c r="L93" s="55"/>
    </row>
    <row r="94" spans="2:13" ht="24" customHeight="1">
      <c r="B94" s="157"/>
      <c r="C94" s="55"/>
      <c r="D94" s="55"/>
      <c r="E94" s="59"/>
      <c r="F94" s="55"/>
      <c r="G94" s="55"/>
      <c r="H94" s="55"/>
      <c r="I94" s="55"/>
      <c r="J94" s="55"/>
      <c r="K94" s="55"/>
      <c r="L94" s="55"/>
    </row>
    <row r="95" spans="2:13" ht="16.2">
      <c r="B95" s="60" t="s">
        <v>201</v>
      </c>
      <c r="C95" s="60" t="s">
        <v>124</v>
      </c>
      <c r="D95" s="60" t="s">
        <v>202</v>
      </c>
      <c r="E95" s="60" t="s">
        <v>203</v>
      </c>
      <c r="F95" s="60" t="s">
        <v>204</v>
      </c>
      <c r="G95" s="60" t="s">
        <v>205</v>
      </c>
      <c r="H95" s="61" t="s">
        <v>206</v>
      </c>
      <c r="I95" s="60" t="s">
        <v>207</v>
      </c>
      <c r="J95" s="61" t="s">
        <v>208</v>
      </c>
      <c r="K95" s="61" t="s">
        <v>209</v>
      </c>
      <c r="L95" s="60" t="s">
        <v>210</v>
      </c>
    </row>
    <row r="96" spans="2:13">
      <c r="B96" s="62">
        <v>1</v>
      </c>
      <c r="C96" s="62">
        <v>2</v>
      </c>
      <c r="D96" s="62">
        <v>3</v>
      </c>
      <c r="E96" s="62">
        <v>4</v>
      </c>
      <c r="F96" s="62">
        <v>5</v>
      </c>
      <c r="G96" s="62">
        <v>6</v>
      </c>
      <c r="H96" s="62">
        <v>7</v>
      </c>
      <c r="I96" s="62">
        <v>8</v>
      </c>
      <c r="J96" s="62">
        <v>9</v>
      </c>
      <c r="K96" s="62">
        <v>10</v>
      </c>
      <c r="L96" s="62">
        <v>11</v>
      </c>
    </row>
    <row r="97" spans="2:12">
      <c r="B97" s="63" t="s">
        <v>211</v>
      </c>
      <c r="C97" s="64" t="s">
        <v>162</v>
      </c>
      <c r="D97" s="64" t="s">
        <v>212</v>
      </c>
      <c r="E97" s="64">
        <f>$C$53</f>
        <v>2.6</v>
      </c>
      <c r="F97" s="64">
        <v>2</v>
      </c>
      <c r="G97" s="64">
        <v>60</v>
      </c>
      <c r="H97" s="64">
        <f>E97/F97</f>
        <v>1.3</v>
      </c>
      <c r="I97" s="64">
        <v>1</v>
      </c>
      <c r="J97" s="64">
        <f>H97*I97</f>
        <v>1.3</v>
      </c>
      <c r="K97" s="64">
        <f>J97^2</f>
        <v>1.6900000000000002</v>
      </c>
      <c r="L97" s="64">
        <f>J97^4/G97</f>
        <v>4.7601666666666674E-2</v>
      </c>
    </row>
    <row r="98" spans="2:12">
      <c r="B98" s="65" t="s">
        <v>213</v>
      </c>
      <c r="C98" s="64" t="s">
        <v>162</v>
      </c>
      <c r="D98" s="66" t="s">
        <v>214</v>
      </c>
      <c r="E98" s="67">
        <f>($G$86*1000)/SQRT(10)</f>
        <v>2.4698178070885572</v>
      </c>
      <c r="F98" s="66">
        <v>1</v>
      </c>
      <c r="G98" s="66">
        <f>IF($G$80&gt;$G$82,9,1000)</f>
        <v>9</v>
      </c>
      <c r="H98" s="66">
        <f>E98/F98</f>
        <v>2.4698178070885572</v>
      </c>
      <c r="I98" s="66">
        <v>1</v>
      </c>
      <c r="J98" s="66">
        <f>H98*I98</f>
        <v>2.4698178070885572</v>
      </c>
      <c r="K98" s="66">
        <f>J98^2</f>
        <v>6.1000000002117298</v>
      </c>
      <c r="L98" s="66">
        <f>J98^4/G98</f>
        <v>4.1344444447314554</v>
      </c>
    </row>
    <row r="99" spans="2:12">
      <c r="B99" s="68" t="s">
        <v>216</v>
      </c>
      <c r="C99" s="64" t="s">
        <v>162</v>
      </c>
      <c r="D99" s="69" t="s">
        <v>212</v>
      </c>
      <c r="E99" s="69">
        <f>0.08*$G$92</f>
        <v>2</v>
      </c>
      <c r="F99" s="69">
        <v>1</v>
      </c>
      <c r="G99" s="69">
        <v>4</v>
      </c>
      <c r="H99" s="69">
        <f>E99/F99</f>
        <v>2</v>
      </c>
      <c r="I99" s="69">
        <v>1</v>
      </c>
      <c r="J99" s="69">
        <f>H99*I99</f>
        <v>2</v>
      </c>
      <c r="K99" s="69">
        <f>J99^2</f>
        <v>4</v>
      </c>
      <c r="L99" s="69">
        <f>J99^4/G99</f>
        <v>4</v>
      </c>
    </row>
    <row r="100" spans="2:12">
      <c r="B100" s="70" t="s">
        <v>217</v>
      </c>
      <c r="C100" s="64" t="s">
        <v>162</v>
      </c>
      <c r="D100" s="71" t="s">
        <v>214</v>
      </c>
      <c r="E100" s="71">
        <f>4.5*10^-9*8000*0.114*$C$92</f>
        <v>2.0520000000000004E-2</v>
      </c>
      <c r="F100" s="71">
        <v>1</v>
      </c>
      <c r="G100" s="71">
        <v>1000</v>
      </c>
      <c r="H100" s="71">
        <f>E100/F100</f>
        <v>2.0520000000000004E-2</v>
      </c>
      <c r="I100" s="71">
        <v>1</v>
      </c>
      <c r="J100" s="71">
        <f>H100*I100</f>
        <v>2.0520000000000004E-2</v>
      </c>
      <c r="K100" s="71">
        <f>J100^2</f>
        <v>4.2107040000000014E-4</v>
      </c>
      <c r="L100" s="71">
        <f>J100^4/G100</f>
        <v>1.7730028175616012E-10</v>
      </c>
    </row>
    <row r="101" spans="2:12">
      <c r="B101" s="68" t="s">
        <v>215</v>
      </c>
      <c r="C101" s="64" t="s">
        <v>162</v>
      </c>
      <c r="D101" s="69" t="s">
        <v>214</v>
      </c>
      <c r="E101" s="69">
        <f>IF($K$110&gt;=1,0.1/2,IF(AND($K$110&lt;1,$K$110&gt;=0.1),0.01/2,IF(AND($K$110&lt;0.1,$K$110&gt;=0.01),0.001/2,IF(AND($K$110&lt;0.01,$K$110&gt;=0.001),0.0001/2,0))))</f>
        <v>0.05</v>
      </c>
      <c r="F101" s="69">
        <f>SQRT(3)</f>
        <v>1.7320508075688772</v>
      </c>
      <c r="G101" s="69">
        <v>1000</v>
      </c>
      <c r="H101" s="69">
        <f>E101/F101</f>
        <v>2.8867513459481291E-2</v>
      </c>
      <c r="I101" s="69">
        <v>1</v>
      </c>
      <c r="J101" s="69">
        <f>H101*I101</f>
        <v>2.8867513459481291E-2</v>
      </c>
      <c r="K101" s="69">
        <f>J101^2</f>
        <v>8.333333333333335E-4</v>
      </c>
      <c r="L101" s="69">
        <f>J101^4/G101</f>
        <v>6.944444444444447E-10</v>
      </c>
    </row>
    <row r="102" spans="2:12">
      <c r="B102" s="81" t="s">
        <v>218</v>
      </c>
      <c r="C102" s="167"/>
      <c r="D102" s="167"/>
      <c r="E102" s="168"/>
      <c r="F102" s="167"/>
      <c r="G102" s="167"/>
      <c r="H102" s="167"/>
      <c r="I102" s="169"/>
      <c r="J102" s="170"/>
      <c r="K102" s="171">
        <f>SUM(K97:K100)</f>
        <v>11.79042107061173</v>
      </c>
      <c r="L102" s="172">
        <f>SUM(L97:L100)</f>
        <v>8.1820461115754224</v>
      </c>
    </row>
    <row r="103" spans="2:12">
      <c r="B103" s="72" t="s">
        <v>218</v>
      </c>
      <c r="C103" s="73"/>
      <c r="D103" s="73"/>
      <c r="E103" s="74"/>
      <c r="F103" s="73"/>
      <c r="G103" s="73"/>
      <c r="H103" s="73"/>
      <c r="I103" s="87"/>
      <c r="J103" s="88"/>
      <c r="K103" s="89">
        <f>SUM(K97:K101)</f>
        <v>11.791254403945063</v>
      </c>
      <c r="L103" s="64">
        <f>SUM(L97:L101)</f>
        <v>8.182046112269866</v>
      </c>
    </row>
    <row r="104" spans="2:12">
      <c r="B104" s="160" t="s">
        <v>219</v>
      </c>
      <c r="C104" s="161"/>
      <c r="D104" s="161"/>
      <c r="E104" s="162"/>
      <c r="F104" s="161"/>
      <c r="G104" s="161"/>
      <c r="H104" s="161"/>
      <c r="I104" s="163"/>
      <c r="J104" s="164"/>
      <c r="K104" s="165">
        <f>SQRT(K102)</f>
        <v>3.4337182573140344</v>
      </c>
      <c r="L104" s="166"/>
    </row>
    <row r="105" spans="2:12">
      <c r="B105" s="75" t="s">
        <v>219</v>
      </c>
      <c r="C105" s="76"/>
      <c r="D105" s="76"/>
      <c r="E105" s="77"/>
      <c r="F105" s="76"/>
      <c r="G105" s="76"/>
      <c r="H105" s="76"/>
      <c r="I105" s="90"/>
      <c r="J105" s="91"/>
      <c r="K105" s="92">
        <f>SQRT(K103)</f>
        <v>3.4338396007887528</v>
      </c>
      <c r="L105" s="69"/>
    </row>
    <row r="106" spans="2:12">
      <c r="B106" s="75" t="s">
        <v>220</v>
      </c>
      <c r="C106" s="76"/>
      <c r="D106" s="76"/>
      <c r="E106" s="77"/>
      <c r="F106" s="76"/>
      <c r="G106" s="76"/>
      <c r="H106" s="76"/>
      <c r="I106" s="90"/>
      <c r="J106" s="91"/>
      <c r="K106" s="92">
        <f>(K104^4)/L102</f>
        <v>16.990130234741294</v>
      </c>
      <c r="L106" s="69"/>
    </row>
    <row r="107" spans="2:12">
      <c r="B107" s="75" t="s">
        <v>220</v>
      </c>
      <c r="C107" s="76"/>
      <c r="D107" s="76"/>
      <c r="E107" s="77"/>
      <c r="F107" s="76"/>
      <c r="G107" s="76"/>
      <c r="H107" s="76"/>
      <c r="I107" s="90"/>
      <c r="J107" s="91"/>
      <c r="K107" s="92">
        <f>(K105^4)/L103</f>
        <v>16.992532003707201</v>
      </c>
      <c r="L107" s="69"/>
    </row>
    <row r="108" spans="2:12">
      <c r="B108" s="75" t="s">
        <v>221</v>
      </c>
      <c r="C108" s="76"/>
      <c r="D108" s="76"/>
      <c r="E108" s="77"/>
      <c r="F108" s="76"/>
      <c r="G108" s="76"/>
      <c r="H108" s="76"/>
      <c r="I108" s="90"/>
      <c r="J108" s="91"/>
      <c r="K108" s="93">
        <f>TINV(0.05,K106)</f>
        <v>2.119905299221255</v>
      </c>
      <c r="L108" s="69"/>
    </row>
    <row r="109" spans="2:12" ht="15.6" customHeight="1">
      <c r="B109" s="75" t="s">
        <v>221</v>
      </c>
      <c r="C109" s="76"/>
      <c r="D109" s="76"/>
      <c r="E109" s="77"/>
      <c r="F109" s="76"/>
      <c r="G109" s="76"/>
      <c r="H109" s="76"/>
      <c r="I109" s="90"/>
      <c r="J109" s="91"/>
      <c r="K109" s="93">
        <f>TINV(0.05,K107)</f>
        <v>2.119905299221255</v>
      </c>
      <c r="L109" s="69"/>
    </row>
    <row r="110" spans="2:12">
      <c r="B110" s="75" t="s">
        <v>222</v>
      </c>
      <c r="C110" s="76"/>
      <c r="D110" s="76"/>
      <c r="E110" s="77"/>
      <c r="F110" s="76"/>
      <c r="G110" s="76"/>
      <c r="H110" s="76"/>
      <c r="I110" s="90"/>
      <c r="J110" s="91"/>
      <c r="K110" s="205">
        <f>K108*K104</f>
        <v>7.2791575297127942</v>
      </c>
      <c r="L110" s="69"/>
    </row>
    <row r="111" spans="2:12">
      <c r="B111" s="78" t="s">
        <v>265</v>
      </c>
      <c r="C111" s="79"/>
      <c r="D111" s="79"/>
      <c r="E111" s="80"/>
      <c r="F111" s="79"/>
      <c r="G111" s="79"/>
      <c r="H111" s="79"/>
      <c r="I111" s="94"/>
      <c r="J111" s="95"/>
      <c r="K111" s="204">
        <f>K109*K105</f>
        <v>7.2794147663878759</v>
      </c>
      <c r="L111" s="71"/>
    </row>
    <row r="112" spans="2:12">
      <c r="B112" s="81" t="s">
        <v>223</v>
      </c>
      <c r="C112" s="82"/>
      <c r="D112" s="82"/>
      <c r="E112" s="82"/>
      <c r="F112" s="82"/>
      <c r="G112" s="82"/>
      <c r="H112" s="82"/>
      <c r="I112" s="82"/>
      <c r="J112" s="82"/>
      <c r="K112" s="96">
        <f>VLOOKUP(C92,Database!G1:H24,2,FALSE)</f>
        <v>2.6</v>
      </c>
      <c r="L112" s="97"/>
    </row>
    <row r="114" spans="2:11" ht="22.8">
      <c r="B114" s="157"/>
      <c r="C114" s="55"/>
      <c r="D114" s="55"/>
      <c r="K114" s="84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errorStyle="warning" showInputMessage="1" showErrorMessage="1" errorTitle="Need Input " xr:uid="{E4594074-82DC-4F7B-9F9E-C8E745DA9020}">
          <x14:formula1>
            <xm:f>Database!$A$2:$A$31</xm:f>
          </x14:formula1>
          <xm:sqref>C46</xm:sqref>
        </x14:dataValidation>
        <x14:dataValidation type="list" allowBlank="1" showInputMessage="1" showErrorMessage="1" xr:uid="{7A589435-E902-4623-86CA-FC689F8447F0}">
          <x14:formula1>
            <xm:f>Database!$B$2:$B$5</xm:f>
          </x14:formula1>
          <xm:sqref>C49</xm:sqref>
        </x14:dataValidation>
        <x14:dataValidation type="list" allowBlank="1" showInputMessage="1" showErrorMessage="1" xr:uid="{CF9BCEB8-A4C9-4479-84BF-A23F1D3569BB}">
          <x14:formula1>
            <xm:f>Database!$E$2:$E$5</xm:f>
          </x14:formula1>
          <xm:sqref>C48</xm:sqref>
        </x14:dataValidation>
        <x14:dataValidation type="list" allowBlank="1" showInputMessage="1" showErrorMessage="1" xr:uid="{D61D07B1-96AE-4562-97EB-C107D14DBE57}">
          <x14:formula1>
            <xm:f>Database!$D$2:$D$4</xm:f>
          </x14:formula1>
          <xm:sqref>C47:C48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0"/>
  <sheetViews>
    <sheetView topLeftCell="A13" workbookViewId="0">
      <selection activeCell="C11" sqref="C11"/>
    </sheetView>
  </sheetViews>
  <sheetFormatPr defaultColWidth="9" defaultRowHeight="14.4"/>
  <cols>
    <col min="1" max="1" width="1.88671875" style="1" customWidth="1"/>
    <col min="2" max="2" width="12.77734375" style="1" customWidth="1"/>
    <col min="3" max="4" width="10.88671875" style="1" customWidth="1"/>
    <col min="5" max="16384" width="9" style="1"/>
  </cols>
  <sheetData>
    <row r="2" spans="2:11">
      <c r="B2" s="2"/>
      <c r="C2" s="3" t="s">
        <v>224</v>
      </c>
      <c r="D2" s="4" t="s">
        <v>145</v>
      </c>
      <c r="F2" s="5" t="s">
        <v>225</v>
      </c>
      <c r="G2" s="6"/>
      <c r="H2" s="6"/>
      <c r="I2" s="6"/>
      <c r="J2" s="12"/>
      <c r="K2" s="12"/>
    </row>
    <row r="3" spans="2:11">
      <c r="B3" s="4" t="s">
        <v>226</v>
      </c>
      <c r="C3" s="4">
        <f>'0,001'!C37</f>
        <v>20.399999999999999</v>
      </c>
      <c r="D3" s="4">
        <f>'0,001'!C40</f>
        <v>64.3</v>
      </c>
      <c r="F3" s="7" t="s">
        <v>227</v>
      </c>
      <c r="G3" s="6"/>
      <c r="H3" s="6"/>
      <c r="I3" s="7" t="s">
        <v>228</v>
      </c>
      <c r="J3" s="6"/>
      <c r="K3" s="12"/>
    </row>
    <row r="4" spans="2:11">
      <c r="B4" s="4" t="s">
        <v>229</v>
      </c>
      <c r="C4" s="4">
        <f>'0,001'!C38</f>
        <v>20.9</v>
      </c>
      <c r="D4" s="4">
        <f>'0,001'!C41</f>
        <v>62.8</v>
      </c>
      <c r="F4" s="8" t="s">
        <v>230</v>
      </c>
      <c r="G4" s="8" t="s">
        <v>231</v>
      </c>
      <c r="H4" s="3" t="s">
        <v>232</v>
      </c>
      <c r="I4" s="8" t="s">
        <v>233</v>
      </c>
      <c r="J4" s="8" t="s">
        <v>231</v>
      </c>
      <c r="K4" s="4" t="s">
        <v>232</v>
      </c>
    </row>
    <row r="5" spans="2:11">
      <c r="B5" s="4" t="s">
        <v>234</v>
      </c>
      <c r="C5" s="9">
        <f>AVERAGE(C3:C4)</f>
        <v>20.65</v>
      </c>
      <c r="D5" s="4">
        <f>AVERAGE(D3:D4)</f>
        <v>63.55</v>
      </c>
      <c r="F5" s="3">
        <v>20</v>
      </c>
      <c r="G5" s="3">
        <v>0.1</v>
      </c>
      <c r="H5" s="3">
        <v>2</v>
      </c>
      <c r="I5" s="3">
        <v>40</v>
      </c>
      <c r="J5" s="3">
        <v>0.2</v>
      </c>
      <c r="K5" s="4">
        <v>2.5</v>
      </c>
    </row>
    <row r="6" spans="2:11">
      <c r="B6" s="3" t="s">
        <v>235</v>
      </c>
      <c r="C6" s="10">
        <f>C5+FORECAST(C5,G5:G9,F5:F9)</f>
        <v>20.683999999999997</v>
      </c>
      <c r="D6" s="9">
        <f>D5+FORECAST(D5,J5:J9,I5:I9)</f>
        <v>63.280299999999997</v>
      </c>
      <c r="F6" s="3">
        <v>25</v>
      </c>
      <c r="G6" s="3">
        <v>-0.2</v>
      </c>
      <c r="H6" s="2">
        <v>2</v>
      </c>
      <c r="I6" s="3">
        <v>50</v>
      </c>
      <c r="J6" s="3">
        <v>-0.3</v>
      </c>
      <c r="K6" s="4">
        <v>2.8</v>
      </c>
    </row>
    <row r="7" spans="2:11">
      <c r="B7" s="4" t="s">
        <v>232</v>
      </c>
      <c r="C7" s="10">
        <v>2</v>
      </c>
      <c r="D7" s="10">
        <f>FORECAST(D6,K5:K9,I5:I9)</f>
        <v>2.6003182000000002</v>
      </c>
      <c r="F7" s="3">
        <v>30</v>
      </c>
      <c r="G7" s="3">
        <v>-0.3</v>
      </c>
      <c r="H7" s="2">
        <v>2</v>
      </c>
      <c r="I7" s="3">
        <v>60</v>
      </c>
      <c r="J7" s="3">
        <v>-0.3</v>
      </c>
      <c r="K7" s="4">
        <v>3.2</v>
      </c>
    </row>
    <row r="8" spans="2:11">
      <c r="B8" s="4" t="s">
        <v>236</v>
      </c>
      <c r="C8" s="10">
        <f>(MAX(C3:C4)-C5+C5-MIN(C3:C4))/2</f>
        <v>0.25</v>
      </c>
      <c r="D8" s="10">
        <f>(MAX(D3:D4)-D5+D5-MIN(D3:D4))/2</f>
        <v>0.75</v>
      </c>
      <c r="F8" s="3">
        <v>35</v>
      </c>
      <c r="G8" s="3">
        <v>-0.6</v>
      </c>
      <c r="H8" s="2">
        <v>2</v>
      </c>
      <c r="I8" s="3">
        <v>70</v>
      </c>
      <c r="J8" s="3">
        <v>-0.1</v>
      </c>
      <c r="K8" s="4">
        <v>2</v>
      </c>
    </row>
    <row r="9" spans="2:11">
      <c r="B9" s="4" t="s">
        <v>237</v>
      </c>
      <c r="C9" s="10">
        <f>C7+C8</f>
        <v>2.25</v>
      </c>
      <c r="D9" s="10">
        <f>D7+D8</f>
        <v>3.3503182000000002</v>
      </c>
      <c r="F9" s="3">
        <v>40</v>
      </c>
      <c r="G9" s="3">
        <v>-0.7</v>
      </c>
      <c r="H9" s="2">
        <v>2</v>
      </c>
      <c r="I9" s="3">
        <v>80</v>
      </c>
      <c r="J9" s="3">
        <v>-0.6</v>
      </c>
      <c r="K9" s="4">
        <v>2.6</v>
      </c>
    </row>
    <row r="10" spans="2:11">
      <c r="B10" s="11" t="s">
        <v>238</v>
      </c>
      <c r="C10" s="4" t="str">
        <f>FIXED(C6,1)&amp;" ± "&amp;FIXED(C8,1)</f>
        <v>20,7 ± 0,3</v>
      </c>
      <c r="D10" s="4" t="str">
        <f>FIXED(D6,1)&amp;" ± "&amp;FIXED(D8,1)</f>
        <v>63,3 ± 0,8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7:K187"/>
  <sheetViews>
    <sheetView tabSelected="1" view="pageBreakPreview" topLeftCell="A39" zoomScaleNormal="100" zoomScaleSheetLayoutView="100" workbookViewId="0">
      <selection activeCell="C46" sqref="C46"/>
    </sheetView>
  </sheetViews>
  <sheetFormatPr defaultColWidth="9" defaultRowHeight="14.4"/>
  <cols>
    <col min="1" max="1" width="10.33203125" style="1" customWidth="1"/>
    <col min="2" max="2" width="8.44140625" style="1" customWidth="1"/>
    <col min="3" max="3" width="11" style="1" customWidth="1"/>
    <col min="4" max="4" width="9" style="1" customWidth="1"/>
    <col min="5" max="5" width="13" style="1" customWidth="1"/>
    <col min="6" max="6" width="9" style="1"/>
    <col min="7" max="7" width="9.5546875" style="1" customWidth="1"/>
    <col min="8" max="9" width="9" style="1"/>
    <col min="10" max="10" width="8.21875" style="1" customWidth="1"/>
    <col min="11" max="16384" width="9" style="1"/>
  </cols>
  <sheetData>
    <row r="7" spans="1:11" ht="22.8">
      <c r="A7" s="234" t="s">
        <v>43</v>
      </c>
      <c r="B7" s="234"/>
      <c r="C7" s="234"/>
      <c r="D7" s="234"/>
      <c r="E7" s="234"/>
      <c r="F7" s="234"/>
      <c r="G7" s="234"/>
      <c r="H7" s="234"/>
      <c r="I7" s="234"/>
      <c r="J7" s="234"/>
      <c r="K7" s="234"/>
    </row>
    <row r="8" spans="1:11" ht="18">
      <c r="A8" s="235" t="s">
        <v>44</v>
      </c>
      <c r="B8" s="235"/>
      <c r="C8" s="235"/>
      <c r="D8" s="235"/>
      <c r="E8" s="235"/>
      <c r="F8" s="235"/>
      <c r="G8" s="235"/>
      <c r="H8" s="235"/>
      <c r="I8" s="235"/>
      <c r="J8" s="235"/>
      <c r="K8" s="235"/>
    </row>
    <row r="9" spans="1:11">
      <c r="A9" s="236" t="s">
        <v>301</v>
      </c>
      <c r="B9" s="236"/>
      <c r="C9" s="236"/>
      <c r="D9" s="236"/>
      <c r="E9" s="236"/>
      <c r="F9" s="236"/>
      <c r="G9" s="236"/>
      <c r="H9" s="236"/>
      <c r="I9" s="236"/>
      <c r="J9" s="236"/>
      <c r="K9" s="236"/>
    </row>
    <row r="14" spans="1:11">
      <c r="B14" s="100" t="s">
        <v>45</v>
      </c>
      <c r="C14" s="101"/>
      <c r="D14" s="101"/>
    </row>
    <row r="15" spans="1:11">
      <c r="B15" s="102" t="s">
        <v>46</v>
      </c>
    </row>
    <row r="17" spans="2:7">
      <c r="B17" s="98" t="s">
        <v>47</v>
      </c>
      <c r="D17" s="206" t="s">
        <v>308</v>
      </c>
      <c r="E17" s="98" t="s">
        <v>239</v>
      </c>
    </row>
    <row r="18" spans="2:7">
      <c r="B18" s="103" t="s">
        <v>48</v>
      </c>
      <c r="D18" s="98"/>
      <c r="E18" s="98"/>
    </row>
    <row r="19" spans="2:7">
      <c r="B19" s="104" t="s">
        <v>49</v>
      </c>
      <c r="D19" s="206" t="s">
        <v>308</v>
      </c>
      <c r="E19" s="98" t="str">
        <f>CONCATENATE(,'FORM '!B7)</f>
        <v>-</v>
      </c>
    </row>
    <row r="20" spans="2:7">
      <c r="B20" s="105" t="s">
        <v>50</v>
      </c>
      <c r="D20" s="98"/>
      <c r="E20" s="98"/>
    </row>
    <row r="21" spans="2:7">
      <c r="B21" s="104" t="s">
        <v>51</v>
      </c>
      <c r="D21" s="206" t="s">
        <v>308</v>
      </c>
      <c r="E21" s="98" t="str">
        <f>CONCATENATE('FORM '!B8)</f>
        <v>F1</v>
      </c>
    </row>
    <row r="22" spans="2:7">
      <c r="B22" s="105" t="s">
        <v>52</v>
      </c>
      <c r="D22" s="98"/>
      <c r="E22" s="98"/>
    </row>
    <row r="23" spans="2:7">
      <c r="B23" s="98" t="s">
        <v>53</v>
      </c>
      <c r="D23" s="206" t="s">
        <v>308</v>
      </c>
      <c r="E23" s="98" t="str">
        <f>CONCATENATE('FORM '!B11)</f>
        <v>-</v>
      </c>
    </row>
    <row r="24" spans="2:7">
      <c r="B24" s="103" t="s">
        <v>54</v>
      </c>
      <c r="D24" s="98"/>
      <c r="E24" s="98"/>
    </row>
    <row r="25" spans="2:7">
      <c r="B25" s="98" t="s">
        <v>55</v>
      </c>
      <c r="D25" s="206" t="s">
        <v>308</v>
      </c>
      <c r="E25" s="98" t="str">
        <f>CONCATENATE('FORM '!B9)</f>
        <v>YCS-01-653-00</v>
      </c>
    </row>
    <row r="26" spans="2:7">
      <c r="B26" s="103" t="s">
        <v>56</v>
      </c>
      <c r="D26" s="98"/>
      <c r="E26" s="98"/>
    </row>
    <row r="27" spans="2:7">
      <c r="B27" s="98" t="s">
        <v>57</v>
      </c>
      <c r="D27" s="206" t="s">
        <v>308</v>
      </c>
      <c r="E27" s="98" t="s">
        <v>75</v>
      </c>
      <c r="F27" s="206" t="s">
        <v>308</v>
      </c>
      <c r="G27" s="1" t="str">
        <f>CONCATENATE('FORM '!B10)</f>
        <v>0,001-5000 g</v>
      </c>
    </row>
    <row r="28" spans="2:7">
      <c r="B28" s="105" t="s">
        <v>58</v>
      </c>
      <c r="D28" s="98"/>
      <c r="E28" s="98" t="s">
        <v>310</v>
      </c>
      <c r="F28" s="206" t="s">
        <v>308</v>
      </c>
      <c r="G28" s="1" t="s">
        <v>309</v>
      </c>
    </row>
    <row r="30" spans="2:7" ht="14.25" customHeight="1">
      <c r="B30" s="106" t="s">
        <v>59</v>
      </c>
      <c r="C30" s="106"/>
      <c r="D30" s="106"/>
    </row>
    <row r="31" spans="2:7" ht="14.25" customHeight="1">
      <c r="B31" s="107" t="s">
        <v>60</v>
      </c>
      <c r="C31" s="107"/>
      <c r="D31" s="107"/>
    </row>
    <row r="32" spans="2:7">
      <c r="B32" s="108"/>
      <c r="C32" s="108"/>
      <c r="D32" s="108"/>
    </row>
    <row r="33" spans="2:11" ht="15.45" customHeight="1">
      <c r="B33" s="98" t="s">
        <v>61</v>
      </c>
      <c r="D33" s="208" t="s">
        <v>308</v>
      </c>
      <c r="E33" s="207" t="str">
        <f>CONCATENATE('FORM '!B3)</f>
        <v>Internal BBLM</v>
      </c>
      <c r="F33" s="207"/>
      <c r="G33" s="207"/>
      <c r="H33" s="207"/>
      <c r="I33" s="207"/>
      <c r="J33" s="207"/>
      <c r="K33" s="207"/>
    </row>
    <row r="34" spans="2:11" ht="14.25" customHeight="1">
      <c r="B34" s="103" t="s">
        <v>62</v>
      </c>
      <c r="D34" s="207"/>
      <c r="E34" s="207"/>
      <c r="F34" s="207"/>
      <c r="G34" s="207"/>
      <c r="H34" s="207"/>
      <c r="I34" s="207"/>
      <c r="J34" s="207"/>
      <c r="K34" s="207"/>
    </row>
    <row r="35" spans="2:11" ht="15.45" customHeight="1">
      <c r="B35" s="98" t="s">
        <v>63</v>
      </c>
      <c r="D35" s="208" t="s">
        <v>308</v>
      </c>
      <c r="E35" s="247" t="str">
        <f>CONCATENATE('FORM '!B4)</f>
        <v>jjajsdfds jajsdjf jasdjfasdjf jadsfjadsj asdjfajdsf jasdjfajdsf asdfjasd asjdfasd j</v>
      </c>
      <c r="F35" s="247"/>
      <c r="G35" s="247"/>
      <c r="H35" s="247"/>
      <c r="I35" s="247"/>
      <c r="J35" s="247"/>
      <c r="K35" s="139"/>
    </row>
    <row r="36" spans="2:11" ht="14.25" customHeight="1">
      <c r="B36" s="103" t="s">
        <v>64</v>
      </c>
      <c r="D36" s="207"/>
      <c r="E36" s="247"/>
      <c r="F36" s="247"/>
      <c r="G36" s="247"/>
      <c r="H36" s="247"/>
      <c r="I36" s="247"/>
      <c r="J36" s="247"/>
      <c r="K36" s="139"/>
    </row>
    <row r="37" spans="2:11">
      <c r="E37" s="247"/>
      <c r="F37" s="247"/>
      <c r="G37" s="247"/>
      <c r="H37" s="247"/>
      <c r="I37" s="247"/>
      <c r="J37" s="247"/>
    </row>
    <row r="40" spans="2:11">
      <c r="H40" s="99" t="s">
        <v>303</v>
      </c>
    </row>
    <row r="41" spans="2:11">
      <c r="H41" s="114" t="s">
        <v>65</v>
      </c>
    </row>
    <row r="42" spans="2:11">
      <c r="B42"/>
      <c r="H42" s="115"/>
    </row>
    <row r="43" spans="2:11">
      <c r="H43" s="116" t="s">
        <v>304</v>
      </c>
    </row>
    <row r="44" spans="2:11">
      <c r="C44"/>
      <c r="H44" s="114" t="s">
        <v>66</v>
      </c>
    </row>
    <row r="45" spans="2:11">
      <c r="B45"/>
      <c r="C45"/>
      <c r="E45" s="109" t="s">
        <v>295</v>
      </c>
    </row>
    <row r="46" spans="2:11">
      <c r="B46"/>
      <c r="C46"/>
      <c r="E46" s="137" t="s">
        <v>296</v>
      </c>
    </row>
    <row r="47" spans="2:11">
      <c r="E47" s="138" t="s">
        <v>297</v>
      </c>
      <c r="G47" s="112"/>
    </row>
    <row r="48" spans="2:11">
      <c r="G48" s="112"/>
    </row>
    <row r="62" spans="5:6">
      <c r="E62" s="113" t="s">
        <v>67</v>
      </c>
      <c r="F62" s="113" t="str">
        <f>CONCATENATE(": ",MID(A9,18,33))</f>
        <v xml:space="preserve">: </v>
      </c>
    </row>
    <row r="63" spans="5:6">
      <c r="E63" s="113" t="s">
        <v>68</v>
      </c>
      <c r="F63" s="113" t="str">
        <f>CONCATENATE(": ",'FORM '!B2)</f>
        <v xml:space="preserve">: </v>
      </c>
    </row>
    <row r="64" spans="5:6">
      <c r="E64" s="113" t="s">
        <v>69</v>
      </c>
      <c r="F64" s="113" t="s">
        <v>306</v>
      </c>
    </row>
    <row r="65" spans="2:9" ht="7.5" customHeight="1"/>
    <row r="66" spans="2:9">
      <c r="B66" s="237" t="s">
        <v>70</v>
      </c>
      <c r="C66" s="237"/>
      <c r="D66" s="237"/>
      <c r="E66" s="237"/>
      <c r="F66" s="237"/>
    </row>
    <row r="67" spans="2:9">
      <c r="B67" s="98" t="s">
        <v>71</v>
      </c>
      <c r="D67" s="98" t="str">
        <f>D17</f>
        <v>:</v>
      </c>
      <c r="E67" s="98"/>
      <c r="F67" s="98"/>
      <c r="G67" s="98"/>
    </row>
    <row r="68" spans="2:9">
      <c r="B68" s="98" t="s">
        <v>72</v>
      </c>
      <c r="D68" s="98" t="str">
        <f>CONCATENATE(":"," ",'FORM '!B7," ","/"," ",'FORM '!B8)</f>
        <v>: - / F1</v>
      </c>
      <c r="E68" s="98"/>
      <c r="F68" s="98"/>
      <c r="G68" s="98"/>
    </row>
    <row r="69" spans="2:9">
      <c r="B69" s="98" t="s">
        <v>73</v>
      </c>
      <c r="D69" s="98" t="str">
        <f>D23</f>
        <v>:</v>
      </c>
      <c r="E69" s="98"/>
      <c r="F69" s="98"/>
      <c r="G69" s="98"/>
    </row>
    <row r="70" spans="2:9">
      <c r="B70" s="98" t="s">
        <v>74</v>
      </c>
      <c r="D70" s="98" t="str">
        <f>D25</f>
        <v>:</v>
      </c>
      <c r="E70" s="98"/>
      <c r="F70" s="98"/>
      <c r="G70" s="98"/>
    </row>
    <row r="71" spans="2:9">
      <c r="B71" s="98" t="s">
        <v>75</v>
      </c>
      <c r="D71" s="98" t="str">
        <f>F27</f>
        <v>:</v>
      </c>
      <c r="E71" s="98"/>
    </row>
    <row r="72" spans="2:9">
      <c r="B72" s="98" t="s">
        <v>76</v>
      </c>
      <c r="D72" s="98" t="str">
        <f>F28</f>
        <v>:</v>
      </c>
      <c r="E72" s="98"/>
      <c r="G72" s="98" t="s">
        <v>77</v>
      </c>
      <c r="I72" s="110"/>
    </row>
    <row r="73" spans="2:9">
      <c r="B73" s="98" t="s">
        <v>78</v>
      </c>
      <c r="D73" s="98" t="s">
        <v>79</v>
      </c>
      <c r="E73" s="98"/>
      <c r="G73" s="98" t="s">
        <v>80</v>
      </c>
      <c r="I73" s="98" t="str">
        <f>CONCATENATE(":"," ","(",'Koreksi themohygro rotronic 202'!C10,")"," ºC")</f>
        <v>: (20,7 ± 0,3) ºC</v>
      </c>
    </row>
    <row r="74" spans="2:9">
      <c r="B74" s="98" t="s">
        <v>81</v>
      </c>
      <c r="D74" s="98" t="str">
        <f>CONCATENATE(":"," ",'FORM '!B12)</f>
        <v>: 29 Desember 2025</v>
      </c>
      <c r="E74" s="98"/>
      <c r="G74" s="140" t="s">
        <v>240</v>
      </c>
      <c r="I74" s="98" t="str">
        <f>CONCATENATE(":"," ","(",'Koreksi themohygro rotronic 202'!D10,")"," %RH")</f>
        <v>: (63,3 ± 0,8) %RH</v>
      </c>
    </row>
    <row r="75" spans="2:9">
      <c r="B75" s="98" t="s">
        <v>82</v>
      </c>
      <c r="D75" s="98" t="str">
        <f>CONCATENATE(":"," ",'FORM '!B13)</f>
        <v>: 29 Desember 2025</v>
      </c>
      <c r="E75" s="117"/>
      <c r="G75" s="98" t="s">
        <v>83</v>
      </c>
      <c r="I75" s="98" t="str">
        <f>CONCATENATE(":"," ","(",FIXED('0,001'!E45,0)," ","± 1",")"," mmHg")</f>
        <v>: (693 ± 1) mmHg</v>
      </c>
    </row>
    <row r="76" spans="2:9">
      <c r="B76" s="98" t="s">
        <v>84</v>
      </c>
      <c r="D76" s="98" t="str">
        <f>CONCATENATE(":"," ",'FORM '!B5)</f>
        <v xml:space="preserve">: </v>
      </c>
      <c r="E76" s="98"/>
    </row>
    <row r="77" spans="2:9">
      <c r="B77" s="98"/>
      <c r="D77" s="98"/>
      <c r="E77" s="98"/>
      <c r="F77" s="98"/>
      <c r="G77" s="98"/>
    </row>
    <row r="78" spans="2:9">
      <c r="E78" s="118" t="s">
        <v>85</v>
      </c>
    </row>
    <row r="79" spans="2:9" ht="7.5" customHeight="1"/>
    <row r="80" spans="2:9" ht="27.75" customHeight="1">
      <c r="B80" s="221" t="s">
        <v>86</v>
      </c>
      <c r="C80" s="222" t="s">
        <v>87</v>
      </c>
      <c r="D80" s="223"/>
      <c r="E80" s="224" t="s">
        <v>88</v>
      </c>
      <c r="F80" s="224"/>
      <c r="G80" s="222" t="s">
        <v>89</v>
      </c>
      <c r="H80" s="225"/>
      <c r="I80" s="223"/>
    </row>
    <row r="81" spans="2:9" ht="14.7" customHeight="1">
      <c r="B81" s="221"/>
      <c r="C81" s="226" t="s">
        <v>90</v>
      </c>
      <c r="D81" s="227"/>
      <c r="E81" s="228" t="s">
        <v>90</v>
      </c>
      <c r="F81" s="228"/>
      <c r="G81" s="229" t="s">
        <v>91</v>
      </c>
      <c r="H81" s="230"/>
      <c r="I81" s="231"/>
    </row>
    <row r="82" spans="2:9" ht="19.5" customHeight="1">
      <c r="B82" s="119">
        <v>1</v>
      </c>
      <c r="C82" s="218">
        <v>1E-3</v>
      </c>
      <c r="D82" s="218"/>
      <c r="E82" s="232">
        <f>'0,001'!G85</f>
        <v>4998.9692799999993</v>
      </c>
      <c r="F82" s="233"/>
      <c r="G82" s="215">
        <f>MAX('0,001'!K111,'0,001'!K112)</f>
        <v>7.2794147663878759</v>
      </c>
      <c r="H82" s="216"/>
      <c r="I82" s="217"/>
    </row>
    <row r="83" spans="2:9" ht="19.5" customHeight="1">
      <c r="B83" s="119">
        <f>B82+1</f>
        <v>2</v>
      </c>
      <c r="C83" s="218">
        <v>2E-3</v>
      </c>
      <c r="D83" s="218"/>
      <c r="E83" s="232" t="e">
        <f>#REF!</f>
        <v>#REF!</v>
      </c>
      <c r="F83" s="233"/>
      <c r="G83" s="215" t="e">
        <f>MAX(#REF!,#REF!)</f>
        <v>#REF!</v>
      </c>
      <c r="H83" s="216"/>
      <c r="I83" s="217"/>
    </row>
    <row r="84" spans="2:9" ht="19.5" customHeight="1">
      <c r="B84" s="119">
        <f t="shared" ref="B84:B127" si="0">B83+1</f>
        <v>3</v>
      </c>
      <c r="C84" s="218" t="s">
        <v>42</v>
      </c>
      <c r="D84" s="218"/>
      <c r="E84" s="232" t="e">
        <f>#REF!</f>
        <v>#REF!</v>
      </c>
      <c r="F84" s="233"/>
      <c r="G84" s="215" t="e">
        <f>MAX(#REF!,#REF!)</f>
        <v>#REF!</v>
      </c>
      <c r="H84" s="216"/>
      <c r="I84" s="217"/>
    </row>
    <row r="85" spans="2:9" ht="19.5" customHeight="1">
      <c r="B85" s="119">
        <f t="shared" si="0"/>
        <v>4</v>
      </c>
      <c r="C85" s="218">
        <v>5.0000000000000001E-3</v>
      </c>
      <c r="D85" s="218"/>
      <c r="E85" s="232" t="e">
        <f>#REF!</f>
        <v>#REF!</v>
      </c>
      <c r="F85" s="233"/>
      <c r="G85" s="215" t="e">
        <f>MAX(#REF!,#REF!)</f>
        <v>#REF!</v>
      </c>
      <c r="H85" s="216"/>
      <c r="I85" s="217"/>
    </row>
    <row r="86" spans="2:9" ht="19.5" customHeight="1">
      <c r="B86" s="119">
        <f t="shared" si="0"/>
        <v>5</v>
      </c>
      <c r="C86" s="218">
        <v>0.01</v>
      </c>
      <c r="D86" s="218"/>
      <c r="E86" s="232" t="e">
        <f>#REF!</f>
        <v>#REF!</v>
      </c>
      <c r="F86" s="233"/>
      <c r="G86" s="215" t="e">
        <f>MAX(#REF!,#REF!)</f>
        <v>#REF!</v>
      </c>
      <c r="H86" s="216"/>
      <c r="I86" s="217"/>
    </row>
    <row r="87" spans="2:9" ht="19.5" customHeight="1">
      <c r="B87" s="119">
        <f t="shared" si="0"/>
        <v>6</v>
      </c>
      <c r="C87" s="218">
        <v>0.02</v>
      </c>
      <c r="D87" s="218"/>
      <c r="E87" s="232" t="e">
        <f>#REF!</f>
        <v>#REF!</v>
      </c>
      <c r="F87" s="233"/>
      <c r="G87" s="215" t="e">
        <f>MAX(#REF!,#REF!)</f>
        <v>#REF!</v>
      </c>
      <c r="H87" s="216"/>
      <c r="I87" s="217"/>
    </row>
    <row r="88" spans="2:9" ht="19.5" customHeight="1">
      <c r="B88" s="119">
        <f t="shared" si="0"/>
        <v>7</v>
      </c>
      <c r="C88" s="219" t="s">
        <v>41</v>
      </c>
      <c r="D88" s="220"/>
      <c r="E88" s="232" t="e">
        <f>#REF!</f>
        <v>#REF!</v>
      </c>
      <c r="F88" s="233"/>
      <c r="G88" s="215" t="e">
        <f>MAX(#REF!,#REF!)</f>
        <v>#REF!</v>
      </c>
      <c r="H88" s="216"/>
      <c r="I88" s="217"/>
    </row>
    <row r="89" spans="2:9" ht="19.5" customHeight="1">
      <c r="B89" s="119">
        <f t="shared" si="0"/>
        <v>8</v>
      </c>
      <c r="C89" s="219">
        <v>0.05</v>
      </c>
      <c r="D89" s="220"/>
      <c r="E89" s="232" t="e">
        <f>#REF!</f>
        <v>#REF!</v>
      </c>
      <c r="F89" s="233"/>
      <c r="G89" s="215" t="e">
        <f>MAX(#REF!,#REF!)</f>
        <v>#REF!</v>
      </c>
      <c r="H89" s="216"/>
      <c r="I89" s="217"/>
    </row>
    <row r="90" spans="2:9" ht="19.5" customHeight="1">
      <c r="B90" s="119">
        <f t="shared" si="0"/>
        <v>9</v>
      </c>
      <c r="C90" s="219">
        <v>0.1</v>
      </c>
      <c r="D90" s="220"/>
      <c r="E90" s="232" t="e">
        <f>#REF!</f>
        <v>#REF!</v>
      </c>
      <c r="F90" s="233"/>
      <c r="G90" s="215" t="e">
        <f>MAX(#REF!,#REF!)</f>
        <v>#REF!</v>
      </c>
      <c r="H90" s="216"/>
      <c r="I90" s="217"/>
    </row>
    <row r="91" spans="2:9" ht="19.5" customHeight="1">
      <c r="B91" s="119">
        <f t="shared" si="0"/>
        <v>10</v>
      </c>
      <c r="C91" s="219">
        <v>0.2</v>
      </c>
      <c r="D91" s="220"/>
      <c r="E91" s="232" t="e">
        <f>#REF!</f>
        <v>#REF!</v>
      </c>
      <c r="F91" s="233"/>
      <c r="G91" s="215" t="e">
        <f>MAX(#REF!,#REF!)</f>
        <v>#REF!</v>
      </c>
      <c r="H91" s="216"/>
      <c r="I91" s="217"/>
    </row>
    <row r="92" spans="2:9" ht="19.5" customHeight="1">
      <c r="B92" s="119">
        <f t="shared" si="0"/>
        <v>11</v>
      </c>
      <c r="C92" s="219" t="s">
        <v>40</v>
      </c>
      <c r="D92" s="220"/>
      <c r="E92" s="232" t="e">
        <f>#REF!</f>
        <v>#REF!</v>
      </c>
      <c r="F92" s="233"/>
      <c r="G92" s="215" t="e">
        <f>MAX(#REF!,#REF!)</f>
        <v>#REF!</v>
      </c>
      <c r="H92" s="216"/>
      <c r="I92" s="217"/>
    </row>
    <row r="93" spans="2:9" ht="19.5" customHeight="1">
      <c r="B93" s="119">
        <f t="shared" si="0"/>
        <v>12</v>
      </c>
      <c r="C93" s="219">
        <v>0.5</v>
      </c>
      <c r="D93" s="220"/>
      <c r="E93" s="232" t="e">
        <f>#REF!</f>
        <v>#REF!</v>
      </c>
      <c r="F93" s="233"/>
      <c r="G93" s="215" t="e">
        <f>MAX(#REF!,#REF!)</f>
        <v>#REF!</v>
      </c>
      <c r="H93" s="216"/>
      <c r="I93" s="217"/>
    </row>
    <row r="94" spans="2:9" ht="19.5" customHeight="1">
      <c r="B94" s="119">
        <f t="shared" si="0"/>
        <v>13</v>
      </c>
      <c r="C94" s="219">
        <v>1</v>
      </c>
      <c r="D94" s="220"/>
      <c r="E94" s="232" t="e">
        <f>#REF!</f>
        <v>#REF!</v>
      </c>
      <c r="F94" s="233"/>
      <c r="G94" s="215" t="e">
        <f>MAX(#REF!,#REF!)</f>
        <v>#REF!</v>
      </c>
      <c r="H94" s="216"/>
      <c r="I94" s="217"/>
    </row>
    <row r="95" spans="2:9" ht="19.5" customHeight="1">
      <c r="B95" s="119">
        <f t="shared" si="0"/>
        <v>14</v>
      </c>
      <c r="C95" s="219">
        <v>2</v>
      </c>
      <c r="D95" s="220"/>
      <c r="E95" s="232" t="e">
        <f>#REF!</f>
        <v>#REF!</v>
      </c>
      <c r="F95" s="233"/>
      <c r="G95" s="215" t="e">
        <f>MAX(#REF!,#REF!)</f>
        <v>#REF!</v>
      </c>
      <c r="H95" s="216"/>
      <c r="I95" s="217"/>
    </row>
    <row r="96" spans="2:9" ht="19.5" customHeight="1">
      <c r="B96" s="119">
        <f t="shared" si="0"/>
        <v>15</v>
      </c>
      <c r="C96" s="219" t="s">
        <v>39</v>
      </c>
      <c r="D96" s="220"/>
      <c r="E96" s="232" t="e">
        <f>#REF!</f>
        <v>#REF!</v>
      </c>
      <c r="F96" s="233"/>
      <c r="G96" s="215" t="e">
        <f>MAX(#REF!,#REF!)</f>
        <v>#REF!</v>
      </c>
      <c r="H96" s="216"/>
      <c r="I96" s="217"/>
    </row>
    <row r="97" spans="2:9" ht="19.5" customHeight="1">
      <c r="B97" s="99"/>
      <c r="C97" s="99"/>
      <c r="D97" s="99"/>
      <c r="E97" s="116"/>
      <c r="F97" s="116"/>
      <c r="G97" s="203"/>
      <c r="H97" s="203"/>
      <c r="I97" s="203"/>
    </row>
    <row r="98" spans="2:9" ht="19.5" customHeight="1">
      <c r="B98" s="99"/>
      <c r="C98" s="99"/>
      <c r="D98" s="99"/>
      <c r="E98" s="116"/>
      <c r="F98" s="116"/>
      <c r="G98" s="203"/>
      <c r="H98" s="203"/>
      <c r="I98" s="203"/>
    </row>
    <row r="99" spans="2:9" ht="19.5" customHeight="1">
      <c r="B99" s="99"/>
      <c r="C99" s="99"/>
      <c r="D99" s="99"/>
      <c r="E99" s="116"/>
      <c r="F99" s="116"/>
      <c r="G99" s="203"/>
      <c r="H99" s="203"/>
      <c r="I99" s="203"/>
    </row>
    <row r="100" spans="2:9" ht="19.5" customHeight="1">
      <c r="B100" s="99"/>
      <c r="C100" s="99"/>
      <c r="D100" s="99"/>
      <c r="E100" s="116"/>
      <c r="F100" s="116"/>
      <c r="G100" s="203"/>
      <c r="H100" s="203"/>
      <c r="I100" s="203"/>
    </row>
    <row r="101" spans="2:9" ht="19.5" customHeight="1">
      <c r="B101" s="99"/>
      <c r="C101" s="99"/>
      <c r="D101" s="99"/>
      <c r="E101" s="116"/>
      <c r="F101" s="116"/>
      <c r="G101" s="203"/>
      <c r="H101" s="203"/>
      <c r="I101" s="203"/>
    </row>
    <row r="102" spans="2:9" ht="19.5" customHeight="1">
      <c r="B102" s="99"/>
      <c r="C102" s="99"/>
      <c r="D102" s="99"/>
      <c r="E102" s="116"/>
      <c r="F102" s="116"/>
      <c r="G102" s="203"/>
      <c r="H102" s="203"/>
      <c r="I102" s="203"/>
    </row>
    <row r="103" spans="2:9" ht="19.5" customHeight="1">
      <c r="B103" s="99"/>
      <c r="C103" s="99"/>
      <c r="D103" s="99"/>
      <c r="E103" s="116"/>
      <c r="F103" s="116"/>
      <c r="G103" s="203"/>
      <c r="H103" s="203"/>
      <c r="I103" s="203"/>
    </row>
    <row r="104" spans="2:9" ht="19.5" customHeight="1">
      <c r="B104" s="99"/>
      <c r="C104" s="99"/>
      <c r="D104" s="99"/>
      <c r="E104" s="116"/>
      <c r="F104" s="116"/>
      <c r="G104" s="203"/>
      <c r="H104" s="203"/>
      <c r="I104" s="203"/>
    </row>
    <row r="105" spans="2:9" ht="19.5" customHeight="1">
      <c r="B105" s="99"/>
      <c r="C105" s="99"/>
      <c r="D105" s="99"/>
      <c r="E105" s="116"/>
      <c r="F105" s="116"/>
      <c r="G105" s="203"/>
      <c r="H105" s="203"/>
      <c r="I105" s="203"/>
    </row>
    <row r="106" spans="2:9" ht="19.5" customHeight="1">
      <c r="B106" s="99"/>
      <c r="C106" s="99"/>
      <c r="D106" s="99"/>
      <c r="E106" s="116"/>
      <c r="F106" s="116"/>
      <c r="G106" s="203"/>
      <c r="H106" s="203"/>
      <c r="I106" s="203"/>
    </row>
    <row r="107" spans="2:9" ht="19.5" customHeight="1">
      <c r="B107" s="99"/>
      <c r="C107" s="99"/>
      <c r="D107" s="99"/>
      <c r="E107" s="116"/>
      <c r="F107" s="116"/>
      <c r="G107" s="203"/>
      <c r="H107" s="203"/>
      <c r="I107" s="203"/>
    </row>
    <row r="108" spans="2:9" ht="19.5" customHeight="1">
      <c r="B108" s="99"/>
      <c r="C108" s="99"/>
      <c r="D108" s="99"/>
      <c r="E108" s="113" t="s">
        <v>67</v>
      </c>
      <c r="F108" s="113" t="str">
        <f>CONCATENATE(": ",MID(A55,18,33))</f>
        <v xml:space="preserve">: </v>
      </c>
      <c r="G108" s="203"/>
      <c r="H108" s="203"/>
      <c r="I108" s="203"/>
    </row>
    <row r="109" spans="2:9" ht="19.5" customHeight="1">
      <c r="B109" s="99"/>
      <c r="C109" s="99"/>
      <c r="D109" s="99"/>
      <c r="E109" s="113" t="s">
        <v>68</v>
      </c>
      <c r="F109" s="113" t="str">
        <f>CONCATENATE(": ",'FORM '!B48)</f>
        <v xml:space="preserve">: </v>
      </c>
      <c r="G109" s="203"/>
      <c r="H109" s="203"/>
      <c r="I109" s="203"/>
    </row>
    <row r="110" spans="2:9" ht="19.5" customHeight="1">
      <c r="B110" s="99"/>
      <c r="C110" s="99"/>
      <c r="D110" s="99"/>
      <c r="E110" s="113" t="s">
        <v>69</v>
      </c>
      <c r="F110" s="113" t="s">
        <v>305</v>
      </c>
      <c r="G110" s="203"/>
      <c r="H110" s="203"/>
      <c r="I110" s="203"/>
    </row>
    <row r="111" spans="2:9" ht="19.5" customHeight="1">
      <c r="B111" s="99"/>
      <c r="C111" s="99"/>
      <c r="D111" s="99"/>
      <c r="E111" s="116"/>
      <c r="F111" s="116"/>
      <c r="G111" s="203"/>
      <c r="H111" s="203"/>
      <c r="I111" s="203"/>
    </row>
    <row r="112" spans="2:9" ht="19.5" customHeight="1">
      <c r="B112" s="99"/>
      <c r="C112" s="99"/>
      <c r="D112" s="99"/>
      <c r="E112" s="116"/>
      <c r="F112" s="116"/>
      <c r="G112" s="203"/>
      <c r="H112" s="203"/>
      <c r="I112" s="203"/>
    </row>
    <row r="113" spans="2:9" ht="27.6" customHeight="1">
      <c r="B113" s="221" t="s">
        <v>86</v>
      </c>
      <c r="C113" s="222" t="s">
        <v>87</v>
      </c>
      <c r="D113" s="223"/>
      <c r="E113" s="224" t="s">
        <v>88</v>
      </c>
      <c r="F113" s="224"/>
      <c r="G113" s="222" t="s">
        <v>89</v>
      </c>
      <c r="H113" s="225"/>
      <c r="I113" s="223"/>
    </row>
    <row r="114" spans="2:9" ht="19.5" customHeight="1">
      <c r="B114" s="221"/>
      <c r="C114" s="226" t="s">
        <v>90</v>
      </c>
      <c r="D114" s="227"/>
      <c r="E114" s="228" t="s">
        <v>90</v>
      </c>
      <c r="F114" s="228"/>
      <c r="G114" s="229" t="s">
        <v>91</v>
      </c>
      <c r="H114" s="230"/>
      <c r="I114" s="231"/>
    </row>
    <row r="115" spans="2:9" ht="19.5" customHeight="1">
      <c r="B115" s="202">
        <f>B96+1</f>
        <v>16</v>
      </c>
      <c r="C115" s="226">
        <v>5</v>
      </c>
      <c r="D115" s="227"/>
      <c r="E115" s="238" t="e">
        <f>#REF!</f>
        <v>#REF!</v>
      </c>
      <c r="F115" s="239"/>
      <c r="G115" s="248" t="e">
        <f>MAX(#REF!,#REF!)</f>
        <v>#REF!</v>
      </c>
      <c r="H115" s="249"/>
      <c r="I115" s="250"/>
    </row>
    <row r="116" spans="2:9" ht="19.5" customHeight="1">
      <c r="B116" s="119">
        <f t="shared" si="0"/>
        <v>17</v>
      </c>
      <c r="C116" s="219">
        <v>10</v>
      </c>
      <c r="D116" s="220"/>
      <c r="E116" s="240">
        <v>10.000017</v>
      </c>
      <c r="F116" s="240"/>
      <c r="G116" s="215">
        <v>3.2000000000000001E-2</v>
      </c>
      <c r="H116" s="216"/>
      <c r="I116" s="217"/>
    </row>
    <row r="117" spans="2:9" ht="19.5" customHeight="1">
      <c r="B117" s="119">
        <f t="shared" si="0"/>
        <v>18</v>
      </c>
      <c r="C117" s="219">
        <v>20</v>
      </c>
      <c r="D117" s="220"/>
      <c r="E117" s="240">
        <v>20.000008999999999</v>
      </c>
      <c r="F117" s="240"/>
      <c r="G117" s="215">
        <v>3.5999999999999997E-2</v>
      </c>
      <c r="H117" s="216"/>
      <c r="I117" s="217"/>
    </row>
    <row r="118" spans="2:9" ht="19.5" customHeight="1">
      <c r="B118" s="119">
        <f t="shared" si="0"/>
        <v>19</v>
      </c>
      <c r="C118" s="219" t="s">
        <v>38</v>
      </c>
      <c r="D118" s="220"/>
      <c r="E118" s="240">
        <v>20.000048</v>
      </c>
      <c r="F118" s="240"/>
      <c r="G118" s="215">
        <v>3.5999999999999997E-2</v>
      </c>
      <c r="H118" s="216"/>
      <c r="I118" s="217"/>
    </row>
    <row r="119" spans="2:9" ht="19.5" customHeight="1">
      <c r="B119" s="119">
        <f t="shared" si="0"/>
        <v>20</v>
      </c>
      <c r="C119" s="219">
        <v>50</v>
      </c>
      <c r="D119" s="220"/>
      <c r="E119" s="240">
        <v>49.999814000000001</v>
      </c>
      <c r="F119" s="240"/>
      <c r="G119" s="215">
        <v>4.2000000000000003E-2</v>
      </c>
      <c r="H119" s="216"/>
      <c r="I119" s="217"/>
    </row>
    <row r="120" spans="2:9" ht="19.5" customHeight="1">
      <c r="B120" s="119">
        <f t="shared" si="0"/>
        <v>21</v>
      </c>
      <c r="C120" s="219">
        <v>100</v>
      </c>
      <c r="D120" s="220"/>
      <c r="E120" s="218">
        <v>99.999763000000002</v>
      </c>
      <c r="F120" s="218"/>
      <c r="G120" s="215">
        <v>6.7000000000000004E-2</v>
      </c>
      <c r="H120" s="216"/>
      <c r="I120" s="217"/>
    </row>
    <row r="121" spans="2:9" ht="19.5" customHeight="1">
      <c r="B121" s="119">
        <f t="shared" si="0"/>
        <v>22</v>
      </c>
      <c r="C121" s="219">
        <v>200</v>
      </c>
      <c r="D121" s="220"/>
      <c r="E121" s="218">
        <v>199.999675</v>
      </c>
      <c r="F121" s="218"/>
      <c r="G121" s="241">
        <v>0.11</v>
      </c>
      <c r="H121" s="242"/>
      <c r="I121" s="243"/>
    </row>
    <row r="122" spans="2:9" ht="19.5" customHeight="1">
      <c r="B122" s="119">
        <f t="shared" si="0"/>
        <v>23</v>
      </c>
      <c r="C122" s="219" t="s">
        <v>37</v>
      </c>
      <c r="D122" s="220"/>
      <c r="E122" s="218">
        <v>199.99881500000001</v>
      </c>
      <c r="F122" s="218"/>
      <c r="G122" s="241">
        <v>0.11</v>
      </c>
      <c r="H122" s="242"/>
      <c r="I122" s="243"/>
    </row>
    <row r="123" spans="2:9" ht="19.5" customHeight="1">
      <c r="B123" s="119">
        <f t="shared" si="0"/>
        <v>24</v>
      </c>
      <c r="C123" s="219">
        <v>500</v>
      </c>
      <c r="D123" s="220"/>
      <c r="E123" s="218">
        <v>499.99860999999999</v>
      </c>
      <c r="F123" s="218"/>
      <c r="G123" s="244">
        <v>1</v>
      </c>
      <c r="H123" s="245"/>
      <c r="I123" s="246"/>
    </row>
    <row r="124" spans="2:9" ht="19.5" customHeight="1">
      <c r="B124" s="119">
        <f>B123+1</f>
        <v>25</v>
      </c>
      <c r="C124" s="219">
        <v>1000</v>
      </c>
      <c r="D124" s="220"/>
      <c r="E124" s="218">
        <v>1000.00105</v>
      </c>
      <c r="F124" s="218"/>
      <c r="G124" s="244">
        <v>1.1000000000000001</v>
      </c>
      <c r="H124" s="245"/>
      <c r="I124" s="246"/>
    </row>
    <row r="125" spans="2:9" ht="19.5" customHeight="1">
      <c r="B125" s="119">
        <f t="shared" si="0"/>
        <v>26</v>
      </c>
      <c r="C125" s="219">
        <v>2000</v>
      </c>
      <c r="D125" s="220"/>
      <c r="E125" s="218">
        <v>1999.9994200000001</v>
      </c>
      <c r="F125" s="218"/>
      <c r="G125" s="244">
        <v>1.4</v>
      </c>
      <c r="H125" s="245"/>
      <c r="I125" s="246"/>
    </row>
    <row r="126" spans="2:9" ht="19.5" customHeight="1">
      <c r="B126" s="119">
        <f t="shared" si="0"/>
        <v>27</v>
      </c>
      <c r="C126" s="219">
        <v>2000</v>
      </c>
      <c r="D126" s="220"/>
      <c r="E126" s="218">
        <v>2000.0015200000003</v>
      </c>
      <c r="F126" s="218"/>
      <c r="G126" s="244">
        <v>1.4</v>
      </c>
      <c r="H126" s="245"/>
      <c r="I126" s="246"/>
    </row>
    <row r="127" spans="2:9" ht="19.5" customHeight="1">
      <c r="B127" s="119">
        <f t="shared" si="0"/>
        <v>28</v>
      </c>
      <c r="C127" s="219">
        <v>5000</v>
      </c>
      <c r="D127" s="220"/>
      <c r="E127" s="218">
        <v>5000.0162800000007</v>
      </c>
      <c r="F127" s="218"/>
      <c r="G127" s="244">
        <v>2.6</v>
      </c>
      <c r="H127" s="245"/>
      <c r="I127" s="246"/>
    </row>
    <row r="128" spans="2:9" ht="19.5" customHeight="1"/>
    <row r="129" spans="2:9" ht="19.5" customHeight="1">
      <c r="B129" s="99"/>
      <c r="C129" s="113"/>
      <c r="D129" s="113"/>
      <c r="E129" s="120"/>
      <c r="F129" s="113"/>
      <c r="G129" s="113"/>
      <c r="H129" s="113"/>
      <c r="I129" s="113"/>
    </row>
    <row r="130" spans="2:9" ht="19.5" customHeight="1">
      <c r="B130" s="111" t="s">
        <v>92</v>
      </c>
      <c r="C130" s="113"/>
      <c r="D130" s="113"/>
      <c r="E130" s="120"/>
      <c r="F130" s="113"/>
      <c r="G130" s="113"/>
      <c r="H130" s="113"/>
      <c r="I130" s="113"/>
    </row>
    <row r="131" spans="2:9" ht="19.5" customHeight="1">
      <c r="B131" s="111" t="str">
        <f>CONCATENATE("Alat ini dikalibrasi dengan Massa Standar"," ",'FORM '!B17," dengan ns ",": ",'FORM '!B19)</f>
        <v>Alat ini dikalibrasi dengan Massa Standar E2 METTLER TOLEDO  dengan ns : 158856</v>
      </c>
      <c r="C131" s="113"/>
      <c r="D131" s="113"/>
      <c r="E131" s="120"/>
      <c r="F131" s="113"/>
      <c r="G131" s="113"/>
      <c r="H131" s="113"/>
      <c r="I131" s="113"/>
    </row>
    <row r="132" spans="2:9" ht="19.5" customHeight="1">
      <c r="B132" s="111" t="str">
        <f>CONCATENATE("yang tertelusur ke SI melalui LK-001-IDN"," dan ","Mass Comparator ns : ",'FORM '!B16)</f>
        <v>yang tertelusur ke SI melalui LK-001-IDN dan Mass Comparator ns : 90803270</v>
      </c>
      <c r="C132" s="113"/>
      <c r="D132" s="113"/>
      <c r="E132" s="120"/>
      <c r="F132" s="113"/>
      <c r="G132" s="113"/>
      <c r="H132" s="113"/>
      <c r="I132" s="113"/>
    </row>
    <row r="133" spans="2:9" ht="19.2" customHeight="1">
      <c r="B133" s="121" t="s">
        <v>93</v>
      </c>
      <c r="C133" s="122"/>
      <c r="D133" s="123"/>
      <c r="E133" s="123"/>
      <c r="F133" s="123"/>
      <c r="G133" s="123"/>
      <c r="H133" s="123"/>
    </row>
    <row r="134" spans="2:9">
      <c r="B134" s="124"/>
      <c r="C134" s="122"/>
      <c r="D134" s="123"/>
      <c r="E134" s="123"/>
      <c r="F134" s="123"/>
      <c r="G134" s="123"/>
      <c r="H134" s="123"/>
    </row>
    <row r="135" spans="2:9" ht="18" customHeight="1">
      <c r="B135" s="125"/>
      <c r="C135" s="126"/>
      <c r="D135" s="127"/>
      <c r="E135" s="127"/>
      <c r="F135" s="120"/>
      <c r="G135" s="120"/>
      <c r="H135" s="120"/>
    </row>
    <row r="136" spans="2:9" ht="18" customHeight="1">
      <c r="B136" s="125"/>
      <c r="C136" s="126"/>
      <c r="D136" s="127"/>
      <c r="E136" s="127"/>
      <c r="F136" s="120"/>
      <c r="G136" s="120"/>
      <c r="H136" s="120"/>
    </row>
    <row r="137" spans="2:9" ht="18" customHeight="1">
      <c r="B137" s="125"/>
      <c r="C137" s="126"/>
      <c r="D137" s="127"/>
      <c r="E137" s="127"/>
      <c r="F137" s="120"/>
      <c r="G137" s="120"/>
      <c r="H137" s="120"/>
    </row>
    <row r="138" spans="2:9" ht="18" customHeight="1">
      <c r="B138" s="125"/>
      <c r="C138" s="126"/>
      <c r="D138" s="127"/>
      <c r="E138" s="127"/>
      <c r="F138" s="120"/>
      <c r="G138" s="120"/>
      <c r="H138" s="120"/>
    </row>
    <row r="139" spans="2:9" ht="18" customHeight="1">
      <c r="B139" s="125"/>
      <c r="C139" s="126"/>
      <c r="D139" s="127"/>
      <c r="E139" s="127"/>
      <c r="F139" s="120"/>
      <c r="G139" s="120"/>
      <c r="H139" s="120"/>
    </row>
    <row r="140" spans="2:9" ht="18" customHeight="1">
      <c r="B140" s="125"/>
      <c r="C140" s="126"/>
      <c r="D140" s="127"/>
      <c r="E140" s="127"/>
      <c r="F140" s="120"/>
      <c r="G140" s="120"/>
      <c r="H140" s="120"/>
    </row>
    <row r="141" spans="2:9" ht="18" customHeight="1">
      <c r="B141" s="125"/>
      <c r="C141" s="126"/>
      <c r="D141" s="127"/>
      <c r="E141" s="127"/>
      <c r="F141" s="120"/>
      <c r="G141" s="120"/>
      <c r="H141" s="120"/>
    </row>
    <row r="142" spans="2:9" ht="18" customHeight="1">
      <c r="B142" s="125"/>
      <c r="C142" s="126"/>
      <c r="D142" s="127"/>
      <c r="E142" s="127"/>
      <c r="F142" s="120"/>
      <c r="G142" s="120"/>
      <c r="H142" s="120"/>
    </row>
    <row r="143" spans="2:9" ht="18" customHeight="1">
      <c r="B143" s="125"/>
      <c r="C143" s="126"/>
      <c r="D143" s="127"/>
      <c r="E143" s="127"/>
      <c r="F143" s="120"/>
      <c r="G143" s="120"/>
      <c r="H143" s="120"/>
    </row>
    <row r="144" spans="2:9" ht="16.95" customHeight="1">
      <c r="B144" s="125"/>
      <c r="C144" s="126"/>
      <c r="D144" s="127"/>
      <c r="E144" s="127"/>
      <c r="F144" s="120"/>
      <c r="G144" s="120"/>
      <c r="H144" s="120"/>
    </row>
    <row r="145" spans="2:6" ht="16.95" customHeight="1"/>
    <row r="153" spans="2:6" ht="23.7" customHeight="1">
      <c r="E153" s="128"/>
      <c r="F153" s="128"/>
    </row>
    <row r="154" spans="2:6">
      <c r="E154" s="113"/>
      <c r="F154" s="113"/>
    </row>
    <row r="155" spans="2:6">
      <c r="E155" s="113"/>
      <c r="F155" s="113"/>
    </row>
    <row r="159" spans="2:6">
      <c r="E159" s="113"/>
      <c r="F159" s="113"/>
    </row>
    <row r="160" spans="2:6">
      <c r="B160" s="123"/>
    </row>
    <row r="162" spans="2:9">
      <c r="B162" s="98"/>
    </row>
    <row r="163" spans="2:9">
      <c r="B163" s="113"/>
    </row>
    <row r="164" spans="2:9">
      <c r="B164" s="113"/>
    </row>
    <row r="165" spans="2:9">
      <c r="B165" s="113"/>
    </row>
    <row r="167" spans="2:9">
      <c r="B167" s="123"/>
      <c r="C167" s="123"/>
      <c r="D167" s="123"/>
      <c r="E167" s="123"/>
      <c r="F167" s="123"/>
      <c r="G167" s="123"/>
      <c r="H167" s="123"/>
      <c r="I167" s="123"/>
    </row>
    <row r="168" spans="2:9">
      <c r="B168" s="123"/>
      <c r="C168" s="123"/>
      <c r="D168" s="123"/>
      <c r="E168" s="123"/>
      <c r="F168" s="123"/>
      <c r="G168" s="123"/>
      <c r="H168" s="123"/>
      <c r="I168" s="123"/>
    </row>
    <row r="169" spans="2:9">
      <c r="B169" s="123"/>
      <c r="C169" s="123"/>
      <c r="D169" s="123"/>
      <c r="E169" s="123"/>
      <c r="F169" s="123"/>
      <c r="G169" s="123"/>
      <c r="H169" s="123"/>
      <c r="I169" s="123"/>
    </row>
    <row r="170" spans="2:9" ht="18.45" customHeight="1">
      <c r="B170" s="116"/>
      <c r="C170" s="127"/>
      <c r="D170" s="127"/>
      <c r="E170" s="127"/>
      <c r="F170" s="127"/>
      <c r="G170" s="127"/>
      <c r="H170" s="113"/>
      <c r="I170" s="113"/>
    </row>
    <row r="171" spans="2:9" ht="18.45" customHeight="1">
      <c r="B171" s="116"/>
      <c r="C171" s="127"/>
      <c r="D171" s="127"/>
      <c r="E171" s="127"/>
      <c r="F171" s="127"/>
      <c r="G171" s="127"/>
      <c r="H171" s="113"/>
      <c r="I171" s="113"/>
    </row>
    <row r="172" spans="2:9" ht="18.45" customHeight="1">
      <c r="B172" s="116"/>
      <c r="C172" s="127"/>
      <c r="D172" s="127"/>
      <c r="E172" s="127"/>
      <c r="F172" s="127"/>
      <c r="G172" s="127"/>
      <c r="H172" s="113"/>
      <c r="I172" s="113"/>
    </row>
    <row r="173" spans="2:9" ht="18.45" customHeight="1">
      <c r="B173" s="116"/>
      <c r="C173" s="127"/>
      <c r="D173" s="127"/>
      <c r="E173" s="127"/>
      <c r="F173" s="127"/>
      <c r="G173" s="127"/>
      <c r="H173" s="113"/>
      <c r="I173" s="113"/>
    </row>
    <row r="174" spans="2:9" ht="18.45" customHeight="1">
      <c r="B174" s="116"/>
      <c r="C174" s="127"/>
      <c r="D174" s="127"/>
      <c r="E174" s="127"/>
      <c r="F174" s="127"/>
      <c r="G174" s="127"/>
      <c r="H174" s="113"/>
      <c r="I174" s="113"/>
    </row>
    <row r="176" spans="2:9">
      <c r="B176" s="110"/>
    </row>
    <row r="178" spans="2:5">
      <c r="B178" s="123"/>
      <c r="C178" s="123"/>
      <c r="D178" s="123"/>
      <c r="E178" s="123"/>
    </row>
    <row r="179" spans="2:5">
      <c r="B179" s="123"/>
      <c r="C179" s="123"/>
      <c r="D179" s="123"/>
      <c r="E179" s="123"/>
    </row>
    <row r="180" spans="2:5">
      <c r="B180" s="129"/>
      <c r="C180" s="129"/>
      <c r="D180" s="127"/>
      <c r="E180" s="127"/>
    </row>
    <row r="181" spans="2:5">
      <c r="B181" s="129"/>
      <c r="C181" s="129"/>
      <c r="D181" s="127"/>
      <c r="E181" s="127"/>
    </row>
    <row r="183" spans="2:5">
      <c r="B183" s="113"/>
    </row>
    <row r="184" spans="2:5">
      <c r="B184" s="113"/>
    </row>
    <row r="185" spans="2:5">
      <c r="B185" s="113"/>
    </row>
    <row r="186" spans="2:5">
      <c r="B186" s="113"/>
    </row>
    <row r="187" spans="2:5">
      <c r="B187" s="113"/>
    </row>
  </sheetData>
  <mergeCells count="103">
    <mergeCell ref="E35:J37"/>
    <mergeCell ref="G127:I127"/>
    <mergeCell ref="E89:F89"/>
    <mergeCell ref="E90:F90"/>
    <mergeCell ref="E91:F91"/>
    <mergeCell ref="E92:F92"/>
    <mergeCell ref="E93:F93"/>
    <mergeCell ref="E94:F94"/>
    <mergeCell ref="E95:F95"/>
    <mergeCell ref="G89:I89"/>
    <mergeCell ref="G90:I90"/>
    <mergeCell ref="G91:I91"/>
    <mergeCell ref="G92:I92"/>
    <mergeCell ref="G93:I93"/>
    <mergeCell ref="G117:I117"/>
    <mergeCell ref="G118:I118"/>
    <mergeCell ref="E117:F117"/>
    <mergeCell ref="E118:F118"/>
    <mergeCell ref="G115:I115"/>
    <mergeCell ref="G116:I116"/>
    <mergeCell ref="G94:I94"/>
    <mergeCell ref="G95:I95"/>
    <mergeCell ref="E116:F116"/>
    <mergeCell ref="E114:F114"/>
    <mergeCell ref="C127:D127"/>
    <mergeCell ref="E119:F119"/>
    <mergeCell ref="G119:I119"/>
    <mergeCell ref="E120:F120"/>
    <mergeCell ref="G120:I120"/>
    <mergeCell ref="E121:F121"/>
    <mergeCell ref="G121:I121"/>
    <mergeCell ref="E122:F122"/>
    <mergeCell ref="G122:I122"/>
    <mergeCell ref="G123:I123"/>
    <mergeCell ref="E123:F123"/>
    <mergeCell ref="E124:F124"/>
    <mergeCell ref="E125:F125"/>
    <mergeCell ref="E126:F126"/>
    <mergeCell ref="E127:F127"/>
    <mergeCell ref="G124:I124"/>
    <mergeCell ref="G125:I125"/>
    <mergeCell ref="G126:I126"/>
    <mergeCell ref="C119:D119"/>
    <mergeCell ref="C120:D120"/>
    <mergeCell ref="C121:D121"/>
    <mergeCell ref="C122:D122"/>
    <mergeCell ref="C123:D123"/>
    <mergeCell ref="C124:D124"/>
    <mergeCell ref="C117:D117"/>
    <mergeCell ref="C118:D118"/>
    <mergeCell ref="C88:D88"/>
    <mergeCell ref="C89:D89"/>
    <mergeCell ref="C90:D90"/>
    <mergeCell ref="C91:D91"/>
    <mergeCell ref="C92:D92"/>
    <mergeCell ref="C116:D116"/>
    <mergeCell ref="G114:I114"/>
    <mergeCell ref="C125:D125"/>
    <mergeCell ref="C126:D126"/>
    <mergeCell ref="A7:K7"/>
    <mergeCell ref="A8:K8"/>
    <mergeCell ref="A9:K9"/>
    <mergeCell ref="B66:F66"/>
    <mergeCell ref="C93:D93"/>
    <mergeCell ref="C96:D96"/>
    <mergeCell ref="C115:D115"/>
    <mergeCell ref="E87:F87"/>
    <mergeCell ref="E88:F88"/>
    <mergeCell ref="E96:F96"/>
    <mergeCell ref="E115:F115"/>
    <mergeCell ref="E82:F82"/>
    <mergeCell ref="E83:F83"/>
    <mergeCell ref="C95:D95"/>
    <mergeCell ref="E86:F86"/>
    <mergeCell ref="G82:I82"/>
    <mergeCell ref="G83:I83"/>
    <mergeCell ref="B113:B114"/>
    <mergeCell ref="C113:D113"/>
    <mergeCell ref="E113:F113"/>
    <mergeCell ref="G113:I113"/>
    <mergeCell ref="C114:D114"/>
    <mergeCell ref="G86:I86"/>
    <mergeCell ref="C86:D86"/>
    <mergeCell ref="C87:D87"/>
    <mergeCell ref="C94:D94"/>
    <mergeCell ref="G87:I87"/>
    <mergeCell ref="G88:I88"/>
    <mergeCell ref="G96:I96"/>
    <mergeCell ref="B80:B81"/>
    <mergeCell ref="C80:D80"/>
    <mergeCell ref="E80:F80"/>
    <mergeCell ref="G80:I80"/>
    <mergeCell ref="C81:D81"/>
    <mergeCell ref="E81:F81"/>
    <mergeCell ref="G81:I81"/>
    <mergeCell ref="G84:I84"/>
    <mergeCell ref="G85:I85"/>
    <mergeCell ref="C82:D82"/>
    <mergeCell ref="C83:D83"/>
    <mergeCell ref="C84:D84"/>
    <mergeCell ref="C85:D85"/>
    <mergeCell ref="E84:F84"/>
    <mergeCell ref="E85:F85"/>
  </mergeCells>
  <pageMargins left="0" right="0" top="0.35433070866141703" bottom="3.9370078740157501E-2" header="0" footer="0"/>
  <pageSetup paperSize="9" scale="97" orientation="portrait" horizontalDpi="360" verticalDpi="360" r:id="rId1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FA42A-2409-4B97-ADC2-B152401D5329}">
  <dimension ref="A1:M31"/>
  <sheetViews>
    <sheetView workbookViewId="0">
      <selection activeCell="G1" sqref="G1:H25"/>
    </sheetView>
  </sheetViews>
  <sheetFormatPr defaultRowHeight="14.4"/>
  <cols>
    <col min="2" max="2" width="23.109375" bestFit="1" customWidth="1"/>
    <col min="3" max="3" width="23.109375" customWidth="1"/>
    <col min="4" max="5" width="16.77734375" bestFit="1" customWidth="1"/>
    <col min="12" max="12" width="13.109375" bestFit="1" customWidth="1"/>
    <col min="13" max="13" width="10.33203125" bestFit="1" customWidth="1"/>
  </cols>
  <sheetData>
    <row r="1" spans="1:13">
      <c r="A1" s="158" t="s">
        <v>241</v>
      </c>
      <c r="B1" s="158" t="s">
        <v>242</v>
      </c>
      <c r="C1" s="198" t="s">
        <v>291</v>
      </c>
      <c r="D1" s="158" t="s">
        <v>243</v>
      </c>
      <c r="E1" s="32" t="s">
        <v>264</v>
      </c>
      <c r="F1" s="173"/>
      <c r="G1" s="173" t="s">
        <v>266</v>
      </c>
      <c r="H1" s="179" t="s">
        <v>276</v>
      </c>
      <c r="J1" s="188" t="s">
        <v>242</v>
      </c>
      <c r="K1" s="189" t="s">
        <v>279</v>
      </c>
      <c r="L1" s="189" t="s">
        <v>55</v>
      </c>
      <c r="M1" s="196" t="s">
        <v>290</v>
      </c>
    </row>
    <row r="2" spans="1:13">
      <c r="A2" s="21">
        <v>20000</v>
      </c>
      <c r="B2" s="145" t="s">
        <v>244</v>
      </c>
      <c r="C2" s="199" t="s">
        <v>292</v>
      </c>
      <c r="D2" s="32">
        <v>90803270</v>
      </c>
      <c r="E2" s="32">
        <v>1.0000000000000001E-5</v>
      </c>
      <c r="G2" s="144">
        <v>20000</v>
      </c>
      <c r="H2" s="32">
        <v>45</v>
      </c>
      <c r="J2" s="190" t="s">
        <v>244</v>
      </c>
      <c r="K2" s="189" t="s">
        <v>280</v>
      </c>
      <c r="L2" t="s">
        <v>277</v>
      </c>
    </row>
    <row r="3" spans="1:13">
      <c r="A3" s="21">
        <v>10000</v>
      </c>
      <c r="B3" s="159" t="s">
        <v>263</v>
      </c>
      <c r="C3" s="198" t="s">
        <v>293</v>
      </c>
      <c r="D3" s="32">
        <v>90602105</v>
      </c>
      <c r="E3" s="32">
        <v>1E-3</v>
      </c>
      <c r="G3" s="144">
        <v>10000</v>
      </c>
      <c r="H3" s="32">
        <v>26</v>
      </c>
      <c r="J3" s="188" t="s">
        <v>263</v>
      </c>
      <c r="K3" t="s">
        <v>281</v>
      </c>
      <c r="L3" t="s">
        <v>282</v>
      </c>
    </row>
    <row r="4" spans="1:13">
      <c r="A4" s="21">
        <v>5000</v>
      </c>
      <c r="B4" s="32" t="s">
        <v>94</v>
      </c>
      <c r="C4" s="32" t="s">
        <v>294</v>
      </c>
      <c r="D4" s="147">
        <v>14904962</v>
      </c>
      <c r="E4" s="32">
        <v>0.01</v>
      </c>
      <c r="G4" s="144">
        <v>5000</v>
      </c>
      <c r="H4" s="32">
        <v>2.6</v>
      </c>
      <c r="J4" s="32" t="s">
        <v>94</v>
      </c>
      <c r="K4" t="s">
        <v>24</v>
      </c>
      <c r="L4" t="s">
        <v>24</v>
      </c>
    </row>
    <row r="5" spans="1:13">
      <c r="A5" s="21" t="s">
        <v>267</v>
      </c>
      <c r="B5" s="159" t="s">
        <v>245</v>
      </c>
      <c r="C5" s="199" t="s">
        <v>292</v>
      </c>
      <c r="D5" s="32">
        <v>90803270</v>
      </c>
      <c r="E5" s="32">
        <v>5.0000000000000002E-5</v>
      </c>
      <c r="G5" s="144">
        <v>2000</v>
      </c>
      <c r="H5" s="32">
        <v>1.4</v>
      </c>
      <c r="J5" s="188" t="s">
        <v>245</v>
      </c>
      <c r="K5" s="189" t="s">
        <v>283</v>
      </c>
      <c r="L5">
        <v>158856</v>
      </c>
    </row>
    <row r="6" spans="1:13">
      <c r="A6" s="19">
        <v>2000</v>
      </c>
      <c r="B6" s="19"/>
      <c r="C6" s="197"/>
      <c r="G6" s="144">
        <v>1000</v>
      </c>
      <c r="H6" s="32">
        <v>1.1000000000000001</v>
      </c>
    </row>
    <row r="7" spans="1:13">
      <c r="A7" s="19">
        <v>1000</v>
      </c>
      <c r="G7" s="144">
        <v>500</v>
      </c>
      <c r="H7" s="32">
        <v>1</v>
      </c>
    </row>
    <row r="8" spans="1:13">
      <c r="A8" s="19">
        <v>500</v>
      </c>
      <c r="G8" s="144">
        <v>200</v>
      </c>
      <c r="H8" s="32">
        <v>0.11</v>
      </c>
    </row>
    <row r="9" spans="1:13">
      <c r="A9" s="19">
        <v>200</v>
      </c>
      <c r="G9" s="144">
        <v>100</v>
      </c>
      <c r="H9" s="32">
        <v>6.7000000000000004E-2</v>
      </c>
    </row>
    <row r="10" spans="1:13">
      <c r="A10" s="176" t="s">
        <v>268</v>
      </c>
      <c r="G10" s="144">
        <v>50</v>
      </c>
      <c r="H10" s="32">
        <v>4.2000000000000003E-2</v>
      </c>
    </row>
    <row r="11" spans="1:13">
      <c r="A11" s="19">
        <v>100</v>
      </c>
      <c r="G11" s="144">
        <v>20</v>
      </c>
      <c r="H11" s="32">
        <v>3.5999999999999997E-2</v>
      </c>
    </row>
    <row r="12" spans="1:13">
      <c r="A12" s="19">
        <v>50</v>
      </c>
      <c r="G12" s="144">
        <v>10</v>
      </c>
      <c r="H12" s="32">
        <v>3.2000000000000001E-2</v>
      </c>
    </row>
    <row r="13" spans="1:13">
      <c r="A13" s="19">
        <v>20</v>
      </c>
      <c r="G13" s="144">
        <v>5</v>
      </c>
      <c r="H13" s="32">
        <v>2.9000000000000001E-2</v>
      </c>
    </row>
    <row r="14" spans="1:13">
      <c r="A14" s="176" t="s">
        <v>269</v>
      </c>
      <c r="G14" s="144">
        <v>2</v>
      </c>
      <c r="H14" s="32">
        <v>2.8000000000000001E-2</v>
      </c>
    </row>
    <row r="15" spans="1:13">
      <c r="A15" s="19">
        <v>10</v>
      </c>
      <c r="G15" s="144">
        <v>1</v>
      </c>
      <c r="H15" s="32">
        <v>2.7E-2</v>
      </c>
    </row>
    <row r="16" spans="1:13">
      <c r="A16" s="19">
        <v>5</v>
      </c>
      <c r="G16" s="144">
        <v>0.5</v>
      </c>
      <c r="H16" s="32">
        <v>2.7E-2</v>
      </c>
    </row>
    <row r="17" spans="1:8">
      <c r="A17" s="19">
        <v>2</v>
      </c>
      <c r="G17" s="144">
        <v>0.2</v>
      </c>
      <c r="H17" s="32">
        <v>2.5999999999999999E-2</v>
      </c>
    </row>
    <row r="18" spans="1:8">
      <c r="A18" s="176" t="s">
        <v>270</v>
      </c>
      <c r="G18" s="144">
        <v>0.1</v>
      </c>
      <c r="H18" s="32">
        <v>2.5999999999999999E-2</v>
      </c>
    </row>
    <row r="19" spans="1:8">
      <c r="A19" s="19">
        <v>1</v>
      </c>
      <c r="G19" s="144">
        <v>0.05</v>
      </c>
      <c r="H19" s="32">
        <v>2.5999999999999999E-2</v>
      </c>
    </row>
    <row r="20" spans="1:8">
      <c r="A20" s="19">
        <v>0.5</v>
      </c>
      <c r="G20" s="144">
        <v>0.02</v>
      </c>
      <c r="H20" s="32">
        <v>2.5999999999999999E-2</v>
      </c>
    </row>
    <row r="21" spans="1:8">
      <c r="A21" s="19">
        <v>0.2</v>
      </c>
      <c r="G21" s="144">
        <v>0.01</v>
      </c>
      <c r="H21" s="32">
        <v>2.5999999999999999E-2</v>
      </c>
    </row>
    <row r="22" spans="1:8">
      <c r="A22" s="21" t="s">
        <v>278</v>
      </c>
      <c r="G22" s="144">
        <v>5.0000000000000001E-3</v>
      </c>
      <c r="H22" s="32">
        <v>2.5999999999999999E-2</v>
      </c>
    </row>
    <row r="23" spans="1:8">
      <c r="A23" s="19">
        <v>0.1</v>
      </c>
      <c r="G23" s="144">
        <v>2E-3</v>
      </c>
      <c r="H23" s="32">
        <v>2.5999999999999999E-2</v>
      </c>
    </row>
    <row r="24" spans="1:8">
      <c r="A24" s="175">
        <v>0.05</v>
      </c>
      <c r="G24" s="144">
        <v>1E-3</v>
      </c>
      <c r="H24" s="32">
        <v>2.5999999999999999E-2</v>
      </c>
    </row>
    <row r="25" spans="1:8">
      <c r="A25" s="175">
        <v>0.02</v>
      </c>
      <c r="G25" s="144"/>
      <c r="H25" s="32"/>
    </row>
    <row r="26" spans="1:8">
      <c r="A26" s="175" t="s">
        <v>271</v>
      </c>
    </row>
    <row r="27" spans="1:8">
      <c r="A27" s="175">
        <v>0.01</v>
      </c>
    </row>
    <row r="28" spans="1:8">
      <c r="A28" s="175">
        <v>5.0000000000000001E-3</v>
      </c>
    </row>
    <row r="29" spans="1:8">
      <c r="A29" s="175">
        <v>2E-3</v>
      </c>
    </row>
    <row r="30" spans="1:8">
      <c r="A30" s="175" t="s">
        <v>272</v>
      </c>
    </row>
    <row r="31" spans="1:8">
      <c r="A31" s="175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MPE</vt:lpstr>
      <vt:lpstr>E2</vt:lpstr>
      <vt:lpstr>FORM </vt:lpstr>
      <vt:lpstr>0,001</vt:lpstr>
      <vt:lpstr>Koreksi themohygro rotronic 202</vt:lpstr>
      <vt:lpstr>Sertifikat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drw1770</dc:creator>
  <cp:lastModifiedBy>Athalla Abhiyoga</cp:lastModifiedBy>
  <cp:lastPrinted>2025-12-29T07:52:57Z</cp:lastPrinted>
  <dcterms:created xsi:type="dcterms:W3CDTF">2022-04-27T09:33:00Z</dcterms:created>
  <dcterms:modified xsi:type="dcterms:W3CDTF">2026-01-24T04:44:14Z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47232675569D4D7DA5E853AA895FF55A_12</vt:lpwstr>
  </property>
  <property fmtid="{D5CDD505-2E9C-101B-9397-08002B2CF9AE}" pid="3" name="KSOProductBuildVer">
    <vt:lpwstr>1033-12.2.0.21546</vt:lpwstr>
  </property>
</Properties>
</file>