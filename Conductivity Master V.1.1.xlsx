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65d6d73070849b/Desktop/Master Excel Budget Ketidakpastian/Conductivity/"/>
    </mc:Choice>
  </mc:AlternateContent>
  <xr:revisionPtr revIDLastSave="1" documentId="13_ncr:1_{A8FB6C5E-AAEB-4129-B005-69D82AF3FD5F}" xr6:coauthVersionLast="47" xr6:coauthVersionMax="47" xr10:uidLastSave="{1110C8E6-8359-4D9F-8880-28024F1A4EB7}"/>
  <bookViews>
    <workbookView minimized="1" xWindow="16932" yWindow="7632" windowWidth="7500" windowHeight="6000" tabRatio="688" xr2:uid="{8B01FF25-9B24-40B8-8E4E-F51E308EEEB3}"/>
  </bookViews>
  <sheets>
    <sheet name="Sertifikat" sheetId="5" r:id="rId1"/>
    <sheet name="Budget conducti  meter" sheetId="1" r:id="rId2"/>
    <sheet name="Sheet1" sheetId="6" r:id="rId3"/>
  </sheets>
  <definedNames>
    <definedName name="_xlnm.Print_Area" localSheetId="0">Sertifikat!$A$1:$K$101</definedName>
    <definedName name="se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5" l="1"/>
  <c r="F27" i="5"/>
  <c r="D93" i="5" l="1"/>
  <c r="D92" i="5"/>
  <c r="E35" i="1"/>
  <c r="E53" i="1"/>
  <c r="H20" i="1"/>
  <c r="G25" i="1"/>
  <c r="F25" i="1"/>
  <c r="E25" i="1"/>
  <c r="D25" i="1"/>
  <c r="C25" i="1"/>
  <c r="K29" i="1"/>
  <c r="K30" i="1" s="1"/>
  <c r="K24" i="1"/>
  <c r="K23" i="1" s="1"/>
  <c r="K19" i="1"/>
  <c r="K18" i="1" s="1"/>
  <c r="H70" i="5"/>
  <c r="K20" i="1" l="1"/>
  <c r="K25" i="1"/>
  <c r="K28" i="1"/>
  <c r="F28" i="5"/>
  <c r="O61" i="1"/>
  <c r="O60" i="1"/>
  <c r="O58" i="1"/>
  <c r="O57" i="1"/>
  <c r="O56" i="1"/>
  <c r="O55" i="1"/>
  <c r="O54" i="1"/>
  <c r="H71" i="5"/>
  <c r="D19" i="6" l="1"/>
  <c r="C19" i="6"/>
  <c r="D15" i="6"/>
  <c r="D16" i="6"/>
  <c r="D17" i="6"/>
  <c r="D18" i="6"/>
  <c r="D9" i="6" l="1"/>
  <c r="D10" i="6"/>
  <c r="D3" i="6"/>
  <c r="D4" i="6"/>
  <c r="D5" i="6"/>
  <c r="D6" i="6"/>
  <c r="D7" i="6"/>
  <c r="D8" i="6"/>
  <c r="S23" i="1"/>
  <c r="S24" i="1"/>
  <c r="S25" i="1"/>
  <c r="S26" i="1"/>
  <c r="S21" i="1"/>
  <c r="L30" i="1" l="1"/>
  <c r="L25" i="1"/>
  <c r="L20" i="1"/>
  <c r="L18" i="1"/>
  <c r="L23" i="1"/>
  <c r="L28" i="1"/>
  <c r="H25" i="1"/>
  <c r="H30" i="1"/>
  <c r="D42" i="1"/>
  <c r="I20" i="1" l="1"/>
  <c r="D35" i="5"/>
  <c r="E36" i="1"/>
  <c r="D45" i="1" s="1"/>
  <c r="H6" i="1" l="1"/>
  <c r="G6" i="1"/>
  <c r="G7" i="1" s="1"/>
  <c r="D82" i="5"/>
  <c r="D83" i="5"/>
  <c r="D76" i="5"/>
  <c r="D33" i="5"/>
  <c r="D80" i="5"/>
  <c r="D78" i="5"/>
  <c r="D21" i="5"/>
  <c r="D19" i="5"/>
  <c r="D77" i="5"/>
  <c r="D75" i="5"/>
  <c r="D79" i="5"/>
  <c r="H9" i="1" l="1"/>
  <c r="H7" i="1"/>
  <c r="G9" i="1"/>
  <c r="G10" i="1" s="1"/>
  <c r="G11" i="1" l="1"/>
  <c r="I81" i="5" s="1"/>
  <c r="H8" i="1"/>
  <c r="H10" i="1" s="1"/>
  <c r="H11" i="1" s="1"/>
  <c r="H83" i="1"/>
  <c r="D83" i="1"/>
  <c r="G83" i="1" s="1"/>
  <c r="R82" i="1"/>
  <c r="Q82" i="1"/>
  <c r="E82" i="1"/>
  <c r="E81" i="1"/>
  <c r="R80" i="1"/>
  <c r="Q80" i="1"/>
  <c r="D80" i="1"/>
  <c r="G80" i="1" s="1"/>
  <c r="I80" i="1" s="1"/>
  <c r="Q79" i="1"/>
  <c r="E79" i="1"/>
  <c r="B74" i="1"/>
  <c r="D82" i="1" s="1"/>
  <c r="H63" i="1"/>
  <c r="D63" i="1"/>
  <c r="G63" i="1" s="1"/>
  <c r="R62" i="1"/>
  <c r="E62" i="1"/>
  <c r="Q61" i="1"/>
  <c r="E61" i="1"/>
  <c r="D60" i="1"/>
  <c r="G60" i="1" s="1"/>
  <c r="I60" i="1" s="1"/>
  <c r="E59" i="1"/>
  <c r="B55" i="1"/>
  <c r="D62" i="1" s="1"/>
  <c r="H45" i="1"/>
  <c r="R44" i="1"/>
  <c r="E44" i="1"/>
  <c r="Q43" i="1"/>
  <c r="E43" i="1"/>
  <c r="G42" i="1"/>
  <c r="I42" i="1" s="1"/>
  <c r="E41" i="1"/>
  <c r="B37" i="1"/>
  <c r="D44" i="1" s="1"/>
  <c r="I30" i="1"/>
  <c r="D79" i="1" s="1"/>
  <c r="I25" i="1"/>
  <c r="D59" i="1" s="1"/>
  <c r="D41" i="1"/>
  <c r="S22" i="1"/>
  <c r="S20" i="1"/>
  <c r="I82" i="5" l="1"/>
  <c r="L19" i="1"/>
  <c r="B20" i="1" s="1"/>
  <c r="G59" i="1"/>
  <c r="I59" i="1" s="1"/>
  <c r="J59" i="1" s="1"/>
  <c r="G79" i="1"/>
  <c r="I79" i="1" s="1"/>
  <c r="K79" i="1" s="1"/>
  <c r="G44" i="1"/>
  <c r="I44" i="1" s="1"/>
  <c r="K44" i="1" s="1"/>
  <c r="G62" i="1"/>
  <c r="I62" i="1" s="1"/>
  <c r="K62" i="1" s="1"/>
  <c r="I83" i="1"/>
  <c r="K83" i="1" s="1"/>
  <c r="K42" i="1"/>
  <c r="J42" i="1"/>
  <c r="K60" i="1"/>
  <c r="J60" i="1"/>
  <c r="I63" i="1"/>
  <c r="K63" i="1" s="1"/>
  <c r="G82" i="1"/>
  <c r="I82" i="1" s="1"/>
  <c r="J82" i="1" s="1"/>
  <c r="G41" i="1"/>
  <c r="I41" i="1" s="1"/>
  <c r="K41" i="1" s="1"/>
  <c r="K80" i="1"/>
  <c r="J80" i="1"/>
  <c r="L24" i="1" l="1"/>
  <c r="B25" i="1" s="1"/>
  <c r="Q41" i="1"/>
  <c r="K59" i="1"/>
  <c r="J44" i="1"/>
  <c r="J62" i="1"/>
  <c r="J83" i="1"/>
  <c r="N19" i="1"/>
  <c r="J79" i="1"/>
  <c r="K82" i="1"/>
  <c r="J63" i="1"/>
  <c r="L29" i="1"/>
  <c r="J41" i="1"/>
  <c r="Q40" i="1" l="1"/>
  <c r="R40" i="1" s="1"/>
  <c r="N24" i="1"/>
  <c r="Q42" i="1"/>
  <c r="R42" i="1" s="1"/>
  <c r="Q45" i="1"/>
  <c r="R45" i="1" s="1"/>
  <c r="N29" i="1"/>
  <c r="B30" i="1"/>
  <c r="Q81" i="1" s="1"/>
  <c r="R81" i="1" s="1"/>
  <c r="G45" i="1"/>
  <c r="I45" i="1" s="1"/>
  <c r="Q63" i="1"/>
  <c r="R63" i="1" s="1"/>
  <c r="Q59" i="1"/>
  <c r="Q60" i="1" l="1"/>
  <c r="R60" i="1" s="1"/>
  <c r="Q58" i="1"/>
  <c r="R58" i="1" s="1"/>
  <c r="R41" i="1"/>
  <c r="Q77" i="1"/>
  <c r="K45" i="1"/>
  <c r="J45" i="1"/>
  <c r="D43" i="1" l="1"/>
  <c r="G43" i="1" s="1"/>
  <c r="I43" i="1" s="1"/>
  <c r="H35" i="1"/>
  <c r="J20" i="1"/>
  <c r="F92" i="5" s="1"/>
  <c r="Q78" i="1"/>
  <c r="R78" i="1" s="1"/>
  <c r="Q76" i="1"/>
  <c r="R76" i="1" s="1"/>
  <c r="R59" i="1"/>
  <c r="H53" i="1" l="1"/>
  <c r="J25" i="1"/>
  <c r="F93" i="5" s="1"/>
  <c r="D61" i="1"/>
  <c r="G61" i="1" s="1"/>
  <c r="I61" i="1" s="1"/>
  <c r="R77" i="1"/>
  <c r="K43" i="1"/>
  <c r="K46" i="1" s="1"/>
  <c r="J43" i="1"/>
  <c r="J46" i="1" s="1"/>
  <c r="J47" i="1" s="1"/>
  <c r="J48" i="1" l="1"/>
  <c r="J49" i="1" s="1"/>
  <c r="J50" i="1" s="1"/>
  <c r="H92" i="5" s="1"/>
  <c r="H72" i="1"/>
  <c r="J30" i="1"/>
  <c r="D81" i="1"/>
  <c r="G81" i="1" s="1"/>
  <c r="I81" i="1" s="1"/>
  <c r="K61" i="1"/>
  <c r="K64" i="1" s="1"/>
  <c r="J61" i="1"/>
  <c r="J64" i="1" s="1"/>
  <c r="J65" i="1" s="1"/>
  <c r="J66" i="1" s="1"/>
  <c r="J67" i="1" s="1"/>
  <c r="J68" i="1" s="1"/>
  <c r="H93" i="5" s="1"/>
  <c r="J81" i="1" l="1"/>
  <c r="J84" i="1" s="1"/>
  <c r="J85" i="1" s="1"/>
  <c r="K81" i="1"/>
  <c r="K84" i="1" s="1"/>
  <c r="J86" i="1" l="1"/>
  <c r="J87" i="1" s="1"/>
  <c r="J8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7" authorId="0" shapeId="0" xr:uid="{1DE49D60-9CAC-4053-97CA-DF4A7A9957A5}">
      <text>
        <r>
          <rPr>
            <sz val="10"/>
            <color rgb="FF000000"/>
            <rFont val="Calibri"/>
            <family val="2"/>
            <scheme val="minor"/>
          </rPr>
          <t>======
ID#AAAAbDpvZiU
myprawira    (2022-01-31 08:33:03)
Termometer digital</t>
        </r>
      </text>
    </comment>
    <comment ref="E36" authorId="0" shapeId="0" xr:uid="{4BFD7540-F5D3-4B1D-BAD9-FC2EF59E0D91}">
      <text>
        <r>
          <rPr>
            <sz val="10"/>
            <color rgb="FF000000"/>
            <rFont val="Calibri"/>
            <family val="2"/>
            <scheme val="minor"/>
          </rPr>
          <t>======
ID#AAAAbDpvZgo
myprawira    (2022-01-31 08:33:03)
dikonversi ke pH</t>
        </r>
      </text>
    </comment>
    <comment ref="D43" authorId="0" shapeId="0" xr:uid="{6E965C91-2A17-46CA-9322-A01F21FDA7FA}">
      <text>
        <r>
          <rPr>
            <sz val="10"/>
            <color rgb="FF000000"/>
            <rFont val="Calibri"/>
            <family val="2"/>
            <scheme val="minor"/>
          </rPr>
          <t>======
ID#AAAAbDpvZf0
Lab Gaya    (2022-01-31 08:33:03)
memasukkan pengaruh perbedaan temperatur pada perhitungan ketidakpastian 
untuk menutup temuan no.29</t>
        </r>
      </text>
    </comment>
    <comment ref="H83" authorId="0" shapeId="0" xr:uid="{F0046C0D-FD47-4361-BC0D-41FAEC1D2C44}">
      <text>
        <r>
          <rPr>
            <sz val="10"/>
            <color rgb="FF000000"/>
            <rFont val="Calibri"/>
            <family val="2"/>
            <scheme val="minor"/>
          </rPr>
          <t>======
ID#AAAAbDpvZho
myprawira    (2022-01-31 08:33:03)
temperatur pengaruh ketidakpastian
perubahan pH disebabkan suhu</t>
        </r>
      </text>
    </comment>
  </commentList>
</comments>
</file>

<file path=xl/sharedStrings.xml><?xml version="1.0" encoding="utf-8"?>
<sst xmlns="http://schemas.openxmlformats.org/spreadsheetml/2006/main" count="288" uniqueCount="169">
  <si>
    <t>data kalibrasi</t>
  </si>
  <si>
    <t>pembacaan alat</t>
  </si>
  <si>
    <t>koreksi</t>
  </si>
  <si>
    <t>pembacaan alat terkoreksi</t>
  </si>
  <si>
    <t xml:space="preserve">no seri </t>
  </si>
  <si>
    <t>°C</t>
  </si>
  <si>
    <t>kapasitas/resolusi</t>
  </si>
  <si>
    <t>/</t>
  </si>
  <si>
    <r>
      <rPr>
        <sz val="10"/>
        <color rgb="FF000000"/>
        <rFont val="Calibri"/>
        <family val="2"/>
      </rPr>
      <t>°</t>
    </r>
    <r>
      <rPr>
        <sz val="10"/>
        <color rgb="FF000000"/>
        <rFont val="Arial"/>
        <family val="2"/>
      </rPr>
      <t>C</t>
    </r>
  </si>
  <si>
    <t>suhu buffer</t>
  </si>
  <si>
    <t>koreksi temperatur</t>
  </si>
  <si>
    <t>buffer standar</t>
  </si>
  <si>
    <t xml:space="preserve">suhu °C </t>
  </si>
  <si>
    <t>stdev</t>
  </si>
  <si>
    <t>standar terkoreksi</t>
  </si>
  <si>
    <t>X1</t>
  </si>
  <si>
    <t>X2</t>
  </si>
  <si>
    <t>X3</t>
  </si>
  <si>
    <t>X4</t>
  </si>
  <si>
    <t>X5</t>
  </si>
  <si>
    <t>X rata</t>
  </si>
  <si>
    <t>St. deviasi</t>
  </si>
  <si>
    <t>U sertifikat</t>
  </si>
  <si>
    <t>Koreksi</t>
  </si>
  <si>
    <r>
      <rPr>
        <sz val="10"/>
        <color rgb="FF000000"/>
        <rFont val="Arial"/>
        <family val="2"/>
      </rPr>
      <t xml:space="preserve">temperatur </t>
    </r>
    <r>
      <rPr>
        <sz val="10"/>
        <color rgb="FF000000"/>
        <rFont val="Calibri"/>
        <family val="2"/>
      </rPr>
      <t>°</t>
    </r>
    <r>
      <rPr>
        <sz val="10"/>
        <color rgb="FF000000"/>
        <rFont val="Arial"/>
        <family val="2"/>
      </rPr>
      <t>C</t>
    </r>
  </si>
  <si>
    <r>
      <rPr>
        <sz val="10"/>
        <color rgb="FF000000"/>
        <rFont val="Calibri"/>
        <family val="2"/>
      </rPr>
      <t>Δ</t>
    </r>
    <r>
      <rPr>
        <sz val="10"/>
        <color rgb="FF000000"/>
        <rFont val="Arial"/>
        <family val="2"/>
      </rPr>
      <t>PH</t>
    </r>
  </si>
  <si>
    <t>U sertifikat thermometer</t>
  </si>
  <si>
    <t>Skala terkecil alat</t>
  </si>
  <si>
    <t>Koreksi temperatur</t>
  </si>
  <si>
    <t>Komponen</t>
  </si>
  <si>
    <t>Satuan</t>
  </si>
  <si>
    <t>Distribusi</t>
  </si>
  <si>
    <t>U</t>
  </si>
  <si>
    <t>Pembagi</t>
  </si>
  <si>
    <t>vi</t>
  </si>
  <si>
    <t>ui</t>
  </si>
  <si>
    <t>ci</t>
  </si>
  <si>
    <t>uici</t>
  </si>
  <si>
    <r>
      <rPr>
        <b/>
        <sz val="10"/>
        <color rgb="FF000000"/>
        <rFont val="Times New Roman"/>
        <family val="1"/>
      </rPr>
      <t>(uici)</t>
    </r>
    <r>
      <rPr>
        <b/>
        <vertAlign val="superscript"/>
        <sz val="10"/>
        <color rgb="FF000000"/>
        <rFont val="Times New Roman"/>
        <family val="1"/>
      </rPr>
      <t>2</t>
    </r>
  </si>
  <si>
    <r>
      <rPr>
        <b/>
        <sz val="10"/>
        <color rgb="FF000000"/>
        <rFont val="Times New Roman"/>
        <family val="1"/>
      </rPr>
      <t>(uici)</t>
    </r>
    <r>
      <rPr>
        <b/>
        <vertAlign val="superscript"/>
        <sz val="10"/>
        <color rgb="FF000000"/>
        <rFont val="Times New Roman"/>
        <family val="1"/>
      </rPr>
      <t>4</t>
    </r>
    <r>
      <rPr>
        <b/>
        <sz val="10"/>
        <color rgb="FF000000"/>
        <rFont val="Times New Roman"/>
        <family val="1"/>
      </rPr>
      <t>/vi</t>
    </r>
  </si>
  <si>
    <t>Repeatability</t>
  </si>
  <si>
    <t>Normal</t>
  </si>
  <si>
    <t>Larutan Buffer</t>
  </si>
  <si>
    <t>t-student</t>
  </si>
  <si>
    <r>
      <rPr>
        <sz val="10"/>
        <color rgb="FF000000"/>
        <rFont val="Times New Roman"/>
        <family val="1"/>
      </rPr>
      <t xml:space="preserve">Koreksi pengaruh </t>
    </r>
    <r>
      <rPr>
        <sz val="10"/>
        <color rgb="FF000000"/>
        <rFont val="Calibri"/>
        <family val="2"/>
      </rPr>
      <t>ΔT</t>
    </r>
  </si>
  <si>
    <t>Rect</t>
  </si>
  <si>
    <t>Readability</t>
  </si>
  <si>
    <t>Pengaruh ketidakpastian Termometer digital</t>
  </si>
  <si>
    <t>oC</t>
  </si>
  <si>
    <t>Sums</t>
  </si>
  <si>
    <t>Ketidakpastian baku gabungan, uc, Unit</t>
  </si>
  <si>
    <t>Dearajat kebebasan efektif, veff</t>
  </si>
  <si>
    <t>Faktor cakupan, k-student for veff and CL 95%</t>
  </si>
  <si>
    <t>Ketidakpastian bentangan, U = kuc, Unit</t>
  </si>
  <si>
    <t>Usertifikat ph</t>
  </si>
  <si>
    <t>usertifikat thermometer</t>
  </si>
  <si>
    <t>Usertifikat</t>
  </si>
  <si>
    <t>Usertifikat thermometer digital</t>
  </si>
  <si>
    <t>S E R T I F I K A T    K A L I B R A S I</t>
  </si>
  <si>
    <t>C A L I B R A T I O N    C E R T I F I C A T E</t>
  </si>
  <si>
    <t>IDENTITAS ALAT</t>
  </si>
  <si>
    <t>INSTRUMENT DETAILS</t>
  </si>
  <si>
    <t>Nama Alat</t>
  </si>
  <si>
    <r>
      <t>Instrument Name</t>
    </r>
    <r>
      <rPr>
        <sz val="11"/>
        <color rgb="FF000000"/>
        <rFont val="Bookman Old Style"/>
        <family val="1"/>
      </rPr>
      <t xml:space="preserve"> </t>
    </r>
  </si>
  <si>
    <r>
      <t>Merek</t>
    </r>
    <r>
      <rPr>
        <i/>
        <sz val="8"/>
        <color rgb="FF000000"/>
        <rFont val="Bookman Old Style"/>
        <family val="1"/>
      </rPr>
      <t xml:space="preserve"> </t>
    </r>
  </si>
  <si>
    <t>Brand</t>
  </si>
  <si>
    <t>Tipe</t>
  </si>
  <si>
    <t xml:space="preserve">Type </t>
  </si>
  <si>
    <t>Nomor Identifikasi</t>
  </si>
  <si>
    <t>: -</t>
  </si>
  <si>
    <t>Identification Number</t>
  </si>
  <si>
    <t xml:space="preserve">Nomor Seri </t>
  </si>
  <si>
    <t>Serial Number</t>
  </si>
  <si>
    <t>Lain-lain</t>
  </si>
  <si>
    <t xml:space="preserve">: Kapasitas </t>
  </si>
  <si>
    <t>Others</t>
  </si>
  <si>
    <t xml:space="preserve">  Kecermatan </t>
  </si>
  <si>
    <t>IDENTITAS PEMILIK</t>
  </si>
  <si>
    <t>Owner’s Identification</t>
  </si>
  <si>
    <r>
      <t>Nama</t>
    </r>
    <r>
      <rPr>
        <i/>
        <sz val="8"/>
        <color rgb="FF000000"/>
        <rFont val="Bookman Old Style"/>
        <family val="1"/>
      </rPr>
      <t xml:space="preserve"> </t>
    </r>
  </si>
  <si>
    <t>Designation</t>
  </si>
  <si>
    <r>
      <t>Alamat</t>
    </r>
    <r>
      <rPr>
        <i/>
        <sz val="8"/>
        <color rgb="FF000000"/>
        <rFont val="Bookman Old Style"/>
        <family val="1"/>
      </rPr>
      <t xml:space="preserve"> </t>
    </r>
  </si>
  <si>
    <t>Address</t>
  </si>
  <si>
    <t>Halaman 1 dari 2 halaman</t>
  </si>
  <si>
    <t>Page          of            page</t>
  </si>
  <si>
    <t>Date of Issue</t>
  </si>
  <si>
    <t>Nomor</t>
  </si>
  <si>
    <t>No. Order</t>
  </si>
  <si>
    <t>Halaman</t>
  </si>
  <si>
    <t>: 2 dari 2</t>
  </si>
  <si>
    <t>SPESIFIKASI ALAT</t>
  </si>
  <si>
    <t>Nama</t>
  </si>
  <si>
    <t>Merk / Tipe</t>
  </si>
  <si>
    <t xml:space="preserve">No. Identifikasi </t>
  </si>
  <si>
    <t>No. Seri</t>
  </si>
  <si>
    <t xml:space="preserve">Kapasitas </t>
  </si>
  <si>
    <t>Kecermatan</t>
  </si>
  <si>
    <t>Kondisi ruang</t>
  </si>
  <si>
    <t>Prosedur Kalibrasi</t>
  </si>
  <si>
    <t>Temperatur</t>
  </si>
  <si>
    <t>Tanggal Terima</t>
  </si>
  <si>
    <t>Kelembaban relatif</t>
  </si>
  <si>
    <t>Tanggal Kalibrasi</t>
  </si>
  <si>
    <t>Lokasi Alat</t>
  </si>
  <si>
    <t>HASIL KALIBRASI</t>
  </si>
  <si>
    <t xml:space="preserve">Catatan   : </t>
  </si>
  <si>
    <t>merk</t>
  </si>
  <si>
    <t>no. order</t>
  </si>
  <si>
    <t>tanggal kalibrasi</t>
  </si>
  <si>
    <t>tanggal terima</t>
  </si>
  <si>
    <t>Pemilik</t>
  </si>
  <si>
    <t>No.</t>
  </si>
  <si>
    <t>Awal</t>
  </si>
  <si>
    <t>Akhir</t>
  </si>
  <si>
    <t>%RH</t>
  </si>
  <si>
    <t>Rata2</t>
  </si>
  <si>
    <t>Koreksi suhu</t>
  </si>
  <si>
    <t xml:space="preserve">Koreksi RH </t>
  </si>
  <si>
    <t>Terkoreksi</t>
  </si>
  <si>
    <t>U95</t>
  </si>
  <si>
    <t>Fluktuasi suhu</t>
  </si>
  <si>
    <t>Flu+U95</t>
  </si>
  <si>
    <t>Kondisi Ruang</t>
  </si>
  <si>
    <t>T (°C)</t>
  </si>
  <si>
    <t xml:space="preserve">Koreksi  </t>
  </si>
  <si>
    <t>RH (%)</t>
  </si>
  <si>
    <t>Thermohygro Beureur data 2025</t>
  </si>
  <si>
    <r>
      <t>Suhu (</t>
    </r>
    <r>
      <rPr>
        <sz val="10"/>
        <color rgb="FF000000"/>
        <rFont val="Calibri"/>
        <family val="2"/>
      </rPr>
      <t>°</t>
    </r>
    <r>
      <rPr>
        <sz val="8.5"/>
        <color rgb="FF000000"/>
        <rFont val="Calibri"/>
        <family val="2"/>
      </rPr>
      <t>C)</t>
    </r>
  </si>
  <si>
    <t>Nilai koreksi termometer digital tahun 2025</t>
  </si>
  <si>
    <t xml:space="preserve">Alamat </t>
  </si>
  <si>
    <t xml:space="preserve">Δconductivity </t>
  </si>
  <si>
    <t>COND 1413 𝜇S/cm</t>
  </si>
  <si>
    <t>COND 84 𝜇S/cm</t>
  </si>
  <si>
    <t>1413 𝜇S/cm</t>
  </si>
  <si>
    <t>12,88 mS/cm</t>
  </si>
  <si>
    <t>84 𝜇S/cm</t>
  </si>
  <si>
    <t>Δcond (𝜇S/cm)</t>
  </si>
  <si>
    <t>Δcond</t>
  </si>
  <si>
    <t>COND 12880 𝜇S/cm</t>
  </si>
  <si>
    <t>𝜇S/cm</t>
  </si>
  <si>
    <t>Penguji Mutu Barang Ahli Madya,</t>
  </si>
  <si>
    <t>Elis Sofianti</t>
  </si>
  <si>
    <t>NIP. 197109301994032002</t>
  </si>
  <si>
    <t xml:space="preserve">𝜇S/cm </t>
  </si>
  <si>
    <r>
      <t>Ketidakpastian U</t>
    </r>
    <r>
      <rPr>
        <b/>
        <vertAlign val="subscript"/>
        <sz val="11"/>
        <color theme="1"/>
        <rFont val="Bookman Old Style"/>
        <family val="1"/>
      </rPr>
      <t>95</t>
    </r>
    <r>
      <rPr>
        <b/>
        <sz val="11"/>
        <color theme="1"/>
        <rFont val="Bookman Old Style"/>
        <family val="1"/>
      </rPr>
      <t xml:space="preserve">% (k=2)
(" micro"S/cm) </t>
    </r>
  </si>
  <si>
    <t>( 𝜇S/cm)</t>
  </si>
  <si>
    <t xml:space="preserve">Koreksi 
</t>
  </si>
  <si>
    <t xml:space="preserve">Nominal 
</t>
  </si>
  <si>
    <t xml:space="preserve">: Conductivity Meter </t>
  </si>
  <si>
    <t>Diterbitkan Tanggal 16 Desember 2025</t>
  </si>
  <si>
    <t xml:space="preserve">-  Alat ini dikalibrasi dengan larutan standar Mettler Toledo 1413 𝜇S/cm Product No. 51350092, </t>
  </si>
  <si>
    <t>: Lab. Kalibrasi Instrumen Analitik BBSPJILM</t>
  </si>
  <si>
    <t>: IK-K-04-KM-11</t>
  </si>
  <si>
    <t xml:space="preserve">   SI melalui DAkkS.</t>
  </si>
  <si>
    <t>Suhu Awal</t>
  </si>
  <si>
    <t xml:space="preserve">Suhu Akhir </t>
  </si>
  <si>
    <t xml:space="preserve">25 November 2025 </t>
  </si>
  <si>
    <t>1 Desember 2025</t>
  </si>
  <si>
    <t>UPTD. Laboratorium Lingkungan Hidup, DLH Jawa Barat</t>
  </si>
  <si>
    <t>Thermo Scientific</t>
  </si>
  <si>
    <t>Orion Star A325</t>
  </si>
  <si>
    <t>-</t>
  </si>
  <si>
    <t>G13040</t>
  </si>
  <si>
    <t>no Id</t>
  </si>
  <si>
    <t>K663-3</t>
  </si>
  <si>
    <r>
      <t xml:space="preserve">Nomor / </t>
    </r>
    <r>
      <rPr>
        <i/>
        <sz val="11"/>
        <color rgb="FF000000"/>
        <rFont val="Bookman Old Style"/>
        <family val="1"/>
      </rPr>
      <t xml:space="preserve">Number </t>
    </r>
    <r>
      <rPr>
        <sz val="11"/>
        <color rgb="FF000000"/>
        <rFont val="Bookman Old Style"/>
        <family val="1"/>
      </rPr>
      <t>: 0064-7.4/KALIBRASI BBLM/XII/2025</t>
    </r>
  </si>
  <si>
    <t>Jl. A. H. Nasution No. 117, Pasir Endah, Kec. Ujung Berung, Bandung 40619</t>
  </si>
  <si>
    <t>0,001 𝜇S/cm  -  3000 mS/cm</t>
  </si>
  <si>
    <t xml:space="preserve">   51350096; dan 12,88 mS/cm Product No 51350094, 51350098 yang tertelusur 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</si>
</sst>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0.0000000000"/>
  </numFmts>
  <fonts count="36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8"/>
      <color rgb="FF000000"/>
      <name val="Bookman Old Style"/>
      <family val="1"/>
    </font>
    <font>
      <b/>
      <i/>
      <sz val="14"/>
      <color rgb="FF000000"/>
      <name val="Bookman Old Style"/>
      <family val="1"/>
    </font>
    <font>
      <sz val="11"/>
      <color rgb="FF000000"/>
      <name val="Bookman Old Style"/>
      <family val="1"/>
    </font>
    <font>
      <i/>
      <sz val="11"/>
      <color rgb="FF000000"/>
      <name val="Bookman Old Style"/>
      <family val="1"/>
    </font>
    <font>
      <b/>
      <u/>
      <sz val="11"/>
      <name val="Bookman Old Style"/>
      <family val="1"/>
    </font>
    <font>
      <b/>
      <i/>
      <sz val="8"/>
      <name val="Bookman Old Style"/>
      <family val="1"/>
    </font>
    <font>
      <i/>
      <sz val="8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b/>
      <i/>
      <sz val="8"/>
      <color rgb="FF000000"/>
      <name val="Bookman Old Style"/>
      <family val="1"/>
    </font>
    <font>
      <sz val="11"/>
      <color rgb="FF000000"/>
      <name val="Calibri"/>
      <family val="2"/>
    </font>
    <font>
      <sz val="12"/>
      <name val="Times New Roman"/>
      <family val="1"/>
    </font>
    <font>
      <b/>
      <sz val="11"/>
      <color rgb="FF000000"/>
      <name val="Bookman Old Style"/>
      <family val="1"/>
    </font>
    <font>
      <sz val="11"/>
      <name val="Bookman Old Style"/>
      <family val="1"/>
    </font>
    <font>
      <sz val="10"/>
      <color rgb="FF000000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vertAlign val="subscript"/>
      <sz val="11"/>
      <color theme="1"/>
      <name val="Bookman Old Style"/>
      <family val="1"/>
    </font>
    <font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0"/>
      <color rgb="FF000000"/>
      <name val="Calibri"/>
      <family val="2"/>
      <scheme val="minor"/>
    </font>
    <font>
      <sz val="8.5"/>
      <color rgb="FF000000"/>
      <name val="Calibri"/>
      <family val="2"/>
    </font>
    <font>
      <b/>
      <sz val="1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2" fillId="0" borderId="0">
      <alignment vertical="center"/>
    </xf>
    <xf numFmtId="0" fontId="1" fillId="0" borderId="0"/>
  </cellStyleXfs>
  <cellXfs count="128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2" fontId="3" fillId="0" borderId="4" xfId="0" applyNumberFormat="1" applyFont="1" applyBorder="1"/>
    <xf numFmtId="165" fontId="3" fillId="0" borderId="4" xfId="0" applyNumberFormat="1" applyFont="1" applyBorder="1"/>
    <xf numFmtId="0" fontId="7" fillId="0" borderId="0" xfId="0" applyFont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wrapText="1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10" fillId="0" borderId="6" xfId="0" applyFont="1" applyBorder="1"/>
    <xf numFmtId="0" fontId="10" fillId="0" borderId="6" xfId="0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0" fontId="10" fillId="0" borderId="8" xfId="0" applyFont="1" applyBorder="1" applyAlignment="1">
      <alignment horizontal="center"/>
    </xf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4" xfId="0" applyFont="1" applyBorder="1" applyAlignment="1">
      <alignment horizontal="center"/>
    </xf>
    <xf numFmtId="0" fontId="10" fillId="0" borderId="15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7" xfId="0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4" fontId="10" fillId="0" borderId="2" xfId="0" applyNumberFormat="1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6" fontId="10" fillId="0" borderId="2" xfId="0" applyNumberFormat="1" applyFont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0" fontId="3" fillId="0" borderId="19" xfId="0" applyFont="1" applyBorder="1"/>
    <xf numFmtId="0" fontId="12" fillId="0" borderId="0" xfId="1">
      <alignment vertical="center"/>
    </xf>
    <xf numFmtId="0" fontId="13" fillId="0" borderId="0" xfId="1" applyFont="1">
      <alignment vertical="center"/>
    </xf>
    <xf numFmtId="0" fontId="16" fillId="0" borderId="0" xfId="1" applyFont="1">
      <alignment vertical="center"/>
    </xf>
    <xf numFmtId="0" fontId="18" fillId="0" borderId="0" xfId="1" applyFont="1">
      <alignment vertical="center"/>
    </xf>
    <xf numFmtId="0" fontId="12" fillId="0" borderId="0" xfId="1" applyAlignment="1">
      <alignment vertical="center" wrapText="1"/>
    </xf>
    <xf numFmtId="0" fontId="19" fillId="0" borderId="0" xfId="1" applyFont="1">
      <alignment vertical="center"/>
    </xf>
    <xf numFmtId="0" fontId="20" fillId="0" borderId="0" xfId="1" applyFont="1">
      <alignment vertical="center"/>
    </xf>
    <xf numFmtId="0" fontId="16" fillId="0" borderId="0" xfId="1" applyFont="1" applyAlignment="1">
      <alignment horizontal="justify" vertical="center"/>
    </xf>
    <xf numFmtId="0" fontId="20" fillId="0" borderId="0" xfId="1" applyFont="1" applyAlignment="1">
      <alignment horizontal="justify" vertical="center"/>
    </xf>
    <xf numFmtId="0" fontId="21" fillId="0" borderId="0" xfId="1" applyFont="1">
      <alignment vertical="center"/>
    </xf>
    <xf numFmtId="0" fontId="22" fillId="0" borderId="0" xfId="1" applyFont="1">
      <alignment vertical="center"/>
    </xf>
    <xf numFmtId="0" fontId="23" fillId="0" borderId="0" xfId="1" applyFont="1">
      <alignment vertical="center"/>
    </xf>
    <xf numFmtId="0" fontId="24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5" fillId="0" borderId="0" xfId="1" applyFont="1">
      <alignment vertical="center"/>
    </xf>
    <xf numFmtId="0" fontId="16" fillId="0" borderId="0" xfId="1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26" fillId="0" borderId="0" xfId="1" applyFont="1">
      <alignment vertical="center"/>
    </xf>
    <xf numFmtId="15" fontId="27" fillId="0" borderId="0" xfId="1" applyNumberFormat="1" applyFont="1">
      <alignment vertical="center"/>
    </xf>
    <xf numFmtId="0" fontId="26" fillId="0" borderId="0" xfId="1" quotePrefix="1" applyFont="1">
      <alignment vertical="center"/>
    </xf>
    <xf numFmtId="0" fontId="0" fillId="0" borderId="19" xfId="0" applyBorder="1"/>
    <xf numFmtId="0" fontId="3" fillId="0" borderId="19" xfId="0" applyFont="1" applyBorder="1" applyAlignment="1">
      <alignment wrapText="1"/>
    </xf>
    <xf numFmtId="1" fontId="28" fillId="0" borderId="19" xfId="2" applyNumberFormat="1" applyFont="1" applyBorder="1" applyAlignment="1">
      <alignment horizontal="center" vertical="center"/>
    </xf>
    <xf numFmtId="0" fontId="31" fillId="0" borderId="0" xfId="0" applyFont="1"/>
    <xf numFmtId="0" fontId="31" fillId="0" borderId="19" xfId="0" applyFont="1" applyBorder="1"/>
    <xf numFmtId="0" fontId="11" fillId="0" borderId="19" xfId="0" applyFont="1" applyBorder="1"/>
    <xf numFmtId="0" fontId="3" fillId="0" borderId="2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64" fontId="3" fillId="0" borderId="19" xfId="0" applyNumberFormat="1" applyFont="1" applyBorder="1"/>
    <xf numFmtId="0" fontId="3" fillId="0" borderId="29" xfId="0" applyFont="1" applyBorder="1" applyAlignment="1">
      <alignment horizontal="center"/>
    </xf>
    <xf numFmtId="164" fontId="3" fillId="0" borderId="29" xfId="0" applyNumberFormat="1" applyFont="1" applyBorder="1"/>
    <xf numFmtId="0" fontId="32" fillId="4" borderId="19" xfId="0" applyFont="1" applyFill="1" applyBorder="1"/>
    <xf numFmtId="0" fontId="31" fillId="0" borderId="19" xfId="0" applyFont="1" applyBorder="1" applyAlignment="1">
      <alignment horizontal="center"/>
    </xf>
    <xf numFmtId="0" fontId="33" fillId="0" borderId="0" xfId="0" applyFont="1"/>
    <xf numFmtId="1" fontId="3" fillId="0" borderId="19" xfId="0" applyNumberFormat="1" applyFont="1" applyBorder="1"/>
    <xf numFmtId="0" fontId="28" fillId="0" borderId="19" xfId="2" applyFont="1" applyBorder="1" applyAlignment="1">
      <alignment horizontal="center" vertical="center" wrapText="1"/>
    </xf>
    <xf numFmtId="0" fontId="3" fillId="3" borderId="19" xfId="0" applyFont="1" applyFill="1" applyBorder="1"/>
    <xf numFmtId="0" fontId="5" fillId="0" borderId="0" xfId="0" applyFont="1"/>
    <xf numFmtId="0" fontId="4" fillId="0" borderId="0" xfId="0" applyFont="1"/>
    <xf numFmtId="2" fontId="3" fillId="0" borderId="19" xfId="0" applyNumberFormat="1" applyFont="1" applyBorder="1"/>
    <xf numFmtId="0" fontId="0" fillId="3" borderId="30" xfId="0" applyFill="1" applyBorder="1"/>
    <xf numFmtId="0" fontId="0" fillId="3" borderId="31" xfId="0" applyFill="1" applyBorder="1"/>
    <xf numFmtId="0" fontId="0" fillId="3" borderId="32" xfId="0" applyFill="1" applyBorder="1"/>
    <xf numFmtId="49" fontId="3" fillId="3" borderId="19" xfId="0" applyNumberFormat="1" applyFont="1" applyFill="1" applyBorder="1"/>
    <xf numFmtId="0" fontId="4" fillId="0" borderId="19" xfId="0" applyFont="1" applyBorder="1" applyAlignment="1">
      <alignment horizontal="center"/>
    </xf>
    <xf numFmtId="0" fontId="31" fillId="3" borderId="19" xfId="0" applyFont="1" applyFill="1" applyBorder="1"/>
    <xf numFmtId="49" fontId="3" fillId="3" borderId="19" xfId="0" quotePrefix="1" applyNumberFormat="1" applyFont="1" applyFill="1" applyBorder="1"/>
    <xf numFmtId="0" fontId="12" fillId="0" borderId="0" xfId="1" applyAlignment="1">
      <alignment horizontal="left" vertical="center"/>
    </xf>
    <xf numFmtId="0" fontId="21" fillId="0" borderId="0" xfId="1" applyFont="1" applyAlignment="1">
      <alignment horizontal="left" vertical="center"/>
    </xf>
    <xf numFmtId="0" fontId="29" fillId="0" borderId="22" xfId="2" applyFont="1" applyBorder="1" applyAlignment="1">
      <alignment horizontal="center" vertical="center"/>
    </xf>
    <xf numFmtId="0" fontId="29" fillId="0" borderId="23" xfId="2" applyFont="1" applyBorder="1" applyAlignment="1">
      <alignment horizontal="center" vertical="center"/>
    </xf>
    <xf numFmtId="0" fontId="25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29" fillId="0" borderId="20" xfId="2" applyFont="1" applyBorder="1" applyAlignment="1">
      <alignment horizontal="center" vertical="center" wrapText="1"/>
    </xf>
    <xf numFmtId="0" fontId="29" fillId="0" borderId="21" xfId="2" applyFont="1" applyBorder="1" applyAlignment="1">
      <alignment horizontal="center" vertical="center" wrapText="1"/>
    </xf>
    <xf numFmtId="0" fontId="29" fillId="0" borderId="25" xfId="2" applyFont="1" applyBorder="1" applyAlignment="1">
      <alignment horizontal="center" vertical="center"/>
    </xf>
    <xf numFmtId="0" fontId="29" fillId="0" borderId="26" xfId="2" applyFont="1" applyBorder="1" applyAlignment="1">
      <alignment horizontal="center" vertical="center"/>
    </xf>
    <xf numFmtId="0" fontId="29" fillId="0" borderId="20" xfId="2" applyFont="1" applyBorder="1" applyAlignment="1">
      <alignment horizontal="center" wrapText="1"/>
    </xf>
    <xf numFmtId="0" fontId="29" fillId="0" borderId="21" xfId="2" applyFont="1" applyBorder="1" applyAlignment="1">
      <alignment horizontal="center" wrapText="1"/>
    </xf>
    <xf numFmtId="49" fontId="35" fillId="0" borderId="25" xfId="2" applyNumberFormat="1" applyFont="1" applyBorder="1" applyAlignment="1">
      <alignment horizontal="center" vertical="center"/>
    </xf>
    <xf numFmtId="49" fontId="35" fillId="0" borderId="26" xfId="2" applyNumberFormat="1" applyFont="1" applyBorder="1" applyAlignment="1">
      <alignment horizontal="center" vertical="center"/>
    </xf>
    <xf numFmtId="49" fontId="35" fillId="0" borderId="20" xfId="2" applyNumberFormat="1" applyFont="1" applyBorder="1" applyAlignment="1">
      <alignment horizontal="center" vertical="center" wrapText="1"/>
    </xf>
    <xf numFmtId="49" fontId="35" fillId="0" borderId="21" xfId="2" applyNumberFormat="1" applyFont="1" applyBorder="1" applyAlignment="1">
      <alignment horizontal="center" vertical="center"/>
    </xf>
    <xf numFmtId="1" fontId="28" fillId="0" borderId="24" xfId="2" applyNumberFormat="1" applyFont="1" applyBorder="1" applyAlignment="1">
      <alignment horizontal="center" vertical="center"/>
    </xf>
    <xf numFmtId="1" fontId="28" fillId="0" borderId="27" xfId="2" applyNumberFormat="1" applyFont="1" applyBorder="1" applyAlignment="1">
      <alignment horizontal="center" vertical="center"/>
    </xf>
    <xf numFmtId="167" fontId="28" fillId="0" borderId="24" xfId="2" applyNumberFormat="1" applyFont="1" applyBorder="1" applyAlignment="1">
      <alignment horizontal="center" vertical="center"/>
    </xf>
    <xf numFmtId="167" fontId="28" fillId="0" borderId="27" xfId="2" applyNumberFormat="1" applyFont="1" applyBorder="1" applyAlignment="1">
      <alignment horizontal="center" vertical="center"/>
    </xf>
    <xf numFmtId="1" fontId="26" fillId="0" borderId="24" xfId="2" applyNumberFormat="1" applyFont="1" applyBorder="1" applyAlignment="1">
      <alignment horizontal="center" vertical="center" wrapText="1"/>
    </xf>
    <xf numFmtId="1" fontId="26" fillId="0" borderId="27" xfId="2" applyNumberFormat="1" applyFont="1" applyBorder="1" applyAlignment="1">
      <alignment horizontal="center" vertical="center" wrapText="1"/>
    </xf>
    <xf numFmtId="0" fontId="3" fillId="0" borderId="19" xfId="0" applyFont="1" applyBorder="1"/>
    <xf numFmtId="0" fontId="6" fillId="0" borderId="19" xfId="0" applyFont="1" applyBorder="1"/>
    <xf numFmtId="0" fontId="3" fillId="0" borderId="2" xfId="0" applyFont="1" applyBorder="1"/>
    <xf numFmtId="0" fontId="6" fillId="0" borderId="2" xfId="0" applyFont="1" applyBorder="1"/>
    <xf numFmtId="0" fontId="6" fillId="0" borderId="3" xfId="0" applyFont="1" applyBorder="1"/>
    <xf numFmtId="0" fontId="3" fillId="0" borderId="1" xfId="0" applyFont="1" applyBorder="1"/>
  </cellXfs>
  <cellStyles count="3">
    <cellStyle name="Normal" xfId="0" builtinId="0"/>
    <cellStyle name="Normal 2" xfId="2" xr:uid="{60F3717D-2263-4829-93EE-6ADFB3CE6A4A}"/>
    <cellStyle name="Normal 3" xfId="1" xr:uid="{6DE6BE7D-915D-442E-BA89-97D4C33870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220980</xdr:colOff>
      <xdr:row>44</xdr:row>
      <xdr:rowOff>22860</xdr:rowOff>
    </xdr:from>
    <xdr:to>
      <xdr:col>4</xdr:col>
      <xdr:colOff>289560</xdr:colOff>
      <xdr:row>47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632E6F-0B18-FB7B-97F5-7F6F82E6E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" y="8328660"/>
          <a:ext cx="541020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170329</xdr:colOff>
      <xdr:row>27</xdr:row>
      <xdr:rowOff>125505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DD7A0B-69BB-77B6-C629-B364D7C40F34}"/>
            </a:ext>
          </a:extLst>
        </xdr:cNvPr>
        <xdr:cNvSpPr txBox="1"/>
      </xdr:nvSpPr>
      <xdr:spPr>
        <a:xfrm>
          <a:off x="7915835" y="39982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7285E-3A69-4D65-B839-7D4EFD549E70}">
  <sheetPr>
    <tabColor rgb="FFFFC000"/>
  </sheetPr>
  <dimension ref="A5:K123"/>
  <sheetViews>
    <sheetView showGridLines="0" tabSelected="1" view="pageBreakPreview" topLeftCell="A41" zoomScaleNormal="100" zoomScaleSheetLayoutView="100" zoomScalePageLayoutView="70" workbookViewId="0">
      <selection activeCell="F47" sqref="F47"/>
    </sheetView>
  </sheetViews>
  <sheetFormatPr defaultColWidth="9.109375" defaultRowHeight="14.4" x14ac:dyDescent="0.3"/>
  <cols>
    <col min="1" max="1" width="10.44140625" style="47" customWidth="1"/>
    <col min="2" max="3" width="10.33203125" style="47" customWidth="1"/>
    <col min="4" max="4" width="6.88671875" style="47" customWidth="1"/>
    <col min="5" max="5" width="13.21875" style="47" customWidth="1"/>
    <col min="6" max="6" width="9.109375" style="47"/>
    <col min="7" max="7" width="10.5546875" style="47" customWidth="1"/>
    <col min="8" max="8" width="10.88671875" style="47" customWidth="1"/>
    <col min="9" max="9" width="14.5546875" style="47" customWidth="1"/>
    <col min="10" max="16384" width="9.109375" style="47"/>
  </cols>
  <sheetData>
    <row r="5" spans="1:11" x14ac:dyDescent="0.3">
      <c r="B5" s="48"/>
    </row>
    <row r="6" spans="1:11" ht="25.2" customHeight="1" x14ac:dyDescent="0.3"/>
    <row r="7" spans="1:11" ht="22.8" x14ac:dyDescent="0.3">
      <c r="A7" s="104" t="s">
        <v>58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</row>
    <row r="8" spans="1:11" ht="18" x14ac:dyDescent="0.3">
      <c r="A8" s="105" t="s">
        <v>59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</row>
    <row r="9" spans="1:11" x14ac:dyDescent="0.3">
      <c r="A9" s="102" t="s">
        <v>165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</row>
    <row r="11" spans="1:11" x14ac:dyDescent="0.3">
      <c r="E11" s="48"/>
    </row>
    <row r="14" spans="1:11" x14ac:dyDescent="0.3">
      <c r="B14" s="50" t="s">
        <v>60</v>
      </c>
      <c r="C14" s="51"/>
      <c r="D14" s="51"/>
    </row>
    <row r="15" spans="1:11" x14ac:dyDescent="0.3">
      <c r="B15" s="52" t="s">
        <v>61</v>
      </c>
    </row>
    <row r="17" spans="2:6" x14ac:dyDescent="0.3">
      <c r="B17" s="49" t="s">
        <v>62</v>
      </c>
      <c r="D17" s="49" t="s">
        <v>148</v>
      </c>
      <c r="F17" s="49"/>
    </row>
    <row r="18" spans="2:6" x14ac:dyDescent="0.3">
      <c r="B18" s="53" t="s">
        <v>63</v>
      </c>
      <c r="D18" s="49"/>
      <c r="F18" s="49"/>
    </row>
    <row r="19" spans="2:6" x14ac:dyDescent="0.3">
      <c r="B19" s="54" t="s">
        <v>64</v>
      </c>
      <c r="D19" s="49" t="str">
        <f>CONCATENATE(":"," ",'Budget conducti  meter'!B7)</f>
        <v>: Thermo Scientific</v>
      </c>
      <c r="F19" s="49"/>
    </row>
    <row r="20" spans="2:6" x14ac:dyDescent="0.3">
      <c r="B20" s="55" t="s">
        <v>65</v>
      </c>
      <c r="D20" s="49"/>
      <c r="F20" s="49"/>
    </row>
    <row r="21" spans="2:6" x14ac:dyDescent="0.3">
      <c r="B21" s="54" t="s">
        <v>66</v>
      </c>
      <c r="D21" s="49" t="str">
        <f>CONCATENATE(":"," ",'Budget conducti  meter'!B8)</f>
        <v>: Orion Star A325</v>
      </c>
      <c r="F21" s="49"/>
    </row>
    <row r="22" spans="2:6" x14ac:dyDescent="0.3">
      <c r="B22" s="55" t="s">
        <v>67</v>
      </c>
      <c r="D22" s="49"/>
      <c r="F22" s="49"/>
    </row>
    <row r="23" spans="2:6" x14ac:dyDescent="0.3">
      <c r="B23" s="49" t="s">
        <v>68</v>
      </c>
      <c r="D23" s="49" t="s">
        <v>69</v>
      </c>
      <c r="F23" s="49"/>
    </row>
    <row r="24" spans="2:6" x14ac:dyDescent="0.3">
      <c r="B24" s="53" t="s">
        <v>70</v>
      </c>
      <c r="D24" s="49"/>
      <c r="F24" s="49"/>
    </row>
    <row r="25" spans="2:6" x14ac:dyDescent="0.3">
      <c r="B25" s="49" t="s">
        <v>71</v>
      </c>
      <c r="D25" s="49" t="str">
        <f>CONCATENATE(":"," ",'Budget conducti  meter'!B10)</f>
        <v>: G13040</v>
      </c>
      <c r="F25" s="49"/>
    </row>
    <row r="26" spans="2:6" x14ac:dyDescent="0.3">
      <c r="B26" s="53" t="s">
        <v>72</v>
      </c>
      <c r="D26" s="49"/>
      <c r="F26" s="49"/>
    </row>
    <row r="27" spans="2:6" x14ac:dyDescent="0.3">
      <c r="B27" s="49" t="s">
        <v>73</v>
      </c>
      <c r="D27" s="49" t="s">
        <v>74</v>
      </c>
      <c r="F27" s="49" t="str">
        <f>CONCATENATE(":"," ",'Budget conducti  meter'!B11)</f>
        <v>: 0,001 𝜇S/cm  -  3000 mS/cm</v>
      </c>
    </row>
    <row r="28" spans="2:6" x14ac:dyDescent="0.3">
      <c r="B28" s="55" t="s">
        <v>75</v>
      </c>
      <c r="D28" s="49" t="s">
        <v>76</v>
      </c>
      <c r="F28" s="49" t="str">
        <f>CONCATENATE(":"," ",'Budget conducti  meter'!D11," ",'Budget conducti  meter'!E11)</f>
        <v xml:space="preserve">: 1 𝜇S/cm </v>
      </c>
    </row>
    <row r="30" spans="2:6" ht="14.25" customHeight="1" x14ac:dyDescent="0.3">
      <c r="B30" s="56" t="s">
        <v>77</v>
      </c>
      <c r="C30" s="56"/>
      <c r="D30" s="56"/>
    </row>
    <row r="31" spans="2:6" ht="14.25" customHeight="1" x14ac:dyDescent="0.3">
      <c r="B31" s="57" t="s">
        <v>78</v>
      </c>
      <c r="C31" s="57"/>
      <c r="D31" s="57"/>
    </row>
    <row r="32" spans="2:6" x14ac:dyDescent="0.3">
      <c r="B32" s="58"/>
      <c r="C32" s="58"/>
      <c r="D32" s="58"/>
    </row>
    <row r="33" spans="2:8" x14ac:dyDescent="0.3">
      <c r="B33" s="49" t="s">
        <v>79</v>
      </c>
      <c r="D33" s="49" t="str">
        <f>CONCATENATE(":"," ",'Budget conducti  meter'!B6)</f>
        <v>: UPTD. Laboratorium Lingkungan Hidup, DLH Jawa Barat</v>
      </c>
    </row>
    <row r="34" spans="2:8" ht="14.25" customHeight="1" x14ac:dyDescent="0.3">
      <c r="B34" s="53" t="s">
        <v>80</v>
      </c>
      <c r="D34" s="49"/>
    </row>
    <row r="35" spans="2:8" x14ac:dyDescent="0.3">
      <c r="B35" s="49" t="s">
        <v>81</v>
      </c>
      <c r="D35" s="49" t="str">
        <f>CONCATENATE(":"," ",'Budget conducti  meter'!B2)</f>
        <v>: Jl. A. H. Nasution No. 117, Pasir Endah, Kec. Ujung Berung, Bandung 40619</v>
      </c>
    </row>
    <row r="36" spans="2:8" ht="14.25" customHeight="1" x14ac:dyDescent="0.3">
      <c r="B36" s="53" t="s">
        <v>82</v>
      </c>
      <c r="C36" s="49"/>
      <c r="D36" s="59"/>
    </row>
    <row r="40" spans="2:8" x14ac:dyDescent="0.3">
      <c r="H40" s="60" t="s">
        <v>83</v>
      </c>
    </row>
    <row r="41" spans="2:8" x14ac:dyDescent="0.3">
      <c r="H41" s="61" t="s">
        <v>84</v>
      </c>
    </row>
    <row r="42" spans="2:8" x14ac:dyDescent="0.3">
      <c r="H42" s="62"/>
    </row>
    <row r="43" spans="2:8" x14ac:dyDescent="0.3">
      <c r="H43" s="60" t="s">
        <v>149</v>
      </c>
    </row>
    <row r="44" spans="2:8" x14ac:dyDescent="0.3">
      <c r="H44" s="61" t="s">
        <v>85</v>
      </c>
    </row>
    <row r="45" spans="2:8" x14ac:dyDescent="0.3">
      <c r="F45" s="63" t="s">
        <v>140</v>
      </c>
      <c r="G45" s="97"/>
      <c r="H45" s="97"/>
    </row>
    <row r="46" spans="2:8" x14ac:dyDescent="0.3">
      <c r="B46"/>
      <c r="C46"/>
      <c r="F46" s="98" t="s">
        <v>141</v>
      </c>
      <c r="G46" s="97"/>
      <c r="H46" s="97"/>
    </row>
    <row r="47" spans="2:8" x14ac:dyDescent="0.3">
      <c r="F47" s="65" t="s">
        <v>142</v>
      </c>
      <c r="G47" s="97"/>
      <c r="H47" s="63"/>
    </row>
    <row r="48" spans="2:8" x14ac:dyDescent="0.3">
      <c r="G48" s="66"/>
    </row>
    <row r="70" spans="2:9" x14ac:dyDescent="0.3">
      <c r="G70" s="67" t="s">
        <v>86</v>
      </c>
      <c r="H70" s="67" t="str">
        <f>CONCATENATE(":"," ",MID(A9,18,100))</f>
        <v>: 0064-7.4/KALIBRASI BBLM/XII/2025</v>
      </c>
    </row>
    <row r="71" spans="2:9" x14ac:dyDescent="0.3">
      <c r="G71" s="67" t="s">
        <v>87</v>
      </c>
      <c r="H71" s="67" t="str">
        <f>": " &amp;'Budget conducti  meter'!B3</f>
        <v>: K663-3</v>
      </c>
    </row>
    <row r="72" spans="2:9" x14ac:dyDescent="0.3">
      <c r="G72" s="67" t="s">
        <v>88</v>
      </c>
      <c r="H72" s="67" t="s">
        <v>89</v>
      </c>
    </row>
    <row r="73" spans="2:9" ht="7.5" customHeight="1" x14ac:dyDescent="0.3"/>
    <row r="74" spans="2:9" x14ac:dyDescent="0.3">
      <c r="B74" s="101" t="s">
        <v>90</v>
      </c>
      <c r="C74" s="101"/>
      <c r="D74" s="101"/>
      <c r="E74" s="101"/>
      <c r="F74" s="101"/>
    </row>
    <row r="75" spans="2:9" x14ac:dyDescent="0.3">
      <c r="B75" s="49" t="s">
        <v>91</v>
      </c>
      <c r="D75" s="49" t="str">
        <f>D17</f>
        <v xml:space="preserve">: Conductivity Meter </v>
      </c>
      <c r="E75" s="49"/>
      <c r="F75" s="49"/>
      <c r="G75" s="49"/>
    </row>
    <row r="76" spans="2:9" x14ac:dyDescent="0.3">
      <c r="B76" s="49" t="s">
        <v>92</v>
      </c>
      <c r="D76" s="49" t="str">
        <f>CONCATENATE(":"," ",'Budget conducti  meter'!B7," ","/"," ",'Budget conducti  meter'!B8)</f>
        <v>: Thermo Scientific / Orion Star A325</v>
      </c>
      <c r="E76" s="49"/>
      <c r="F76" s="49"/>
      <c r="G76" s="49"/>
    </row>
    <row r="77" spans="2:9" x14ac:dyDescent="0.3">
      <c r="B77" s="49" t="s">
        <v>93</v>
      </c>
      <c r="D77" s="49" t="str">
        <f>D23</f>
        <v>: -</v>
      </c>
      <c r="E77" s="49"/>
      <c r="F77" s="49"/>
      <c r="G77" s="49"/>
    </row>
    <row r="78" spans="2:9" x14ac:dyDescent="0.3">
      <c r="B78" s="49" t="s">
        <v>94</v>
      </c>
      <c r="D78" s="49" t="str">
        <f>D25</f>
        <v>: G13040</v>
      </c>
      <c r="E78" s="49"/>
      <c r="F78" s="49"/>
      <c r="G78" s="49"/>
    </row>
    <row r="79" spans="2:9" x14ac:dyDescent="0.3">
      <c r="B79" s="49" t="s">
        <v>95</v>
      </c>
      <c r="D79" s="49" t="str">
        <f>F27</f>
        <v>: 0,001 𝜇S/cm  -  3000 mS/cm</v>
      </c>
      <c r="E79" s="49"/>
    </row>
    <row r="80" spans="2:9" x14ac:dyDescent="0.3">
      <c r="B80" s="49" t="s">
        <v>96</v>
      </c>
      <c r="D80" s="49" t="str">
        <f>F28</f>
        <v xml:space="preserve">: 1 𝜇S/cm </v>
      </c>
      <c r="E80" s="49"/>
      <c r="G80" s="64" t="s">
        <v>97</v>
      </c>
      <c r="I80" s="64"/>
    </row>
    <row r="81" spans="1:11" x14ac:dyDescent="0.3">
      <c r="B81" s="49" t="s">
        <v>98</v>
      </c>
      <c r="D81" s="49" t="s">
        <v>152</v>
      </c>
      <c r="E81" s="49"/>
      <c r="G81" s="49" t="s">
        <v>99</v>
      </c>
      <c r="I81" s="49" t="str">
        <f>CONCATENATE(": ",'Budget conducti  meter'!G11," ºC")</f>
        <v>: 25,6 ± 2,1 ºC</v>
      </c>
    </row>
    <row r="82" spans="1:11" x14ac:dyDescent="0.3">
      <c r="B82" s="49" t="s">
        <v>100</v>
      </c>
      <c r="D82" s="49" t="str">
        <f>CONCATENATE(": ",'Budget conducti  meter'!B4)</f>
        <v xml:space="preserve">: 25 November 2025 </v>
      </c>
      <c r="E82" s="49"/>
      <c r="G82" s="49" t="s">
        <v>101</v>
      </c>
      <c r="I82" s="49" t="str">
        <f>CONCATENATE(": ",'Budget conducti  meter'!H11," %RH")</f>
        <v>: 77,0 ± 2,7 %RH</v>
      </c>
    </row>
    <row r="83" spans="1:11" x14ac:dyDescent="0.3">
      <c r="B83" s="49" t="s">
        <v>102</v>
      </c>
      <c r="D83" s="49" t="str">
        <f>CONCATENATE(": ",'Budget conducti  meter'!B5)</f>
        <v>: 1 Desember 2025</v>
      </c>
      <c r="E83" s="68"/>
      <c r="F83" s="49"/>
      <c r="H83" s="49"/>
    </row>
    <row r="84" spans="1:11" x14ac:dyDescent="0.3">
      <c r="B84" s="49" t="s">
        <v>103</v>
      </c>
      <c r="D84" s="49" t="s">
        <v>151</v>
      </c>
      <c r="E84" s="49"/>
    </row>
    <row r="85" spans="1:11" x14ac:dyDescent="0.3">
      <c r="B85" s="49"/>
      <c r="D85" s="49"/>
      <c r="E85" s="49"/>
      <c r="F85" s="49"/>
      <c r="G85" s="49"/>
    </row>
    <row r="86" spans="1:11" ht="9" customHeight="1" x14ac:dyDescent="0.3"/>
    <row r="87" spans="1:11" x14ac:dyDescent="0.3">
      <c r="A87" s="103" t="s">
        <v>104</v>
      </c>
      <c r="B87" s="103"/>
      <c r="C87" s="103"/>
      <c r="D87" s="103"/>
      <c r="E87" s="103"/>
      <c r="F87" s="103"/>
      <c r="G87" s="103"/>
      <c r="H87" s="103"/>
      <c r="I87" s="103"/>
      <c r="J87" s="103"/>
      <c r="K87" s="103"/>
    </row>
    <row r="88" spans="1:11" ht="7.5" customHeight="1" x14ac:dyDescent="0.3"/>
    <row r="89" spans="1:11" ht="5.7" customHeight="1" x14ac:dyDescent="0.3"/>
    <row r="90" spans="1:11" ht="28.2" customHeight="1" x14ac:dyDescent="0.25">
      <c r="C90" s="99" t="s">
        <v>111</v>
      </c>
      <c r="D90" s="114" t="s">
        <v>147</v>
      </c>
      <c r="E90" s="115"/>
      <c r="F90" s="110" t="s">
        <v>146</v>
      </c>
      <c r="G90" s="111"/>
      <c r="H90" s="106" t="s">
        <v>144</v>
      </c>
      <c r="I90" s="107"/>
    </row>
    <row r="91" spans="1:11" ht="16.2" customHeight="1" x14ac:dyDescent="0.3">
      <c r="C91" s="100"/>
      <c r="D91" s="112" t="s">
        <v>145</v>
      </c>
      <c r="E91" s="113"/>
      <c r="F91" s="108" t="s">
        <v>145</v>
      </c>
      <c r="G91" s="109"/>
      <c r="H91" s="108" t="s">
        <v>145</v>
      </c>
      <c r="I91" s="109"/>
    </row>
    <row r="92" spans="1:11" ht="21.45" customHeight="1" x14ac:dyDescent="0.3">
      <c r="C92" s="85">
        <v>1</v>
      </c>
      <c r="D92" s="120">
        <f>'Budget conducti  meter'!A20</f>
        <v>1413</v>
      </c>
      <c r="E92" s="121"/>
      <c r="F92" s="116">
        <f>'Budget conducti  meter'!J20-'Budget conducti  meter'!H20</f>
        <v>-16</v>
      </c>
      <c r="G92" s="117"/>
      <c r="H92" s="116" t="str">
        <f>CONCATENATE(FIXED(MAX('Budget conducti  meter'!J50),0))</f>
        <v>22</v>
      </c>
      <c r="I92" s="117"/>
    </row>
    <row r="93" spans="1:11" ht="21.45" customHeight="1" x14ac:dyDescent="0.3">
      <c r="C93" s="72">
        <v>2</v>
      </c>
      <c r="D93" s="120">
        <f>'Budget conducti  meter'!A25</f>
        <v>12880</v>
      </c>
      <c r="E93" s="121"/>
      <c r="F93" s="116">
        <f>'Budget conducti  meter'!J25-'Budget conducti  meter'!H25</f>
        <v>-36.222222222220807</v>
      </c>
      <c r="G93" s="117"/>
      <c r="H93" s="118" t="str">
        <f>CONCATENATE(FIXED(MAX('Budget conducti  meter'!J68),0))</f>
        <v>65</v>
      </c>
      <c r="I93" s="119"/>
    </row>
    <row r="94" spans="1:11" ht="21.45" customHeight="1" x14ac:dyDescent="0.3"/>
    <row r="96" spans="1:11" x14ac:dyDescent="0.3">
      <c r="B96" s="67" t="s">
        <v>105</v>
      </c>
    </row>
    <row r="97" spans="2:6" x14ac:dyDescent="0.3">
      <c r="B97" s="69" t="s">
        <v>150</v>
      </c>
    </row>
    <row r="98" spans="2:6" x14ac:dyDescent="0.3">
      <c r="B98" s="69" t="s">
        <v>168</v>
      </c>
    </row>
    <row r="99" spans="2:6" x14ac:dyDescent="0.3">
      <c r="B99" s="69" t="s">
        <v>153</v>
      </c>
    </row>
    <row r="109" spans="2:6" ht="5.7" customHeight="1" x14ac:dyDescent="0.3"/>
    <row r="110" spans="2:6" x14ac:dyDescent="0.3">
      <c r="E110" s="67"/>
      <c r="F110" s="67"/>
    </row>
    <row r="111" spans="2:6" x14ac:dyDescent="0.3">
      <c r="E111" s="67"/>
      <c r="F111" s="67"/>
    </row>
    <row r="112" spans="2:6" x14ac:dyDescent="0.3">
      <c r="E112" s="67"/>
      <c r="F112" s="67"/>
    </row>
    <row r="114" spans="2:2" x14ac:dyDescent="0.3">
      <c r="B114" s="64"/>
    </row>
    <row r="122" spans="2:2" x14ac:dyDescent="0.3">
      <c r="B122" s="67"/>
    </row>
    <row r="123" spans="2:2" x14ac:dyDescent="0.3">
      <c r="B123" s="67"/>
    </row>
  </sheetData>
  <mergeCells count="18">
    <mergeCell ref="H92:I92"/>
    <mergeCell ref="H93:I93"/>
    <mergeCell ref="D92:E92"/>
    <mergeCell ref="D93:E93"/>
    <mergeCell ref="F92:G92"/>
    <mergeCell ref="F93:G93"/>
    <mergeCell ref="C90:C91"/>
    <mergeCell ref="B74:F74"/>
    <mergeCell ref="A9:K9"/>
    <mergeCell ref="A87:K87"/>
    <mergeCell ref="A7:K7"/>
    <mergeCell ref="A8:K8"/>
    <mergeCell ref="H90:I90"/>
    <mergeCell ref="H91:I91"/>
    <mergeCell ref="F91:G91"/>
    <mergeCell ref="F90:G90"/>
    <mergeCell ref="D91:E91"/>
    <mergeCell ref="D90:E90"/>
  </mergeCells>
  <pageMargins left="0" right="0" top="0.35433070866141736" bottom="3.937007874015748E-2" header="0" footer="0"/>
  <pageSetup paperSize="9" scale="95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E697-106E-42CF-980A-6FFF558813B0}">
  <dimension ref="A1:Z1008"/>
  <sheetViews>
    <sheetView zoomScale="85" zoomScaleNormal="85" workbookViewId="0">
      <selection activeCell="B12" sqref="B12"/>
    </sheetView>
  </sheetViews>
  <sheetFormatPr defaultColWidth="13.44140625" defaultRowHeight="15" customHeight="1" x14ac:dyDescent="0.3"/>
  <cols>
    <col min="1" max="1" width="18.5546875" customWidth="1"/>
    <col min="2" max="2" width="39.77734375" customWidth="1"/>
    <col min="3" max="5" width="9.6640625" customWidth="1"/>
    <col min="6" max="6" width="14" bestFit="1" customWidth="1"/>
    <col min="7" max="7" width="11.6640625" bestFit="1" customWidth="1"/>
    <col min="8" max="8" width="12.88671875" bestFit="1" customWidth="1"/>
    <col min="9" max="9" width="12.5546875" bestFit="1" customWidth="1"/>
    <col min="10" max="10" width="9.6640625" customWidth="1"/>
    <col min="11" max="11" width="11.44140625" customWidth="1"/>
    <col min="12" max="15" width="9.6640625" customWidth="1"/>
    <col min="16" max="16" width="10.33203125" customWidth="1"/>
    <col min="17" max="17" width="15.44140625" customWidth="1"/>
    <col min="18" max="18" width="13.109375" bestFit="1" customWidth="1"/>
    <col min="19" max="19" width="23.88671875" bestFit="1" customWidth="1"/>
    <col min="20" max="26" width="9.6640625" customWidth="1"/>
  </cols>
  <sheetData>
    <row r="1" spans="1:26" ht="12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A2" s="2" t="s">
        <v>129</v>
      </c>
      <c r="B2" s="86" t="s">
        <v>166</v>
      </c>
      <c r="C2" s="2"/>
      <c r="D2" s="2"/>
      <c r="E2" s="2"/>
      <c r="F2" s="2"/>
      <c r="G2" s="2"/>
      <c r="H2" s="2"/>
      <c r="I2" s="2"/>
      <c r="K2" s="83" t="s">
        <v>126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3">
      <c r="A3" s="2" t="s">
        <v>107</v>
      </c>
      <c r="B3" s="86" t="s">
        <v>164</v>
      </c>
      <c r="C3" s="2"/>
      <c r="D3" s="2"/>
      <c r="E3" s="2"/>
      <c r="F3" s="70"/>
      <c r="G3" s="74" t="s">
        <v>127</v>
      </c>
      <c r="H3" s="75" t="s">
        <v>114</v>
      </c>
      <c r="I3" s="2"/>
      <c r="K3" s="73" t="s">
        <v>116</v>
      </c>
      <c r="N3" s="73" t="s">
        <v>117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3">
      <c r="A4" s="2" t="s">
        <v>109</v>
      </c>
      <c r="B4" s="93" t="s">
        <v>156</v>
      </c>
      <c r="C4" s="2"/>
      <c r="D4" s="2"/>
      <c r="E4" s="2"/>
      <c r="F4" s="75" t="s">
        <v>112</v>
      </c>
      <c r="G4" s="86">
        <v>25.1</v>
      </c>
      <c r="H4" s="86">
        <v>78.099999999999994</v>
      </c>
      <c r="I4" s="2"/>
      <c r="K4" s="82" t="s">
        <v>123</v>
      </c>
      <c r="L4" s="82" t="s">
        <v>124</v>
      </c>
      <c r="M4" s="74" t="s">
        <v>119</v>
      </c>
      <c r="N4" s="82" t="s">
        <v>125</v>
      </c>
      <c r="O4" s="82" t="s">
        <v>124</v>
      </c>
      <c r="P4" s="75" t="s">
        <v>119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3">
      <c r="A5" s="2" t="s">
        <v>108</v>
      </c>
      <c r="B5" s="93" t="s">
        <v>157</v>
      </c>
      <c r="C5" s="2"/>
      <c r="D5" s="2"/>
      <c r="E5" s="2"/>
      <c r="F5" s="75" t="s">
        <v>113</v>
      </c>
      <c r="G5" s="86">
        <v>25.2</v>
      </c>
      <c r="H5" s="86">
        <v>78.2</v>
      </c>
      <c r="I5" s="2"/>
      <c r="K5" s="74">
        <v>20.010000000000002</v>
      </c>
      <c r="L5" s="74">
        <v>0.3</v>
      </c>
      <c r="M5" s="74">
        <v>2</v>
      </c>
      <c r="N5" s="74">
        <v>40.01</v>
      </c>
      <c r="O5" s="74">
        <v>-2</v>
      </c>
      <c r="P5" s="46">
        <v>3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3">
      <c r="A6" s="2" t="s">
        <v>110</v>
      </c>
      <c r="B6" s="86" t="s">
        <v>158</v>
      </c>
      <c r="C6" s="2"/>
      <c r="D6" s="2"/>
      <c r="E6" s="2"/>
      <c r="F6" s="75" t="s">
        <v>115</v>
      </c>
      <c r="G6" s="84">
        <f>AVERAGE(G4:G5)</f>
        <v>25.15</v>
      </c>
      <c r="H6" s="46">
        <f>AVERAGE(H4:H5)</f>
        <v>78.150000000000006</v>
      </c>
      <c r="I6" s="2"/>
      <c r="K6" s="74">
        <v>25</v>
      </c>
      <c r="L6" s="74">
        <v>0.4</v>
      </c>
      <c r="M6" s="70">
        <v>2</v>
      </c>
      <c r="N6" s="74">
        <v>50.01</v>
      </c>
      <c r="O6" s="74">
        <v>-3</v>
      </c>
      <c r="P6" s="46">
        <v>3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3">
      <c r="A7" s="2" t="s">
        <v>106</v>
      </c>
      <c r="B7" s="86" t="s">
        <v>159</v>
      </c>
      <c r="F7" s="74" t="s">
        <v>118</v>
      </c>
      <c r="G7" s="78">
        <f>G6+FORECAST(G6,L5:L9,K5:K9)</f>
        <v>25.620477415379529</v>
      </c>
      <c r="H7" s="84">
        <f>H6+FORECAST(H6,O5:O9,N5:N9)</f>
        <v>77.028454761301532</v>
      </c>
      <c r="I7" s="2"/>
      <c r="K7" s="74">
        <v>30</v>
      </c>
      <c r="L7" s="74">
        <v>0.5</v>
      </c>
      <c r="M7" s="70">
        <v>2</v>
      </c>
      <c r="N7" s="74">
        <v>60.02</v>
      </c>
      <c r="O7" s="74">
        <v>-1</v>
      </c>
      <c r="P7" s="46">
        <v>3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3">
      <c r="A8" s="2" t="s">
        <v>66</v>
      </c>
      <c r="B8" s="86" t="s">
        <v>160</v>
      </c>
      <c r="F8" s="75" t="s">
        <v>119</v>
      </c>
      <c r="G8" s="78">
        <v>2</v>
      </c>
      <c r="H8" s="78">
        <f>FORECAST(H7,P5:P9,N5:N9)</f>
        <v>2.6527359382168445</v>
      </c>
      <c r="I8" s="2"/>
      <c r="K8" s="74">
        <v>35</v>
      </c>
      <c r="L8" s="74">
        <v>1.2</v>
      </c>
      <c r="M8" s="70">
        <v>2</v>
      </c>
      <c r="N8" s="74">
        <v>70</v>
      </c>
      <c r="O8" s="74">
        <v>0</v>
      </c>
      <c r="P8" s="46">
        <v>2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3">
      <c r="A9" s="2" t="s">
        <v>163</v>
      </c>
      <c r="B9" s="95" t="s">
        <v>161</v>
      </c>
      <c r="F9" s="75" t="s">
        <v>120</v>
      </c>
      <c r="G9" s="78">
        <f>(MAX(G4:G5)-G6+G6-MIN(G4:G5))/2</f>
        <v>4.9999999999998934E-2</v>
      </c>
      <c r="H9" s="78">
        <f>(MAX(H4:H5)-H6+H6-MIN(H4:H5))/2</f>
        <v>5.0000000000004263E-2</v>
      </c>
      <c r="I9" s="2"/>
      <c r="K9" s="74">
        <v>40</v>
      </c>
      <c r="L9" s="74">
        <v>1.7</v>
      </c>
      <c r="M9" s="70">
        <v>2</v>
      </c>
      <c r="N9" s="74">
        <v>82</v>
      </c>
      <c r="O9" s="74">
        <v>-2</v>
      </c>
      <c r="P9" s="46">
        <v>3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3">
      <c r="A10" s="2" t="s">
        <v>4</v>
      </c>
      <c r="B10" s="86" t="s">
        <v>162</v>
      </c>
      <c r="F10" s="75" t="s">
        <v>121</v>
      </c>
      <c r="G10" s="78">
        <f>G8+G9</f>
        <v>2.0499999999999989</v>
      </c>
      <c r="H10" s="78">
        <f>H8+H9</f>
        <v>2.7027359382168488</v>
      </c>
      <c r="I10" s="2"/>
      <c r="K10" s="2"/>
      <c r="L10" s="2"/>
      <c r="M10" s="3"/>
      <c r="N10" s="2"/>
      <c r="O10" s="2"/>
      <c r="P10" s="2"/>
      <c r="Q10" s="2"/>
      <c r="R10" s="2"/>
      <c r="S10" s="2"/>
      <c r="T10" s="2"/>
    </row>
    <row r="11" spans="1:26" ht="12.75" customHeight="1" x14ac:dyDescent="0.3">
      <c r="A11" s="2" t="s">
        <v>6</v>
      </c>
      <c r="B11" s="96" t="s">
        <v>167</v>
      </c>
      <c r="C11" s="94" t="s">
        <v>7</v>
      </c>
      <c r="D11" s="86">
        <v>1</v>
      </c>
      <c r="E11" s="2" t="s">
        <v>143</v>
      </c>
      <c r="F11" s="81" t="s">
        <v>122</v>
      </c>
      <c r="G11" s="46" t="str">
        <f>FIXED(G7,1) &amp; " ± "&amp;FIXED(G10,1)</f>
        <v>25,6 ± 2,1</v>
      </c>
      <c r="H11" s="46" t="str">
        <f>FIXED(H7,1) &amp; " ± "&amp;FIXED(H10,1)</f>
        <v>77,0 ± 2,7</v>
      </c>
      <c r="I11" s="2"/>
      <c r="M11" s="2"/>
      <c r="O11" s="2"/>
      <c r="P11" s="2"/>
      <c r="Q11" s="2"/>
      <c r="R11" s="2"/>
      <c r="S11" s="3"/>
      <c r="T11" s="2"/>
      <c r="U11" s="2"/>
      <c r="V11" s="2"/>
      <c r="W11" s="2"/>
      <c r="X11" s="2"/>
      <c r="Y11" s="2"/>
      <c r="Z11" s="2"/>
    </row>
    <row r="12" spans="1:26" ht="12.75" customHeight="1" x14ac:dyDescent="0.3">
      <c r="A12" s="2"/>
      <c r="C12" s="2"/>
      <c r="D12" s="2"/>
      <c r="E12" s="2"/>
      <c r="I12" s="2"/>
      <c r="M12" s="2"/>
      <c r="O12" s="2"/>
      <c r="P12" s="2"/>
      <c r="Q12" s="2"/>
      <c r="R12" s="2"/>
      <c r="S12" s="3"/>
      <c r="T12" s="2"/>
      <c r="U12" s="2"/>
      <c r="V12" s="2"/>
      <c r="W12" s="2"/>
      <c r="X12" s="2"/>
      <c r="Y12" s="2"/>
      <c r="Z12" s="2"/>
    </row>
    <row r="13" spans="1:26" ht="12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M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M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M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3">
      <c r="A16" s="2"/>
      <c r="B16" s="2"/>
      <c r="C16" s="2"/>
      <c r="D16" s="2"/>
      <c r="E16" s="2"/>
      <c r="F16" s="2"/>
      <c r="G16" s="2" t="s">
        <v>154</v>
      </c>
      <c r="H16" s="2" t="s">
        <v>155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3">
      <c r="A17" s="88" t="s">
        <v>131</v>
      </c>
      <c r="B17" s="2"/>
      <c r="C17" s="2"/>
      <c r="D17" s="2"/>
      <c r="E17" s="2"/>
      <c r="F17" s="2" t="s">
        <v>9</v>
      </c>
      <c r="G17" s="86">
        <v>24.9</v>
      </c>
      <c r="H17" s="86">
        <v>24.8</v>
      </c>
      <c r="I17" s="2" t="s">
        <v>8</v>
      </c>
      <c r="J17" s="2"/>
      <c r="K17" s="2"/>
      <c r="L17" s="2"/>
      <c r="M17" s="2"/>
      <c r="N17" s="2" t="s">
        <v>10</v>
      </c>
      <c r="O17" s="2"/>
      <c r="Q17" s="2" t="s">
        <v>128</v>
      </c>
      <c r="T17" s="2"/>
      <c r="U17" s="2"/>
      <c r="V17" s="2"/>
      <c r="W17" s="2"/>
      <c r="X17" s="2"/>
      <c r="Y17" s="2"/>
      <c r="Z17" s="2"/>
    </row>
    <row r="18" spans="1:26" ht="12.75" customHeight="1" x14ac:dyDescent="0.3">
      <c r="A18" s="122" t="s">
        <v>11</v>
      </c>
      <c r="B18" s="122" t="s">
        <v>12</v>
      </c>
      <c r="C18" s="124" t="s">
        <v>1</v>
      </c>
      <c r="D18" s="125"/>
      <c r="E18" s="125"/>
      <c r="F18" s="125"/>
      <c r="G18" s="125"/>
      <c r="H18" s="126"/>
      <c r="I18" s="127" t="s">
        <v>13</v>
      </c>
      <c r="J18" s="127" t="s">
        <v>14</v>
      </c>
      <c r="K18" s="2">
        <f>IF(K19&lt;=25,Q23,IF(K19&gt;=25,Q24,0))</f>
        <v>24.2</v>
      </c>
      <c r="L18" s="3">
        <f>VLOOKUP(K18,$Q$18:$S$26,3,FALSE)</f>
        <v>24</v>
      </c>
      <c r="M18" s="2"/>
      <c r="N18" s="2"/>
      <c r="O18" s="2"/>
      <c r="Q18" s="71" t="s">
        <v>1</v>
      </c>
      <c r="R18" s="46" t="s">
        <v>2</v>
      </c>
      <c r="S18" s="71" t="s">
        <v>3</v>
      </c>
      <c r="T18" s="2"/>
      <c r="U18" s="2"/>
      <c r="V18" s="2"/>
      <c r="W18" s="2"/>
      <c r="X18" s="2"/>
      <c r="Y18" s="2"/>
      <c r="Z18" s="2"/>
    </row>
    <row r="19" spans="1:26" ht="12.75" customHeight="1" x14ac:dyDescent="0.3">
      <c r="A19" s="123"/>
      <c r="B19" s="123"/>
      <c r="C19" s="76" t="s">
        <v>15</v>
      </c>
      <c r="D19" s="5" t="s">
        <v>16</v>
      </c>
      <c r="E19" s="5" t="s">
        <v>17</v>
      </c>
      <c r="F19" s="5" t="s">
        <v>18</v>
      </c>
      <c r="G19" s="5" t="s">
        <v>19</v>
      </c>
      <c r="H19" s="5" t="s">
        <v>20</v>
      </c>
      <c r="I19" s="126"/>
      <c r="J19" s="126"/>
      <c r="K19" s="2">
        <f>AVERAGE(G17,H16)</f>
        <v>24.9</v>
      </c>
      <c r="L19" s="3">
        <f>(K19-K18)*(L20-L18)/(K20-K18)+L18</f>
        <v>24.777777777777775</v>
      </c>
      <c r="M19" s="2"/>
      <c r="N19" s="3">
        <f>L19-K19</f>
        <v>-0.12222222222222356</v>
      </c>
      <c r="O19" s="2"/>
      <c r="Q19" s="46" t="s">
        <v>5</v>
      </c>
      <c r="R19" s="46" t="s">
        <v>5</v>
      </c>
      <c r="S19" s="46" t="s">
        <v>5</v>
      </c>
      <c r="T19" s="2"/>
      <c r="U19" s="2"/>
      <c r="V19" s="2"/>
      <c r="W19" s="2"/>
      <c r="X19" s="2"/>
      <c r="Y19" s="2"/>
      <c r="Z19" s="2"/>
    </row>
    <row r="20" spans="1:26" ht="12.75" customHeight="1" x14ac:dyDescent="0.3">
      <c r="A20" s="77">
        <v>1413</v>
      </c>
      <c r="B20" s="78">
        <f>L19</f>
        <v>24.777777777777775</v>
      </c>
      <c r="C20" s="91">
        <v>1421</v>
      </c>
      <c r="D20" s="91">
        <v>1423</v>
      </c>
      <c r="E20" s="91">
        <v>1423</v>
      </c>
      <c r="F20" s="91">
        <v>1424</v>
      </c>
      <c r="G20" s="90">
        <v>1424</v>
      </c>
      <c r="H20" s="7">
        <f>AVERAGE(C20:G20)</f>
        <v>1423</v>
      </c>
      <c r="I20" s="8">
        <f>STDEV(C20:G20)</f>
        <v>1.2247448713915889</v>
      </c>
      <c r="J20" s="7">
        <f>A20-R41</f>
        <v>1407</v>
      </c>
      <c r="K20" s="2">
        <f>IF(K19&lt;=25,Q24,IF(K19&gt;=25,Q25,0))</f>
        <v>25.1</v>
      </c>
      <c r="L20" s="3">
        <f>VLOOKUP(K20,$Q$18:$S$26,3,FALSE)</f>
        <v>25</v>
      </c>
      <c r="M20" s="2"/>
      <c r="N20" s="2"/>
      <c r="O20" s="2"/>
      <c r="Q20" s="46">
        <v>19.3</v>
      </c>
      <c r="R20" s="46">
        <v>-0.2</v>
      </c>
      <c r="S20" s="46">
        <f>Q20+R20</f>
        <v>19.100000000000001</v>
      </c>
      <c r="T20" s="2"/>
      <c r="U20" s="2"/>
      <c r="V20" s="2"/>
      <c r="W20" s="2"/>
      <c r="X20" s="2"/>
      <c r="Y20" s="2"/>
      <c r="Z20" s="2"/>
    </row>
    <row r="21" spans="1:26" ht="12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Q21" s="46">
        <v>20.100000000000001</v>
      </c>
      <c r="R21" s="46">
        <v>-0.2</v>
      </c>
      <c r="S21" s="46">
        <f>Q21+R21</f>
        <v>19.900000000000002</v>
      </c>
      <c r="T21" s="2"/>
      <c r="U21" s="2"/>
      <c r="V21" s="2"/>
      <c r="W21" s="2"/>
      <c r="X21" s="2"/>
      <c r="Y21" s="2"/>
      <c r="Z21" s="2"/>
    </row>
    <row r="22" spans="1:26" ht="12.75" customHeight="1" x14ac:dyDescent="0.3">
      <c r="A22" s="88" t="s">
        <v>138</v>
      </c>
      <c r="B22" s="2"/>
      <c r="C22" s="2"/>
      <c r="D22" s="2"/>
      <c r="E22" s="2"/>
      <c r="F22" s="2" t="s">
        <v>9</v>
      </c>
      <c r="G22" s="86">
        <v>24.9</v>
      </c>
      <c r="H22" s="86">
        <v>24.9</v>
      </c>
      <c r="I22" s="2" t="s">
        <v>8</v>
      </c>
      <c r="J22" s="2"/>
      <c r="K22" s="2"/>
      <c r="L22" s="2"/>
      <c r="M22" s="2"/>
      <c r="N22" s="2"/>
      <c r="O22" s="2"/>
      <c r="Q22" s="46">
        <v>21.1</v>
      </c>
      <c r="R22" s="46">
        <v>-0.1</v>
      </c>
      <c r="S22" s="89">
        <f>Q22+R22</f>
        <v>21</v>
      </c>
      <c r="T22" s="2"/>
      <c r="U22" s="2"/>
      <c r="V22" s="2"/>
      <c r="W22" s="2"/>
      <c r="X22" s="2"/>
      <c r="Y22" s="2"/>
      <c r="Z22" s="2"/>
    </row>
    <row r="23" spans="1:26" ht="12.75" customHeight="1" x14ac:dyDescent="0.3">
      <c r="A23" s="122" t="s">
        <v>11</v>
      </c>
      <c r="B23" s="122" t="s">
        <v>12</v>
      </c>
      <c r="C23" s="124" t="s">
        <v>1</v>
      </c>
      <c r="D23" s="125"/>
      <c r="E23" s="125"/>
      <c r="F23" s="125"/>
      <c r="G23" s="125"/>
      <c r="H23" s="126"/>
      <c r="I23" s="127" t="s">
        <v>13</v>
      </c>
      <c r="J23" s="127" t="s">
        <v>14</v>
      </c>
      <c r="K23" s="2">
        <f>IF(K24&lt;=25,Q23,IF(K24&gt;=25,Q24,0))</f>
        <v>24.2</v>
      </c>
      <c r="L23" s="3">
        <f>VLOOKUP(K23,$Q$18:$S$26,3,FALSE)</f>
        <v>24</v>
      </c>
      <c r="M23" s="2"/>
      <c r="N23" s="2"/>
      <c r="O23" s="2"/>
      <c r="P23" s="2"/>
      <c r="Q23" s="70">
        <v>24.2</v>
      </c>
      <c r="R23" s="70">
        <v>-0.2</v>
      </c>
      <c r="S23" s="89">
        <f t="shared" ref="S23:S26" si="0">Q23+R23</f>
        <v>24</v>
      </c>
      <c r="T23" s="2"/>
      <c r="U23" s="2"/>
      <c r="V23" s="2"/>
      <c r="W23" s="2"/>
    </row>
    <row r="24" spans="1:26" ht="12.75" customHeight="1" x14ac:dyDescent="0.3">
      <c r="A24" s="123"/>
      <c r="B24" s="123"/>
      <c r="C24" s="76" t="s">
        <v>15</v>
      </c>
      <c r="D24" s="5" t="s">
        <v>16</v>
      </c>
      <c r="E24" s="5" t="s">
        <v>17</v>
      </c>
      <c r="F24" s="5" t="s">
        <v>18</v>
      </c>
      <c r="G24" s="5" t="s">
        <v>19</v>
      </c>
      <c r="H24" s="5" t="s">
        <v>20</v>
      </c>
      <c r="I24" s="126"/>
      <c r="J24" s="126"/>
      <c r="K24" s="2">
        <f>AVERAGE(G22,H22)</f>
        <v>24.9</v>
      </c>
      <c r="L24" s="3">
        <f>(K24-K23)*(L25-L23)/(K25-K23)+L23</f>
        <v>24.777777777777775</v>
      </c>
      <c r="M24" s="2"/>
      <c r="N24" s="3">
        <f>L24-K24</f>
        <v>-0.12222222222222356</v>
      </c>
      <c r="O24" s="2"/>
      <c r="P24" s="2"/>
      <c r="Q24" s="70">
        <v>25.1</v>
      </c>
      <c r="R24" s="70">
        <v>-0.1</v>
      </c>
      <c r="S24" s="89">
        <f t="shared" si="0"/>
        <v>25</v>
      </c>
      <c r="T24" s="2"/>
      <c r="U24" s="2"/>
      <c r="V24" s="2"/>
      <c r="W24" s="2"/>
    </row>
    <row r="25" spans="1:26" ht="12.75" customHeight="1" x14ac:dyDescent="0.3">
      <c r="A25" s="77">
        <v>12880</v>
      </c>
      <c r="B25" s="78">
        <f>L24</f>
        <v>24.777777777777775</v>
      </c>
      <c r="C25" s="91">
        <f>12.96*1000</f>
        <v>12960</v>
      </c>
      <c r="D25" s="91">
        <f>12.97*1000</f>
        <v>12970</v>
      </c>
      <c r="E25" s="91">
        <f>12.97*1000</f>
        <v>12970</v>
      </c>
      <c r="F25" s="91">
        <f>12.97*1000</f>
        <v>12970</v>
      </c>
      <c r="G25" s="91">
        <f>12.98*1000</f>
        <v>12980</v>
      </c>
      <c r="H25" s="7">
        <f>AVERAGE(C25:G25)</f>
        <v>12970</v>
      </c>
      <c r="I25" s="6">
        <f>STDEV(C25:G25)</f>
        <v>7.0710678118654755</v>
      </c>
      <c r="J25" s="7">
        <f>A25+R59</f>
        <v>12933.777777777779</v>
      </c>
      <c r="K25" s="2">
        <f>IF(K24&lt;=25,Q24,IF(K24&gt;=25,Q25,0))</f>
        <v>25.1</v>
      </c>
      <c r="L25" s="3">
        <f>VLOOKUP(K25,$Q$18:$S$26,3,FALSE)</f>
        <v>25</v>
      </c>
      <c r="M25" s="2"/>
      <c r="N25" s="2"/>
      <c r="O25" s="2"/>
      <c r="P25" s="2"/>
      <c r="Q25" s="70">
        <v>26.1</v>
      </c>
      <c r="R25" s="70">
        <v>-0.1</v>
      </c>
      <c r="S25" s="89">
        <f t="shared" si="0"/>
        <v>26</v>
      </c>
      <c r="T25" s="2"/>
      <c r="U25" s="2"/>
      <c r="V25" s="2"/>
      <c r="W25" s="2"/>
    </row>
    <row r="26" spans="1:26" ht="12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0">
        <v>30.1</v>
      </c>
      <c r="R26" s="70">
        <v>-0.1</v>
      </c>
      <c r="S26" s="89">
        <f t="shared" si="0"/>
        <v>30</v>
      </c>
      <c r="T26" s="2"/>
      <c r="U26" s="2"/>
      <c r="V26" s="2"/>
      <c r="W26" s="2"/>
      <c r="X26" s="2"/>
      <c r="Y26" s="2"/>
      <c r="Z26" s="2"/>
    </row>
    <row r="27" spans="1:26" ht="12.75" customHeight="1" x14ac:dyDescent="0.3">
      <c r="A27" s="88" t="s">
        <v>132</v>
      </c>
      <c r="B27" s="2"/>
      <c r="C27" s="2"/>
      <c r="D27" s="2"/>
      <c r="E27" s="2"/>
      <c r="F27" s="2" t="s">
        <v>9</v>
      </c>
      <c r="G27" s="86">
        <v>0</v>
      </c>
      <c r="H27" s="86">
        <v>0</v>
      </c>
      <c r="I27" s="2" t="s">
        <v>8</v>
      </c>
      <c r="J27" s="2"/>
      <c r="K27" s="2"/>
      <c r="L27" s="2"/>
      <c r="M27" s="2"/>
      <c r="N27" s="2"/>
      <c r="O27" s="2"/>
      <c r="P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3">
      <c r="A28" s="122" t="s">
        <v>11</v>
      </c>
      <c r="B28" s="122" t="s">
        <v>12</v>
      </c>
      <c r="C28" s="124" t="s">
        <v>1</v>
      </c>
      <c r="D28" s="125"/>
      <c r="E28" s="125"/>
      <c r="F28" s="125"/>
      <c r="G28" s="125"/>
      <c r="H28" s="126"/>
      <c r="I28" s="127" t="s">
        <v>13</v>
      </c>
      <c r="J28" s="127" t="s">
        <v>14</v>
      </c>
      <c r="K28" s="2">
        <f>IF(K29&lt;=25,Q23,IF(K29&gt;=25,Q24,0))</f>
        <v>24.2</v>
      </c>
      <c r="L28" s="3">
        <f>VLOOKUP(K28,$Q$18:$S$26,3,FALSE)</f>
        <v>24</v>
      </c>
      <c r="M28" s="2"/>
      <c r="N28" s="2"/>
      <c r="O28" s="2"/>
      <c r="P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3">
      <c r="A29" s="123"/>
      <c r="B29" s="123"/>
      <c r="C29" s="76" t="s">
        <v>15</v>
      </c>
      <c r="D29" s="5" t="s">
        <v>16</v>
      </c>
      <c r="E29" s="5" t="s">
        <v>17</v>
      </c>
      <c r="F29" s="5" t="s">
        <v>18</v>
      </c>
      <c r="G29" s="5" t="s">
        <v>19</v>
      </c>
      <c r="H29" s="5" t="s">
        <v>20</v>
      </c>
      <c r="I29" s="126"/>
      <c r="J29" s="126"/>
      <c r="K29" s="2">
        <f>AVERAGE(G27,H27)</f>
        <v>0</v>
      </c>
      <c r="L29" s="3">
        <f>(K29-K28)*(L30-L28)/(K30-K28)+L28</f>
        <v>-2.8888888888888253</v>
      </c>
      <c r="M29" s="2"/>
      <c r="N29" s="3">
        <f>L29-K29</f>
        <v>-2.8888888888888253</v>
      </c>
      <c r="O29" s="2"/>
      <c r="P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3">
      <c r="A30" s="79">
        <v>84</v>
      </c>
      <c r="B30" s="80">
        <f>L29</f>
        <v>-2.8888888888888253</v>
      </c>
      <c r="C30" s="92"/>
      <c r="D30" s="91"/>
      <c r="E30" s="91"/>
      <c r="F30" s="91"/>
      <c r="G30" s="90"/>
      <c r="H30" s="7" t="e">
        <f>AVERAGE(C30:G30)</f>
        <v>#DIV/0!</v>
      </c>
      <c r="I30" s="6" t="e">
        <f>STDEV(C30:G30)</f>
        <v>#DIV/0!</v>
      </c>
      <c r="J30" s="7">
        <f>A30+R77</f>
        <v>129.73777777777769</v>
      </c>
      <c r="K30" s="2">
        <f>IF(K29&lt;=25,Q24,IF(K29&gt;=25,Q25,0))</f>
        <v>25.1</v>
      </c>
      <c r="L30" s="3">
        <f>VLOOKUP(K30,$Q$18:$S$26,3,FALSE)</f>
        <v>25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3">
      <c r="A34" s="2"/>
      <c r="B34" s="2"/>
      <c r="C34" s="2"/>
      <c r="D34" s="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3">
      <c r="A35" s="6" t="s">
        <v>21</v>
      </c>
      <c r="B35" s="5"/>
      <c r="C35" s="2"/>
      <c r="D35" s="6" t="s">
        <v>22</v>
      </c>
      <c r="E35" s="6">
        <f>A20*15/1000</f>
        <v>21.195</v>
      </c>
      <c r="F35" s="2"/>
      <c r="G35" s="6" t="s">
        <v>23</v>
      </c>
      <c r="H35" s="6">
        <f>R41</f>
        <v>6.0000000000000568</v>
      </c>
      <c r="I35" s="2"/>
      <c r="J35" s="2"/>
      <c r="K35" s="2"/>
      <c r="L35" s="2"/>
      <c r="N35" s="2" t="s">
        <v>24</v>
      </c>
      <c r="O35" s="87" t="s">
        <v>136</v>
      </c>
      <c r="P35" s="2"/>
      <c r="Q35" s="2" t="s">
        <v>24</v>
      </c>
      <c r="R35" s="2" t="s">
        <v>25</v>
      </c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3">
      <c r="A36" s="2"/>
      <c r="B36" s="10"/>
      <c r="C36" s="2"/>
      <c r="D36" s="11" t="s">
        <v>26</v>
      </c>
      <c r="E36" s="6">
        <f>0.4</f>
        <v>0.4</v>
      </c>
      <c r="F36" s="2"/>
      <c r="G36" s="2"/>
      <c r="H36" s="2"/>
      <c r="I36" s="2"/>
      <c r="J36" s="2"/>
      <c r="K36" s="2"/>
      <c r="L36" s="2"/>
      <c r="N36" s="2">
        <v>0</v>
      </c>
      <c r="O36" s="2">
        <v>637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3">
      <c r="A37" s="6" t="s">
        <v>27</v>
      </c>
      <c r="B37" s="6">
        <f>D11</f>
        <v>1</v>
      </c>
      <c r="C37" s="2"/>
      <c r="D37" s="2"/>
      <c r="E37" s="2"/>
      <c r="F37" s="2"/>
      <c r="G37" s="2"/>
      <c r="H37" s="2"/>
      <c r="I37" s="2"/>
      <c r="J37" s="2"/>
      <c r="K37" s="2"/>
      <c r="L37" s="2"/>
      <c r="N37" s="2">
        <v>5</v>
      </c>
      <c r="O37" s="2">
        <v>517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N38" s="2">
        <v>10</v>
      </c>
      <c r="O38" s="2">
        <v>393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3">
      <c r="A39" s="2" t="s">
        <v>133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N39" s="2">
        <v>15</v>
      </c>
      <c r="O39" s="2">
        <v>266</v>
      </c>
      <c r="P39" s="2"/>
      <c r="Q39" s="2" t="s">
        <v>28</v>
      </c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3">
      <c r="A40" s="12" t="s">
        <v>29</v>
      </c>
      <c r="B40" s="12" t="s">
        <v>30</v>
      </c>
      <c r="C40" s="12" t="s">
        <v>31</v>
      </c>
      <c r="D40" s="12" t="s">
        <v>32</v>
      </c>
      <c r="E40" s="12" t="s">
        <v>33</v>
      </c>
      <c r="F40" s="12" t="s">
        <v>34</v>
      </c>
      <c r="G40" s="13" t="s">
        <v>35</v>
      </c>
      <c r="H40" s="12" t="s">
        <v>36</v>
      </c>
      <c r="I40" s="13" t="s">
        <v>37</v>
      </c>
      <c r="J40" s="13" t="s">
        <v>38</v>
      </c>
      <c r="K40" s="12" t="s">
        <v>39</v>
      </c>
      <c r="L40" s="2"/>
      <c r="N40" s="2">
        <v>20</v>
      </c>
      <c r="O40" s="2">
        <v>135</v>
      </c>
      <c r="P40" s="2"/>
      <c r="Q40" s="2">
        <f>IF(Q41&lt;=25,N40,IF(Q41&gt;=25,N41,0))</f>
        <v>20</v>
      </c>
      <c r="R40" s="2">
        <f>VLOOKUP(Q40,$N$35:$O$45,2,FALSE)</f>
        <v>135</v>
      </c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3">
      <c r="A41" s="14" t="s">
        <v>40</v>
      </c>
      <c r="B41" s="15" t="s">
        <v>139</v>
      </c>
      <c r="C41" s="15" t="s">
        <v>41</v>
      </c>
      <c r="D41" s="16">
        <f>I20</f>
        <v>1.2247448713915889</v>
      </c>
      <c r="E41" s="17">
        <f>SQRT(5)</f>
        <v>2.2360679774997898</v>
      </c>
      <c r="F41" s="15">
        <v>4</v>
      </c>
      <c r="G41" s="15">
        <f t="shared" ref="G41:G45" si="1">D41/E41</f>
        <v>0.54772255750516607</v>
      </c>
      <c r="H41" s="15">
        <v>1</v>
      </c>
      <c r="I41" s="15">
        <f t="shared" ref="I41:I45" si="2">G41*H41</f>
        <v>0.54772255750516607</v>
      </c>
      <c r="J41" s="15">
        <f t="shared" ref="J41:J45" si="3">I41^2</f>
        <v>0.29999999999999993</v>
      </c>
      <c r="K41" s="15">
        <f t="shared" ref="K41:K45" si="4">I41^4/F41</f>
        <v>2.2499999999999989E-2</v>
      </c>
      <c r="L41" s="2"/>
      <c r="N41" s="2">
        <v>25</v>
      </c>
      <c r="O41" s="2">
        <v>0</v>
      </c>
      <c r="P41" s="2"/>
      <c r="Q41" s="3">
        <f>B20</f>
        <v>24.777777777777775</v>
      </c>
      <c r="R41" s="2">
        <f>(Q41-Q40)*(R42-R40)/(Q42-Q40)+R40</f>
        <v>6.0000000000000568</v>
      </c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3">
      <c r="A42" s="18" t="s">
        <v>42</v>
      </c>
      <c r="B42" s="15" t="s">
        <v>139</v>
      </c>
      <c r="C42" s="17" t="s">
        <v>43</v>
      </c>
      <c r="D42" s="17">
        <f>E35</f>
        <v>21.195</v>
      </c>
      <c r="E42" s="17">
        <v>2</v>
      </c>
      <c r="F42" s="17">
        <v>60</v>
      </c>
      <c r="G42" s="17">
        <f t="shared" si="1"/>
        <v>10.5975</v>
      </c>
      <c r="H42" s="17">
        <v>1</v>
      </c>
      <c r="I42" s="17">
        <f t="shared" si="2"/>
        <v>10.5975</v>
      </c>
      <c r="J42" s="17">
        <f t="shared" si="3"/>
        <v>112.30700625</v>
      </c>
      <c r="K42" s="17">
        <f t="shared" si="4"/>
        <v>210.214394213959</v>
      </c>
      <c r="L42" s="2"/>
      <c r="N42" s="2">
        <v>30</v>
      </c>
      <c r="O42" s="2">
        <v>-139</v>
      </c>
      <c r="P42" s="2"/>
      <c r="Q42" s="2">
        <f>IF(Q41&lt;=25,N41,IF(Q41&gt;=25,N42,0))</f>
        <v>25</v>
      </c>
      <c r="R42" s="2">
        <f>VLOOKUP(Q42,$N$35:$O$45,2,FALSE)</f>
        <v>0</v>
      </c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3">
      <c r="A43" s="18" t="s">
        <v>44</v>
      </c>
      <c r="B43" s="15" t="s">
        <v>139</v>
      </c>
      <c r="C43" s="17" t="s">
        <v>45</v>
      </c>
      <c r="D43" s="17">
        <f>R41</f>
        <v>6.0000000000000568</v>
      </c>
      <c r="E43" s="17">
        <f t="shared" ref="E43:E44" si="5">SQRT(3)</f>
        <v>1.7320508075688772</v>
      </c>
      <c r="F43" s="17">
        <v>50</v>
      </c>
      <c r="G43" s="17">
        <f t="shared" si="1"/>
        <v>3.4641016151377877</v>
      </c>
      <c r="H43" s="17">
        <v>1</v>
      </c>
      <c r="I43" s="17">
        <f t="shared" si="2"/>
        <v>3.4641016151377877</v>
      </c>
      <c r="J43" s="17">
        <f t="shared" si="3"/>
        <v>12.000000000000229</v>
      </c>
      <c r="K43" s="17">
        <f t="shared" si="4"/>
        <v>2.8800000000001105</v>
      </c>
      <c r="L43" s="2"/>
      <c r="N43" s="2">
        <v>35</v>
      </c>
      <c r="O43" s="2">
        <v>-283</v>
      </c>
      <c r="P43" s="2"/>
      <c r="Q43" s="2" t="str">
        <f>A83</f>
        <v>Pengaruh ketidakpastian Termometer digital</v>
      </c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3">
      <c r="A44" s="18" t="s">
        <v>46</v>
      </c>
      <c r="B44" s="15" t="s">
        <v>139</v>
      </c>
      <c r="C44" s="17" t="s">
        <v>45</v>
      </c>
      <c r="D44" s="17">
        <f>B37/2</f>
        <v>0.5</v>
      </c>
      <c r="E44" s="17">
        <f t="shared" si="5"/>
        <v>1.7320508075688772</v>
      </c>
      <c r="F44" s="17">
        <v>50</v>
      </c>
      <c r="G44" s="17">
        <f t="shared" si="1"/>
        <v>0.28867513459481292</v>
      </c>
      <c r="H44" s="17">
        <v>1</v>
      </c>
      <c r="I44" s="17">
        <f t="shared" si="2"/>
        <v>0.28867513459481292</v>
      </c>
      <c r="J44" s="17">
        <f t="shared" si="3"/>
        <v>8.3333333333333356E-2</v>
      </c>
      <c r="K44" s="17">
        <f t="shared" si="4"/>
        <v>1.3888888888888897E-4</v>
      </c>
      <c r="L44" s="2"/>
      <c r="N44" s="2"/>
      <c r="O44" s="2"/>
      <c r="P44" s="2"/>
      <c r="Q44" s="2">
        <v>15</v>
      </c>
      <c r="R44" s="2">
        <f>O40</f>
        <v>135</v>
      </c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3">
      <c r="A45" s="19" t="s">
        <v>47</v>
      </c>
      <c r="B45" s="20" t="s">
        <v>48</v>
      </c>
      <c r="C45" s="20" t="s">
        <v>41</v>
      </c>
      <c r="D45" s="17">
        <f>E36</f>
        <v>0.4</v>
      </c>
      <c r="E45" s="17">
        <v>2</v>
      </c>
      <c r="F45" s="17">
        <v>60</v>
      </c>
      <c r="G45" s="17">
        <f t="shared" si="1"/>
        <v>0.2</v>
      </c>
      <c r="H45" s="17">
        <f>0.01/5</f>
        <v>2E-3</v>
      </c>
      <c r="I45" s="17">
        <f t="shared" si="2"/>
        <v>4.0000000000000002E-4</v>
      </c>
      <c r="J45" s="17">
        <f t="shared" si="3"/>
        <v>1.6E-7</v>
      </c>
      <c r="K45" s="17">
        <f t="shared" si="4"/>
        <v>4.2666666666666671E-16</v>
      </c>
      <c r="L45" s="2"/>
      <c r="N45" s="2"/>
      <c r="O45" s="2"/>
      <c r="P45" s="2"/>
      <c r="Q45" s="3">
        <f>E36+B20</f>
        <v>25.177777777777774</v>
      </c>
      <c r="R45" s="2">
        <f>(Q45-Q44)*(R46-R44)/(Q46-Q44)+R44</f>
        <v>-2.3898222222221648</v>
      </c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3">
      <c r="A46" s="21" t="s">
        <v>49</v>
      </c>
      <c r="B46" s="22"/>
      <c r="C46" s="22"/>
      <c r="D46" s="22"/>
      <c r="E46" s="22"/>
      <c r="F46" s="22"/>
      <c r="G46" s="22"/>
      <c r="H46" s="23"/>
      <c r="I46" s="24"/>
      <c r="J46" s="25">
        <f t="shared" ref="J46:K46" si="6">SUM(J41:J44)</f>
        <v>124.69033958333355</v>
      </c>
      <c r="K46" s="15">
        <f t="shared" si="6"/>
        <v>213.11703310284801</v>
      </c>
      <c r="L46" s="2"/>
      <c r="M46" s="2"/>
      <c r="N46" s="2"/>
      <c r="O46" s="2"/>
      <c r="P46" s="2"/>
      <c r="Q46" s="2">
        <v>25</v>
      </c>
      <c r="R46" s="2">
        <v>0.01</v>
      </c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3">
      <c r="A47" s="26" t="s">
        <v>50</v>
      </c>
      <c r="B47" s="27"/>
      <c r="C47" s="27"/>
      <c r="D47" s="27"/>
      <c r="E47" s="27"/>
      <c r="F47" s="27"/>
      <c r="G47" s="27"/>
      <c r="H47" s="28"/>
      <c r="I47" s="29"/>
      <c r="J47" s="25">
        <f>SQRT(J46)</f>
        <v>11.166482865402765</v>
      </c>
      <c r="K47" s="1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3">
      <c r="A48" s="26" t="s">
        <v>51</v>
      </c>
      <c r="B48" s="27"/>
      <c r="C48" s="27"/>
      <c r="D48" s="27"/>
      <c r="E48" s="27"/>
      <c r="F48" s="27"/>
      <c r="G48" s="27"/>
      <c r="H48" s="28"/>
      <c r="I48" s="29"/>
      <c r="J48" s="25">
        <f>J47^4/K46</f>
        <v>72.953721995106278</v>
      </c>
      <c r="K48" s="1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3">
      <c r="A49" s="26" t="s">
        <v>52</v>
      </c>
      <c r="B49" s="27"/>
      <c r="C49" s="27"/>
      <c r="D49" s="27"/>
      <c r="E49" s="27"/>
      <c r="F49" s="27"/>
      <c r="G49" s="27"/>
      <c r="H49" s="28"/>
      <c r="I49" s="29"/>
      <c r="J49" s="25">
        <f>TINV(0.05,J48)</f>
        <v>1.9934635666618719</v>
      </c>
      <c r="K49" s="1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3">
      <c r="A50" s="30" t="s">
        <v>53</v>
      </c>
      <c r="B50" s="31"/>
      <c r="C50" s="31"/>
      <c r="D50" s="31"/>
      <c r="E50" s="31"/>
      <c r="F50" s="31"/>
      <c r="G50" s="31"/>
      <c r="H50" s="32"/>
      <c r="I50" s="33"/>
      <c r="J50" s="34">
        <f>J49*J47</f>
        <v>22.259976759934474</v>
      </c>
      <c r="K50" s="3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3">
      <c r="A51" s="36"/>
      <c r="B51" s="36"/>
      <c r="C51" s="36"/>
      <c r="D51" s="36"/>
      <c r="E51" s="36"/>
      <c r="F51" s="36"/>
      <c r="G51" s="36"/>
      <c r="H51" s="36"/>
      <c r="I51" s="37"/>
      <c r="J51" s="44"/>
      <c r="K51" s="37"/>
      <c r="L51" s="4"/>
      <c r="M51" s="4"/>
      <c r="N51" s="4"/>
      <c r="O51" s="4"/>
      <c r="P51" s="4"/>
      <c r="Q51" s="4"/>
      <c r="R51" s="4"/>
      <c r="S51" s="4"/>
      <c r="T51" s="2"/>
      <c r="U51" s="2"/>
      <c r="V51" s="2"/>
      <c r="W51" s="2"/>
      <c r="X51" s="2"/>
      <c r="Y51" s="2"/>
      <c r="Z51" s="2"/>
    </row>
    <row r="52" spans="1:26" ht="12.75" customHeight="1" x14ac:dyDescent="0.3">
      <c r="A52" s="39"/>
      <c r="B52" s="39"/>
      <c r="C52" s="39"/>
      <c r="D52" s="39"/>
      <c r="E52" s="39"/>
      <c r="F52" s="39"/>
      <c r="G52" s="39"/>
      <c r="H52" s="39"/>
      <c r="I52" s="40"/>
      <c r="J52" s="41"/>
      <c r="K52" s="40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3">
      <c r="A53" s="6" t="s">
        <v>21</v>
      </c>
      <c r="B53" s="5"/>
      <c r="C53" s="2"/>
      <c r="D53" s="11" t="s">
        <v>54</v>
      </c>
      <c r="E53" s="6">
        <f>A25*1.5/1000</f>
        <v>19.32</v>
      </c>
      <c r="F53" s="2"/>
      <c r="G53" s="6" t="s">
        <v>23</v>
      </c>
      <c r="H53" s="6">
        <f>R59</f>
        <v>53.77777777777851</v>
      </c>
      <c r="I53" s="40"/>
      <c r="J53" s="41"/>
      <c r="K53" s="40"/>
      <c r="L53" s="2"/>
      <c r="N53" s="2" t="s">
        <v>24</v>
      </c>
      <c r="O53" s="87" t="s">
        <v>137</v>
      </c>
      <c r="P53" s="2"/>
      <c r="Q53" s="2" t="s">
        <v>24</v>
      </c>
      <c r="R53" s="2" t="s">
        <v>25</v>
      </c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3">
      <c r="A54" s="2"/>
      <c r="B54" s="10"/>
      <c r="C54" s="2"/>
      <c r="D54" s="11" t="s">
        <v>57</v>
      </c>
      <c r="E54" s="6">
        <v>0.4</v>
      </c>
      <c r="F54" s="2"/>
      <c r="G54" s="2"/>
      <c r="H54" s="2"/>
      <c r="I54" s="40"/>
      <c r="J54" s="41"/>
      <c r="K54" s="40"/>
      <c r="L54" s="2"/>
      <c r="N54" s="2">
        <v>0</v>
      </c>
      <c r="O54" s="2">
        <f>12.88*1000</f>
        <v>12880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3">
      <c r="A55" s="6" t="s">
        <v>27</v>
      </c>
      <c r="B55" s="6">
        <f>D11</f>
        <v>1</v>
      </c>
      <c r="C55" s="2"/>
      <c r="D55" s="2"/>
      <c r="E55" s="2"/>
      <c r="F55" s="2"/>
      <c r="G55" s="2"/>
      <c r="H55" s="2"/>
      <c r="I55" s="40"/>
      <c r="J55" s="41"/>
      <c r="K55" s="40"/>
      <c r="L55" s="2"/>
      <c r="N55" s="2">
        <v>5</v>
      </c>
      <c r="O55" s="2">
        <f>4.66*1000</f>
        <v>4660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N56" s="2">
        <v>10</v>
      </c>
      <c r="O56" s="2">
        <f>3.55*1000</f>
        <v>3550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3">
      <c r="A57" s="2" t="s">
        <v>134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N57" s="2">
        <v>15</v>
      </c>
      <c r="O57" s="2">
        <f>2.4*1000</f>
        <v>2400</v>
      </c>
      <c r="P57" s="2"/>
      <c r="Q57" s="2" t="s">
        <v>28</v>
      </c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3">
      <c r="A58" s="42" t="s">
        <v>29</v>
      </c>
      <c r="B58" s="42" t="s">
        <v>30</v>
      </c>
      <c r="C58" s="42" t="s">
        <v>31</v>
      </c>
      <c r="D58" s="42" t="s">
        <v>32</v>
      </c>
      <c r="E58" s="42" t="s">
        <v>33</v>
      </c>
      <c r="F58" s="42" t="s">
        <v>34</v>
      </c>
      <c r="G58" s="43" t="s">
        <v>35</v>
      </c>
      <c r="H58" s="42" t="s">
        <v>36</v>
      </c>
      <c r="I58" s="43" t="s">
        <v>37</v>
      </c>
      <c r="J58" s="43" t="s">
        <v>38</v>
      </c>
      <c r="K58" s="42" t="s">
        <v>39</v>
      </c>
      <c r="L58" s="2"/>
      <c r="N58" s="2">
        <v>20</v>
      </c>
      <c r="O58" s="2">
        <f>1.21*1000</f>
        <v>1210</v>
      </c>
      <c r="P58" s="2"/>
      <c r="Q58" s="2">
        <f>IF(Q59&lt;=25,N58,IF(Q59&gt;=25,N59,0))</f>
        <v>20</v>
      </c>
      <c r="R58" s="2">
        <f>VLOOKUP(Q58,$N$53:$O$63,2,FALSE)</f>
        <v>1210</v>
      </c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3">
      <c r="A59" s="14" t="s">
        <v>40</v>
      </c>
      <c r="B59" s="15" t="s">
        <v>139</v>
      </c>
      <c r="C59" s="15" t="s">
        <v>41</v>
      </c>
      <c r="D59" s="15">
        <f>I25</f>
        <v>7.0710678118654755</v>
      </c>
      <c r="E59" s="17">
        <f>SQRT(5)</f>
        <v>2.2360679774997898</v>
      </c>
      <c r="F59" s="15">
        <v>4</v>
      </c>
      <c r="G59" s="15">
        <f t="shared" ref="G59:G63" si="7">D59/E59</f>
        <v>3.1622776601683791</v>
      </c>
      <c r="H59" s="15">
        <v>1</v>
      </c>
      <c r="I59" s="15">
        <f t="shared" ref="I59:I63" si="8">G59*H59</f>
        <v>3.1622776601683791</v>
      </c>
      <c r="J59" s="15">
        <f t="shared" ref="J59:J63" si="9">I59^2</f>
        <v>9.9999999999999982</v>
      </c>
      <c r="K59" s="15">
        <f t="shared" ref="K59:K63" si="10">I59^4/F59</f>
        <v>24.999999999999993</v>
      </c>
      <c r="L59" s="2"/>
      <c r="N59" s="2">
        <v>25</v>
      </c>
      <c r="O59" s="2">
        <v>0</v>
      </c>
      <c r="P59" s="2"/>
      <c r="Q59" s="3">
        <f>B25</f>
        <v>24.777777777777775</v>
      </c>
      <c r="R59" s="2">
        <f>(Q59-Q58)*(R60-R58)/(Q60-Q58)+R58</f>
        <v>53.77777777777851</v>
      </c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3">
      <c r="A60" s="18" t="s">
        <v>42</v>
      </c>
      <c r="B60" s="15" t="s">
        <v>139</v>
      </c>
      <c r="C60" s="17" t="s">
        <v>43</v>
      </c>
      <c r="D60" s="17">
        <f>E53</f>
        <v>19.32</v>
      </c>
      <c r="E60" s="17">
        <v>2</v>
      </c>
      <c r="F60" s="17">
        <v>60</v>
      </c>
      <c r="G60" s="17">
        <f t="shared" si="7"/>
        <v>9.66</v>
      </c>
      <c r="H60" s="17">
        <v>1</v>
      </c>
      <c r="I60" s="17">
        <f t="shared" si="8"/>
        <v>9.66</v>
      </c>
      <c r="J60" s="17">
        <f t="shared" si="9"/>
        <v>93.315600000000003</v>
      </c>
      <c r="K60" s="17">
        <f t="shared" si="10"/>
        <v>145.13002005600001</v>
      </c>
      <c r="L60" s="2"/>
      <c r="N60" s="2">
        <v>30</v>
      </c>
      <c r="O60" s="2">
        <f>-1.24*1000</f>
        <v>-1240</v>
      </c>
      <c r="P60" s="2"/>
      <c r="Q60" s="2">
        <f>IF(Q59&lt;=25,N59,IF(Q59&gt;=25,N60,0))</f>
        <v>25</v>
      </c>
      <c r="R60" s="2">
        <f>VLOOKUP(Q60,$N$53:$O$63,2,FALSE)</f>
        <v>0</v>
      </c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3">
      <c r="A61" s="18" t="s">
        <v>44</v>
      </c>
      <c r="B61" s="15" t="s">
        <v>139</v>
      </c>
      <c r="C61" s="17" t="s">
        <v>45</v>
      </c>
      <c r="D61" s="17">
        <f>R59</f>
        <v>53.77777777777851</v>
      </c>
      <c r="E61" s="17">
        <f t="shared" ref="E61:E62" si="11">SQRT(3)</f>
        <v>1.7320508075688772</v>
      </c>
      <c r="F61" s="17">
        <v>50</v>
      </c>
      <c r="G61" s="17">
        <f t="shared" si="7"/>
        <v>31.048614476420298</v>
      </c>
      <c r="H61" s="17">
        <v>1</v>
      </c>
      <c r="I61" s="17">
        <f t="shared" si="8"/>
        <v>31.048614476420298</v>
      </c>
      <c r="J61" s="17">
        <f t="shared" si="9"/>
        <v>964.01646090537611</v>
      </c>
      <c r="K61" s="17">
        <f t="shared" si="10"/>
        <v>18586.554737930532</v>
      </c>
      <c r="L61" s="2"/>
      <c r="N61" s="2">
        <v>35</v>
      </c>
      <c r="O61" s="2">
        <f>-2.51*1000</f>
        <v>-2510</v>
      </c>
      <c r="P61" s="2"/>
      <c r="Q61" s="2" t="str">
        <f>A83</f>
        <v>Pengaruh ketidakpastian Termometer digital</v>
      </c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3">
      <c r="A62" s="18" t="s">
        <v>46</v>
      </c>
      <c r="B62" s="15" t="s">
        <v>139</v>
      </c>
      <c r="C62" s="17" t="s">
        <v>45</v>
      </c>
      <c r="D62" s="17">
        <f>B55/2</f>
        <v>0.5</v>
      </c>
      <c r="E62" s="17">
        <f t="shared" si="11"/>
        <v>1.7320508075688772</v>
      </c>
      <c r="F62" s="17">
        <v>50</v>
      </c>
      <c r="G62" s="17">
        <f t="shared" si="7"/>
        <v>0.28867513459481292</v>
      </c>
      <c r="H62" s="17">
        <v>1</v>
      </c>
      <c r="I62" s="17">
        <f t="shared" si="8"/>
        <v>0.28867513459481292</v>
      </c>
      <c r="J62" s="17">
        <f t="shared" si="9"/>
        <v>8.3333333333333356E-2</v>
      </c>
      <c r="K62" s="17">
        <f t="shared" si="10"/>
        <v>1.3888888888888897E-4</v>
      </c>
      <c r="L62" s="2"/>
      <c r="N62" s="2"/>
      <c r="O62" s="2"/>
      <c r="P62" s="2"/>
      <c r="Q62" s="2">
        <v>15</v>
      </c>
      <c r="R62" s="2">
        <f>O57</f>
        <v>2400</v>
      </c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3">
      <c r="A63" s="19" t="s">
        <v>47</v>
      </c>
      <c r="B63" s="20" t="s">
        <v>48</v>
      </c>
      <c r="C63" s="20" t="s">
        <v>41</v>
      </c>
      <c r="D63" s="2">
        <f>E54</f>
        <v>0.4</v>
      </c>
      <c r="E63" s="2">
        <v>2</v>
      </c>
      <c r="F63" s="20">
        <v>60</v>
      </c>
      <c r="G63" s="17">
        <f t="shared" si="7"/>
        <v>0.2</v>
      </c>
      <c r="H63" s="17">
        <f>0.02/5</f>
        <v>4.0000000000000001E-3</v>
      </c>
      <c r="I63" s="17">
        <f t="shared" si="8"/>
        <v>8.0000000000000004E-4</v>
      </c>
      <c r="J63" s="17">
        <f t="shared" si="9"/>
        <v>6.4000000000000001E-7</v>
      </c>
      <c r="K63" s="17">
        <f t="shared" si="10"/>
        <v>6.8266666666666674E-15</v>
      </c>
      <c r="L63" s="2"/>
      <c r="N63" s="2"/>
      <c r="O63" s="2"/>
      <c r="P63" s="2"/>
      <c r="Q63" s="3">
        <f>B25+E54</f>
        <v>25.177777777777774</v>
      </c>
      <c r="R63" s="2">
        <f>(Q63-Q62)*(R64-R62)/(Q64-Q62)+R62</f>
        <v>-42.687022222221458</v>
      </c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3">
      <c r="A64" s="21" t="s">
        <v>49</v>
      </c>
      <c r="B64" s="22"/>
      <c r="C64" s="22"/>
      <c r="D64" s="22"/>
      <c r="E64" s="22"/>
      <c r="F64" s="22"/>
      <c r="G64" s="22"/>
      <c r="H64" s="23"/>
      <c r="I64" s="24"/>
      <c r="J64" s="25">
        <f t="shared" ref="J64:K64" si="12">SUM(J59:J63)</f>
        <v>1067.4153948787093</v>
      </c>
      <c r="K64" s="15">
        <f t="shared" si="12"/>
        <v>18756.68489687542</v>
      </c>
      <c r="L64" s="2"/>
      <c r="M64" s="2"/>
      <c r="N64" s="2"/>
      <c r="O64" s="2"/>
      <c r="P64" s="2"/>
      <c r="Q64" s="2">
        <v>25</v>
      </c>
      <c r="R64" s="2">
        <v>-0.02</v>
      </c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3">
      <c r="A65" s="26" t="s">
        <v>50</v>
      </c>
      <c r="B65" s="27"/>
      <c r="C65" s="27"/>
      <c r="D65" s="27"/>
      <c r="E65" s="27"/>
      <c r="F65" s="27"/>
      <c r="G65" s="27"/>
      <c r="H65" s="28"/>
      <c r="I65" s="29"/>
      <c r="J65" s="25">
        <f>SQRT(J64)</f>
        <v>32.671323739308598</v>
      </c>
      <c r="K65" s="1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3">
      <c r="A66" s="26" t="s">
        <v>51</v>
      </c>
      <c r="B66" s="27"/>
      <c r="C66" s="27"/>
      <c r="D66" s="27"/>
      <c r="E66" s="27"/>
      <c r="F66" s="27"/>
      <c r="G66" s="27"/>
      <c r="H66" s="28"/>
      <c r="I66" s="29"/>
      <c r="J66" s="25">
        <f>J65^4/K64</f>
        <v>60.745042713484729</v>
      </c>
      <c r="K66" s="17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3">
      <c r="A67" s="26" t="s">
        <v>52</v>
      </c>
      <c r="B67" s="27"/>
      <c r="C67" s="27"/>
      <c r="D67" s="27"/>
      <c r="E67" s="27"/>
      <c r="F67" s="27"/>
      <c r="G67" s="27"/>
      <c r="H67" s="28"/>
      <c r="I67" s="29"/>
      <c r="J67" s="25">
        <f>TINV(0.05,J66)</f>
        <v>2.0002978220142609</v>
      </c>
      <c r="K67" s="17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3">
      <c r="A68" s="30" t="s">
        <v>53</v>
      </c>
      <c r="B68" s="31"/>
      <c r="C68" s="31"/>
      <c r="D68" s="31"/>
      <c r="E68" s="31"/>
      <c r="F68" s="31"/>
      <c r="G68" s="31"/>
      <c r="H68" s="32"/>
      <c r="I68" s="33"/>
      <c r="J68" s="34">
        <f>J67*J65</f>
        <v>65.352377718061803</v>
      </c>
      <c r="K68" s="35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">
      <c r="A69" s="39"/>
      <c r="B69" s="39"/>
      <c r="C69" s="39"/>
      <c r="D69" s="39"/>
      <c r="E69" s="39"/>
      <c r="F69" s="39"/>
      <c r="G69" s="39"/>
      <c r="H69" s="39"/>
      <c r="I69" s="40"/>
      <c r="J69" s="45"/>
      <c r="K69" s="40"/>
      <c r="L69" s="4"/>
      <c r="M69" s="4"/>
      <c r="N69" s="4"/>
      <c r="O69" s="4"/>
      <c r="P69" s="4"/>
      <c r="Q69" s="4"/>
      <c r="R69" s="4"/>
      <c r="S69" s="4"/>
      <c r="T69" s="2"/>
      <c r="U69" s="2"/>
      <c r="V69" s="2"/>
      <c r="W69" s="2"/>
      <c r="X69" s="2"/>
      <c r="Y69" s="2"/>
      <c r="Z69" s="2"/>
    </row>
    <row r="70" spans="1:26" ht="12.75" customHeight="1" x14ac:dyDescent="0.3">
      <c r="A70" s="36"/>
      <c r="B70" s="36"/>
      <c r="C70" s="36"/>
      <c r="D70" s="36"/>
      <c r="E70" s="36"/>
      <c r="F70" s="36"/>
      <c r="G70" s="36"/>
      <c r="H70" s="36"/>
      <c r="I70" s="37"/>
      <c r="J70" s="38"/>
      <c r="K70" s="37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3">
      <c r="A71" s="39"/>
      <c r="B71" s="39"/>
      <c r="C71" s="39"/>
      <c r="D71" s="39"/>
      <c r="E71" s="39"/>
      <c r="F71" s="39"/>
      <c r="G71" s="39"/>
      <c r="H71" s="39"/>
      <c r="I71" s="40"/>
      <c r="J71" s="41"/>
      <c r="K71" s="40"/>
      <c r="L71" s="2"/>
      <c r="N71" s="2" t="s">
        <v>24</v>
      </c>
      <c r="O71" s="87" t="s">
        <v>130</v>
      </c>
      <c r="P71" s="2"/>
      <c r="Q71" s="2" t="s">
        <v>24</v>
      </c>
      <c r="R71" s="2" t="s">
        <v>25</v>
      </c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">
      <c r="A72" s="6" t="s">
        <v>21</v>
      </c>
      <c r="B72" s="5"/>
      <c r="C72" s="2"/>
      <c r="D72" s="6" t="s">
        <v>56</v>
      </c>
      <c r="E72" s="6">
        <v>0.84</v>
      </c>
      <c r="F72" s="2"/>
      <c r="G72" s="6" t="s">
        <v>23</v>
      </c>
      <c r="H72" s="6">
        <f>R77</f>
        <v>45.737777777777687</v>
      </c>
      <c r="I72" s="40"/>
      <c r="J72" s="41"/>
      <c r="K72" s="40"/>
      <c r="L72" s="2"/>
      <c r="N72">
        <v>18</v>
      </c>
      <c r="O72" s="2">
        <v>11.480000000000004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">
      <c r="A73" s="2"/>
      <c r="B73" s="10"/>
      <c r="C73" s="2"/>
      <c r="D73" s="11" t="s">
        <v>55</v>
      </c>
      <c r="E73" s="6">
        <v>0.4</v>
      </c>
      <c r="F73" s="2"/>
      <c r="G73" s="2"/>
      <c r="H73" s="2"/>
      <c r="I73" s="40"/>
      <c r="J73" s="41"/>
      <c r="K73" s="40"/>
      <c r="L73" s="2"/>
      <c r="N73">
        <v>20</v>
      </c>
      <c r="O73" s="2">
        <v>8.2000000000000028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">
      <c r="A74" s="6" t="s">
        <v>27</v>
      </c>
      <c r="B74" s="6">
        <f>D11</f>
        <v>1</v>
      </c>
      <c r="C74" s="2"/>
      <c r="D74" s="2"/>
      <c r="E74" s="2"/>
      <c r="F74" s="2"/>
      <c r="G74" s="2"/>
      <c r="H74" s="2"/>
      <c r="I74" s="40"/>
      <c r="J74" s="41"/>
      <c r="K74" s="40"/>
      <c r="L74" s="2"/>
      <c r="N74">
        <v>23</v>
      </c>
      <c r="O74" s="2">
        <v>3.2800000000000011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N75">
        <v>25</v>
      </c>
      <c r="O75" s="2">
        <v>0</v>
      </c>
      <c r="P75" s="2"/>
      <c r="Q75" s="2" t="s">
        <v>28</v>
      </c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N76">
        <v>28</v>
      </c>
      <c r="O76" s="2">
        <v>-3.2800000000000011</v>
      </c>
      <c r="P76" s="2"/>
      <c r="Q76" s="2">
        <f>IF(Q77&lt;=25,N74,IF(Q77&gt;=25,N75,0))</f>
        <v>23</v>
      </c>
      <c r="R76" s="2">
        <f>VLOOKUP(Q76,$N$71:$O$81,2,FALSE)</f>
        <v>3.2800000000000011</v>
      </c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">
      <c r="A77" s="39" t="s">
        <v>135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N77" s="2"/>
      <c r="O77" s="2"/>
      <c r="P77" s="2"/>
      <c r="Q77" s="3">
        <f>B30</f>
        <v>-2.8888888888888253</v>
      </c>
      <c r="R77" s="2">
        <f>(Q77-Q76)*(R78-R76)/(Q78-Q76)+R76</f>
        <v>45.737777777777687</v>
      </c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">
      <c r="A78" s="42" t="s">
        <v>29</v>
      </c>
      <c r="B78" s="42" t="s">
        <v>30</v>
      </c>
      <c r="C78" s="42" t="s">
        <v>31</v>
      </c>
      <c r="D78" s="42" t="s">
        <v>32</v>
      </c>
      <c r="E78" s="42" t="s">
        <v>33</v>
      </c>
      <c r="F78" s="42" t="s">
        <v>34</v>
      </c>
      <c r="G78" s="43" t="s">
        <v>35</v>
      </c>
      <c r="H78" s="42" t="s">
        <v>36</v>
      </c>
      <c r="I78" s="43" t="s">
        <v>37</v>
      </c>
      <c r="J78" s="43" t="s">
        <v>38</v>
      </c>
      <c r="K78" s="42" t="s">
        <v>39</v>
      </c>
      <c r="L78" s="2"/>
      <c r="N78" s="2"/>
      <c r="O78" s="2"/>
      <c r="P78" s="2"/>
      <c r="Q78" s="2">
        <f>IF(Q77&lt;=25,N75,IF(Q77&gt;=25,N76,0))</f>
        <v>25</v>
      </c>
      <c r="R78" s="2">
        <f>VLOOKUP(Q78,$N$71:$O$81,2,FALSE)</f>
        <v>0</v>
      </c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">
      <c r="A79" s="14" t="s">
        <v>40</v>
      </c>
      <c r="B79" s="15" t="s">
        <v>139</v>
      </c>
      <c r="C79" s="15" t="s">
        <v>41</v>
      </c>
      <c r="D79" s="15" t="e">
        <f>I30</f>
        <v>#DIV/0!</v>
      </c>
      <c r="E79" s="17">
        <f>SQRT(5)</f>
        <v>2.2360679774997898</v>
      </c>
      <c r="F79" s="15">
        <v>4</v>
      </c>
      <c r="G79" s="15" t="e">
        <f t="shared" ref="G79:G83" si="13">D79/E79</f>
        <v>#DIV/0!</v>
      </c>
      <c r="H79" s="15">
        <v>1</v>
      </c>
      <c r="I79" s="15" t="e">
        <f t="shared" ref="I79:I83" si="14">G79*H79</f>
        <v>#DIV/0!</v>
      </c>
      <c r="J79" s="15" t="e">
        <f t="shared" ref="J79:J83" si="15">I79^2</f>
        <v>#DIV/0!</v>
      </c>
      <c r="K79" s="15" t="e">
        <f t="shared" ref="K79:K83" si="16">I79^4/F79</f>
        <v>#DIV/0!</v>
      </c>
      <c r="L79" s="2"/>
      <c r="N79" s="2"/>
      <c r="O79" s="2"/>
      <c r="P79" s="2"/>
      <c r="Q79" s="2" t="str">
        <f>A83</f>
        <v>Pengaruh ketidakpastian Termometer digital</v>
      </c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">
      <c r="A80" s="18" t="s">
        <v>42</v>
      </c>
      <c r="B80" s="15" t="s">
        <v>139</v>
      </c>
      <c r="C80" s="17" t="s">
        <v>43</v>
      </c>
      <c r="D80" s="17">
        <f>E72</f>
        <v>0.84</v>
      </c>
      <c r="E80" s="17">
        <v>2</v>
      </c>
      <c r="F80" s="17">
        <v>60</v>
      </c>
      <c r="G80" s="17">
        <f t="shared" si="13"/>
        <v>0.42</v>
      </c>
      <c r="H80" s="17">
        <v>1</v>
      </c>
      <c r="I80" s="17">
        <f t="shared" si="14"/>
        <v>0.42</v>
      </c>
      <c r="J80" s="17">
        <f t="shared" si="15"/>
        <v>0.17639999999999997</v>
      </c>
      <c r="K80" s="17">
        <f t="shared" si="16"/>
        <v>5.1861599999999985E-4</v>
      </c>
      <c r="L80" s="2"/>
      <c r="N80" s="2"/>
      <c r="O80" s="2"/>
      <c r="P80" s="2"/>
      <c r="Q80" s="2">
        <f>N76</f>
        <v>28</v>
      </c>
      <c r="R80" s="2">
        <f>O76</f>
        <v>-3.2800000000000011</v>
      </c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">
      <c r="A81" s="18" t="s">
        <v>44</v>
      </c>
      <c r="B81" s="15" t="s">
        <v>139</v>
      </c>
      <c r="C81" s="17" t="s">
        <v>45</v>
      </c>
      <c r="D81" s="17">
        <f>R77</f>
        <v>45.737777777777687</v>
      </c>
      <c r="E81" s="17">
        <f t="shared" ref="E81:E82" si="17">SQRT(3)</f>
        <v>1.7320508075688772</v>
      </c>
      <c r="F81" s="17">
        <v>50</v>
      </c>
      <c r="G81" s="17">
        <f t="shared" si="13"/>
        <v>26.406718312135233</v>
      </c>
      <c r="H81" s="17">
        <v>1</v>
      </c>
      <c r="I81" s="17">
        <f t="shared" si="14"/>
        <v>26.406718312135233</v>
      </c>
      <c r="J81" s="17">
        <f t="shared" si="15"/>
        <v>697.31477201645828</v>
      </c>
      <c r="K81" s="17">
        <f t="shared" si="16"/>
        <v>9724.9578254473035</v>
      </c>
      <c r="L81" s="2"/>
      <c r="N81" s="2"/>
      <c r="O81" s="2"/>
      <c r="P81" s="2"/>
      <c r="Q81" s="3">
        <f>E73+B30</f>
        <v>-2.4888888888888254</v>
      </c>
      <c r="R81" s="2">
        <f>(Q81-Q80)*(R82-R80)/(Q82-Q80)+R80</f>
        <v>0.29155555555554802</v>
      </c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">
      <c r="A82" s="18" t="s">
        <v>46</v>
      </c>
      <c r="B82" s="15" t="s">
        <v>139</v>
      </c>
      <c r="C82" s="17" t="s">
        <v>45</v>
      </c>
      <c r="D82" s="17">
        <f>B74/2</f>
        <v>0.5</v>
      </c>
      <c r="E82" s="17">
        <f t="shared" si="17"/>
        <v>1.7320508075688772</v>
      </c>
      <c r="F82" s="17">
        <v>50</v>
      </c>
      <c r="G82" s="17">
        <f t="shared" si="13"/>
        <v>0.28867513459481292</v>
      </c>
      <c r="H82" s="17">
        <v>1</v>
      </c>
      <c r="I82" s="17">
        <f t="shared" si="14"/>
        <v>0.28867513459481292</v>
      </c>
      <c r="J82" s="17">
        <f t="shared" si="15"/>
        <v>8.3333333333333356E-2</v>
      </c>
      <c r="K82" s="17">
        <f t="shared" si="16"/>
        <v>1.3888888888888897E-4</v>
      </c>
      <c r="L82" s="2"/>
      <c r="M82" s="2"/>
      <c r="N82" s="2"/>
      <c r="O82" s="2"/>
      <c r="P82" s="2"/>
      <c r="Q82" s="2">
        <f>N77</f>
        <v>0</v>
      </c>
      <c r="R82" s="2">
        <f>O77</f>
        <v>0</v>
      </c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">
      <c r="A83" s="19" t="s">
        <v>47</v>
      </c>
      <c r="B83" s="20" t="s">
        <v>48</v>
      </c>
      <c r="C83" s="20" t="s">
        <v>41</v>
      </c>
      <c r="D83" s="17">
        <f>E73</f>
        <v>0.4</v>
      </c>
      <c r="E83" s="17">
        <v>2</v>
      </c>
      <c r="F83" s="17">
        <v>60</v>
      </c>
      <c r="G83" s="17">
        <f t="shared" si="13"/>
        <v>0.2</v>
      </c>
      <c r="H83" s="17">
        <f>0.05/5</f>
        <v>0.01</v>
      </c>
      <c r="I83" s="17">
        <f t="shared" si="14"/>
        <v>2E-3</v>
      </c>
      <c r="J83" s="17">
        <f t="shared" si="15"/>
        <v>3.9999999999999998E-6</v>
      </c>
      <c r="K83" s="17">
        <f t="shared" si="16"/>
        <v>2.6666666666666667E-13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">
      <c r="A84" s="21" t="s">
        <v>49</v>
      </c>
      <c r="B84" s="22"/>
      <c r="C84" s="22"/>
      <c r="D84" s="22"/>
      <c r="E84" s="22"/>
      <c r="F84" s="22"/>
      <c r="G84" s="22"/>
      <c r="H84" s="23"/>
      <c r="I84" s="24"/>
      <c r="J84" s="25" t="e">
        <f t="shared" ref="J84:K84" si="18">SUM(J79:J82)</f>
        <v>#DIV/0!</v>
      </c>
      <c r="K84" s="15" t="e">
        <f t="shared" si="18"/>
        <v>#DIV/0!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">
      <c r="A85" s="26" t="s">
        <v>50</v>
      </c>
      <c r="B85" s="27"/>
      <c r="C85" s="27"/>
      <c r="D85" s="27"/>
      <c r="E85" s="27"/>
      <c r="F85" s="27"/>
      <c r="G85" s="27"/>
      <c r="H85" s="28"/>
      <c r="I85" s="29"/>
      <c r="J85" s="25" t="e">
        <f>SQRT(J84)</f>
        <v>#DIV/0!</v>
      </c>
      <c r="K85" s="17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">
      <c r="A86" s="26" t="s">
        <v>51</v>
      </c>
      <c r="B86" s="27"/>
      <c r="C86" s="27"/>
      <c r="D86" s="27"/>
      <c r="E86" s="27"/>
      <c r="F86" s="27"/>
      <c r="G86" s="27"/>
      <c r="H86" s="28"/>
      <c r="I86" s="29"/>
      <c r="J86" s="25" t="e">
        <f>J85^4/K84</f>
        <v>#DIV/0!</v>
      </c>
      <c r="K86" s="17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">
      <c r="A87" s="26" t="s">
        <v>52</v>
      </c>
      <c r="B87" s="27"/>
      <c r="C87" s="27"/>
      <c r="D87" s="27"/>
      <c r="E87" s="27"/>
      <c r="F87" s="27"/>
      <c r="G87" s="27"/>
      <c r="H87" s="28"/>
      <c r="I87" s="29"/>
      <c r="J87" s="25" t="e">
        <f>TINV(0.05,J86)</f>
        <v>#DIV/0!</v>
      </c>
      <c r="K87" s="17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">
      <c r="A88" s="30" t="s">
        <v>53</v>
      </c>
      <c r="B88" s="31"/>
      <c r="C88" s="31"/>
      <c r="D88" s="31"/>
      <c r="E88" s="31"/>
      <c r="F88" s="31"/>
      <c r="G88" s="31"/>
      <c r="H88" s="32"/>
      <c r="I88" s="33"/>
      <c r="J88" s="34" t="e">
        <f>J87*J85</f>
        <v>#DIV/0!</v>
      </c>
      <c r="K88" s="35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</sheetData>
  <mergeCells count="15">
    <mergeCell ref="A23:A24"/>
    <mergeCell ref="B23:B24"/>
    <mergeCell ref="C23:H23"/>
    <mergeCell ref="I23:I24"/>
    <mergeCell ref="J23:J24"/>
    <mergeCell ref="A28:A29"/>
    <mergeCell ref="B28:B29"/>
    <mergeCell ref="C28:H28"/>
    <mergeCell ref="I28:I29"/>
    <mergeCell ref="J28:J29"/>
    <mergeCell ref="A18:A19"/>
    <mergeCell ref="B18:B19"/>
    <mergeCell ref="C18:H18"/>
    <mergeCell ref="I18:I19"/>
    <mergeCell ref="J18:J19"/>
  </mergeCells>
  <pageMargins left="0.7" right="0.7" top="0.75" bottom="0.75" header="0" footer="0"/>
  <pageSetup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61F1-B3F1-48D7-B7C6-4C26582B7AD0}">
  <dimension ref="B2:D19"/>
  <sheetViews>
    <sheetView workbookViewId="0">
      <selection activeCell="B15" sqref="B15:B19"/>
    </sheetView>
  </sheetViews>
  <sheetFormatPr defaultRowHeight="13.8" x14ac:dyDescent="0.3"/>
  <sheetData>
    <row r="2" spans="2:4" x14ac:dyDescent="0.3">
      <c r="B2" s="2" t="s">
        <v>24</v>
      </c>
      <c r="C2" s="87" t="s">
        <v>137</v>
      </c>
    </row>
    <row r="3" spans="2:4" x14ac:dyDescent="0.3">
      <c r="B3" s="2">
        <v>0</v>
      </c>
      <c r="C3" s="2">
        <v>0</v>
      </c>
      <c r="D3">
        <f t="shared" ref="D3:D7" si="0">12.88-C3</f>
        <v>12.88</v>
      </c>
    </row>
    <row r="4" spans="2:4" x14ac:dyDescent="0.3">
      <c r="B4" s="2">
        <v>5</v>
      </c>
      <c r="C4" s="2">
        <v>8.2200000000000006</v>
      </c>
      <c r="D4">
        <f t="shared" si="0"/>
        <v>4.66</v>
      </c>
    </row>
    <row r="5" spans="2:4" x14ac:dyDescent="0.3">
      <c r="B5" s="2">
        <v>10</v>
      </c>
      <c r="C5" s="2">
        <v>9.33</v>
      </c>
      <c r="D5">
        <f t="shared" si="0"/>
        <v>3.5500000000000007</v>
      </c>
    </row>
    <row r="6" spans="2:4" x14ac:dyDescent="0.3">
      <c r="B6" s="2">
        <v>15</v>
      </c>
      <c r="C6" s="2">
        <v>10.48</v>
      </c>
      <c r="D6">
        <f t="shared" si="0"/>
        <v>2.4000000000000004</v>
      </c>
    </row>
    <row r="7" spans="2:4" x14ac:dyDescent="0.3">
      <c r="B7" s="2">
        <v>20</v>
      </c>
      <c r="C7" s="2">
        <v>11.67</v>
      </c>
      <c r="D7">
        <f t="shared" si="0"/>
        <v>1.2100000000000009</v>
      </c>
    </row>
    <row r="8" spans="2:4" x14ac:dyDescent="0.3">
      <c r="B8" s="2">
        <v>25</v>
      </c>
      <c r="C8" s="2">
        <v>12.88</v>
      </c>
      <c r="D8">
        <f>12.88-C8</f>
        <v>0</v>
      </c>
    </row>
    <row r="9" spans="2:4" x14ac:dyDescent="0.3">
      <c r="B9" s="2">
        <v>30</v>
      </c>
      <c r="C9" s="2">
        <v>14.12</v>
      </c>
      <c r="D9">
        <f t="shared" ref="D9:D10" si="1">12.88-C9</f>
        <v>-1.2399999999999984</v>
      </c>
    </row>
    <row r="10" spans="2:4" x14ac:dyDescent="0.3">
      <c r="B10" s="2">
        <v>35</v>
      </c>
      <c r="C10" s="2">
        <v>15.39</v>
      </c>
      <c r="D10">
        <f t="shared" si="1"/>
        <v>-2.5099999999999998</v>
      </c>
    </row>
    <row r="15" spans="2:4" x14ac:dyDescent="0.3">
      <c r="B15">
        <v>18</v>
      </c>
      <c r="C15">
        <v>72.52</v>
      </c>
      <c r="D15">
        <f t="shared" ref="D15:D17" si="2">84-C15</f>
        <v>11.480000000000004</v>
      </c>
    </row>
    <row r="16" spans="2:4" x14ac:dyDescent="0.3">
      <c r="B16">
        <v>20</v>
      </c>
      <c r="C16">
        <v>75.8</v>
      </c>
      <c r="D16">
        <f t="shared" si="2"/>
        <v>8.2000000000000028</v>
      </c>
    </row>
    <row r="17" spans="2:4" x14ac:dyDescent="0.3">
      <c r="B17">
        <v>23</v>
      </c>
      <c r="C17">
        <v>80.72</v>
      </c>
      <c r="D17">
        <f t="shared" si="2"/>
        <v>3.2800000000000011</v>
      </c>
    </row>
    <row r="18" spans="2:4" x14ac:dyDescent="0.3">
      <c r="B18">
        <v>25</v>
      </c>
      <c r="C18">
        <v>84</v>
      </c>
      <c r="D18">
        <f>84-C18</f>
        <v>0</v>
      </c>
    </row>
    <row r="19" spans="2:4" x14ac:dyDescent="0.3">
      <c r="B19">
        <v>28</v>
      </c>
      <c r="C19">
        <f>C18+D17</f>
        <v>87.28</v>
      </c>
      <c r="D19">
        <f>84-C19</f>
        <v>-3.2800000000000011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Sertifikat</vt:lpstr>
      <vt:lpstr>Budget conducti  meter</vt:lpstr>
      <vt:lpstr>Sheet1</vt:lpstr>
      <vt:lpstr>Sertifikat!Print_Area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Wira Akira</dc:creator>
  <cp:lastModifiedBy>Athalla Abhiyoga</cp:lastModifiedBy>
  <cp:lastPrinted>2025-12-18T08:30:35Z</cp:lastPrinted>
  <dcterms:created xsi:type="dcterms:W3CDTF">2024-12-16T04:24:33Z</dcterms:created>
  <dcterms:modified xsi:type="dcterms:W3CDTF">2026-01-14T08:13:43Z</dcterms:modified>
</cp:coreProperties>
</file>