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ustomStorage/customStorage.xml" ContentType="application/vnd.wps-officedocument.customStorag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e65d6d73070849b/Desktop/Master Excel Budget Ketidakpastian/Anak Timbangan/"/>
    </mc:Choice>
  </mc:AlternateContent>
  <xr:revisionPtr revIDLastSave="1512" documentId="8_{06BE21D0-A154-4522-B110-ABBF6E9D0339}" xr6:coauthVersionLast="47" xr6:coauthVersionMax="47" xr10:uidLastSave="{4112291F-C522-4ADA-9D4F-9507662C365C}"/>
  <bookViews>
    <workbookView xWindow="-108" yWindow="-108" windowWidth="23256" windowHeight="12456" tabRatio="897" firstSheet="2" activeTab="2" xr2:uid="{00000000-000D-0000-FFFF-FFFF00000000}"/>
  </bookViews>
  <sheets>
    <sheet name="MPE" sheetId="6" state="hidden" r:id="rId1"/>
    <sheet name="E2" sheetId="58" state="hidden" r:id="rId2"/>
    <sheet name="FORM Baru" sheetId="128" r:id="rId3"/>
    <sheet name="FORM " sheetId="117" r:id="rId4"/>
    <sheet name="Sheet1" sheetId="129" r:id="rId5"/>
    <sheet name="0,001" sheetId="102" r:id="rId6"/>
    <sheet name="Koreksi themohygro rotronic 202" sheetId="95" r:id="rId7"/>
    <sheet name="Sertifikat" sheetId="94" r:id="rId8"/>
    <sheet name="Database" sheetId="111" r:id="rId9"/>
  </sheets>
  <definedNames>
    <definedName name="_xlnm.Print_Area" localSheetId="7">Sertifikat!$A$1:$K$173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0" i="94" l="1"/>
  <c r="AF17" i="111"/>
  <c r="AF18" i="111"/>
  <c r="AF19" i="111"/>
  <c r="AF20" i="111"/>
  <c r="AF21" i="111"/>
  <c r="AF22" i="111"/>
  <c r="AF23" i="111"/>
  <c r="AF24" i="111"/>
  <c r="AF25" i="111"/>
  <c r="AF26" i="111"/>
  <c r="AF27" i="111"/>
  <c r="AF28" i="111"/>
  <c r="C18" i="102"/>
  <c r="C17" i="102"/>
  <c r="E35" i="94"/>
  <c r="E33" i="94"/>
  <c r="G27" i="94"/>
  <c r="E25" i="94"/>
  <c r="E23" i="94"/>
  <c r="E21" i="94"/>
  <c r="E19" i="94"/>
  <c r="G57" i="102" l="1"/>
  <c r="C55" i="102" l="1"/>
  <c r="B20" i="117"/>
  <c r="B19" i="117"/>
  <c r="B101" i="94"/>
  <c r="C16" i="102"/>
  <c r="C15" i="102"/>
  <c r="E62" i="102" l="1"/>
  <c r="B100" i="94"/>
  <c r="D4" i="95"/>
  <c r="D3" i="95"/>
  <c r="C4" i="95"/>
  <c r="C3" i="95"/>
  <c r="D76" i="94"/>
  <c r="D75" i="94"/>
  <c r="D69" i="94"/>
  <c r="F64" i="94"/>
  <c r="D77" i="94"/>
  <c r="D72" i="94"/>
  <c r="F66" i="102"/>
  <c r="C56" i="102"/>
  <c r="C57" i="102" a="1"/>
  <c r="C57" i="102" s="1"/>
  <c r="F57" i="102" s="1"/>
  <c r="C7" i="102"/>
  <c r="K77" i="102" l="1"/>
  <c r="E65" i="102"/>
  <c r="H65" i="102" s="1"/>
  <c r="J65" i="102" s="1"/>
  <c r="K65" i="102" s="1"/>
  <c r="H62" i="102"/>
  <c r="F63" i="94"/>
  <c r="L65" i="102" l="1"/>
  <c r="E64" i="102"/>
  <c r="H64" i="102" s="1"/>
  <c r="J64" i="102" s="1"/>
  <c r="K64" i="102" s="1"/>
  <c r="J62" i="102"/>
  <c r="K62" i="102" s="1"/>
  <c r="G47" i="102"/>
  <c r="G41" i="102"/>
  <c r="G39" i="102"/>
  <c r="G37" i="102"/>
  <c r="G35" i="102"/>
  <c r="G33" i="102"/>
  <c r="G31" i="102"/>
  <c r="G29" i="102"/>
  <c r="G27" i="102"/>
  <c r="G45" i="102" s="1"/>
  <c r="G25" i="102"/>
  <c r="G23" i="102"/>
  <c r="C10" i="102"/>
  <c r="E10" i="102" s="1"/>
  <c r="I76" i="94" s="1"/>
  <c r="E9" i="102"/>
  <c r="E8" i="102"/>
  <c r="C4" i="102"/>
  <c r="L64" i="102" l="1"/>
  <c r="L62" i="102"/>
  <c r="G63" i="102"/>
  <c r="G43" i="102"/>
  <c r="G49" i="102" s="1"/>
  <c r="G51" i="102" l="1"/>
  <c r="G50" i="102"/>
  <c r="E83" i="94" s="1"/>
  <c r="E63" i="102" l="1"/>
  <c r="H63" i="102" s="1"/>
  <c r="J63" i="102" s="1"/>
  <c r="K63" i="102" l="1"/>
  <c r="K67" i="102" s="1"/>
  <c r="K69" i="102" s="1"/>
  <c r="L63" i="102"/>
  <c r="L67" i="102" s="1"/>
  <c r="K71" i="102" l="1"/>
  <c r="K73" i="102" s="1"/>
  <c r="K75" i="102" s="1"/>
  <c r="E66" i="102" s="1"/>
  <c r="H66" i="102" l="1"/>
  <c r="J66" i="102" s="1"/>
  <c r="D5" i="95"/>
  <c r="C5" i="95"/>
  <c r="D73" i="94"/>
  <c r="D68" i="94"/>
  <c r="D71" i="94"/>
  <c r="D70" i="94"/>
  <c r="L66" i="102" l="1"/>
  <c r="K66" i="102"/>
  <c r="D6" i="95"/>
  <c r="D8" i="95"/>
  <c r="C8" i="95"/>
  <c r="C9" i="95" s="1"/>
  <c r="C6" i="95"/>
  <c r="C10" i="95" l="1"/>
  <c r="I74" i="94" s="1"/>
  <c r="D10" i="95"/>
  <c r="I75" i="94" s="1"/>
  <c r="D7" i="95"/>
  <c r="D9" i="95" s="1"/>
  <c r="L68" i="102" l="1"/>
  <c r="K68" i="102"/>
  <c r="K70" i="102" s="1"/>
  <c r="K72" i="102" l="1"/>
  <c r="K74" i="102" s="1"/>
  <c r="K76" i="102" s="1"/>
  <c r="G83" i="9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<sst xmlns="http://schemas.openxmlformats.org/spreadsheetml/2006/main" count="495" uniqueCount="326">
  <si>
    <t>Nominal Value</t>
  </si>
  <si>
    <r>
      <rPr>
        <sz val="10"/>
        <rFont val="Arial"/>
        <family val="2"/>
      </rPr>
      <t>Class E</t>
    </r>
    <r>
      <rPr>
        <sz val="9"/>
        <rFont val="Arial"/>
        <family val="2"/>
      </rPr>
      <t>1</t>
    </r>
  </si>
  <si>
    <r>
      <rPr>
        <sz val="10"/>
        <rFont val="Arial"/>
        <family val="2"/>
      </rPr>
      <t>Class E</t>
    </r>
    <r>
      <rPr>
        <sz val="9"/>
        <rFont val="Arial"/>
        <family val="2"/>
      </rPr>
      <t>2</t>
    </r>
  </si>
  <si>
    <t>Class F1</t>
  </si>
  <si>
    <t>Class F2</t>
  </si>
  <si>
    <t>Class M1</t>
  </si>
  <si>
    <t>Class M2</t>
  </si>
  <si>
    <t>Class M3</t>
  </si>
  <si>
    <t>50 kg</t>
  </si>
  <si>
    <t>20 kg</t>
  </si>
  <si>
    <t>10 kg</t>
  </si>
  <si>
    <t>5 kg</t>
  </si>
  <si>
    <t>2 kg</t>
  </si>
  <si>
    <t xml:space="preserve">1 kg </t>
  </si>
  <si>
    <t>500 g</t>
  </si>
  <si>
    <t>200 g</t>
  </si>
  <si>
    <t>100 g</t>
  </si>
  <si>
    <t>50 g</t>
  </si>
  <si>
    <t>20 g</t>
  </si>
  <si>
    <t xml:space="preserve">10 g </t>
  </si>
  <si>
    <t>5 g</t>
  </si>
  <si>
    <t>2 g</t>
  </si>
  <si>
    <t>1 g</t>
  </si>
  <si>
    <t>500 mg</t>
  </si>
  <si>
    <t>-</t>
  </si>
  <si>
    <t>200 mg</t>
  </si>
  <si>
    <t xml:space="preserve">100 mg </t>
  </si>
  <si>
    <t>50 mg</t>
  </si>
  <si>
    <t>20 mg</t>
  </si>
  <si>
    <t>10 mg</t>
  </si>
  <si>
    <t>5 mg</t>
  </si>
  <si>
    <t>2 mg</t>
  </si>
  <si>
    <t>1 mg</t>
  </si>
  <si>
    <t>Nominal 
(g)</t>
  </si>
  <si>
    <t>Konvensional 
(g)</t>
  </si>
  <si>
    <t>Ketidakpastian 
(mg)</t>
  </si>
  <si>
    <t>2000*</t>
  </si>
  <si>
    <t>200*</t>
  </si>
  <si>
    <t>20*</t>
  </si>
  <si>
    <t>2*</t>
  </si>
  <si>
    <t>0,2*</t>
  </si>
  <si>
    <t>0,02*</t>
  </si>
  <si>
    <t>0,002*</t>
  </si>
  <si>
    <t>S E R T I F I K A T    K A L I B R A S I</t>
  </si>
  <si>
    <t>C A L I B R A T I O N    C E R T I F I C A T E</t>
  </si>
  <si>
    <t>IDENTITAS ALAT</t>
  </si>
  <si>
    <t>INSTRUMENT DETAILS</t>
  </si>
  <si>
    <t>Nama Alat</t>
  </si>
  <si>
    <r>
      <rPr>
        <i/>
        <sz val="8"/>
        <color rgb="FF000000"/>
        <rFont val="Bookman Old Style"/>
        <family val="1"/>
      </rPr>
      <t>Instrument Name</t>
    </r>
    <r>
      <rPr>
        <sz val="11"/>
        <color rgb="FF000000"/>
        <rFont val="Bookman Old Style"/>
        <family val="1"/>
      </rPr>
      <t xml:space="preserve"> </t>
    </r>
  </si>
  <si>
    <r>
      <rPr>
        <sz val="11"/>
        <color rgb="FF000000"/>
        <rFont val="Bookman Old Style"/>
        <family val="1"/>
      </rPr>
      <t>Merek</t>
    </r>
    <r>
      <rPr>
        <i/>
        <sz val="8"/>
        <color rgb="FF000000"/>
        <rFont val="Bookman Old Style"/>
        <family val="1"/>
      </rPr>
      <t xml:space="preserve"> </t>
    </r>
  </si>
  <si>
    <t>Brand</t>
  </si>
  <si>
    <t>Tipe</t>
  </si>
  <si>
    <t xml:space="preserve">Type </t>
  </si>
  <si>
    <t>Nomor Identifikasi</t>
  </si>
  <si>
    <t>Identification Number</t>
  </si>
  <si>
    <t xml:space="preserve">Nomor Seri </t>
  </si>
  <si>
    <t>Serial Number</t>
  </si>
  <si>
    <t>Lain-lain</t>
  </si>
  <si>
    <t>Others</t>
  </si>
  <si>
    <t>IDENTITAS PEMILIK</t>
  </si>
  <si>
    <t>Owner’s Identification</t>
  </si>
  <si>
    <r>
      <rPr>
        <sz val="11"/>
        <color rgb="FF000000"/>
        <rFont val="Bookman Old Style"/>
        <family val="1"/>
      </rPr>
      <t>Nama</t>
    </r>
    <r>
      <rPr>
        <i/>
        <sz val="8"/>
        <color rgb="FF000000"/>
        <rFont val="Bookman Old Style"/>
        <family val="1"/>
      </rPr>
      <t xml:space="preserve"> </t>
    </r>
  </si>
  <si>
    <t>Designation</t>
  </si>
  <si>
    <r>
      <rPr>
        <sz val="11"/>
        <color rgb="FF000000"/>
        <rFont val="Bookman Old Style"/>
        <family val="1"/>
      </rPr>
      <t>Alamat</t>
    </r>
    <r>
      <rPr>
        <i/>
        <sz val="8"/>
        <color rgb="FF000000"/>
        <rFont val="Bookman Old Style"/>
        <family val="1"/>
      </rPr>
      <t xml:space="preserve"> </t>
    </r>
  </si>
  <si>
    <t>Address</t>
  </si>
  <si>
    <t>Page          of            page</t>
  </si>
  <si>
    <t>Date of Issue</t>
  </si>
  <si>
    <t>Nomor</t>
  </si>
  <si>
    <t>No. Order</t>
  </si>
  <si>
    <t>Halaman</t>
  </si>
  <si>
    <t>SPESIFIKASI ALAT</t>
  </si>
  <si>
    <t>Nama</t>
  </si>
  <si>
    <t>Merk / Tipe</t>
  </si>
  <si>
    <t xml:space="preserve">No. Identifikasi </t>
  </si>
  <si>
    <t>No. Seri</t>
  </si>
  <si>
    <t xml:space="preserve">Kapasitas </t>
  </si>
  <si>
    <t>Kecermatan</t>
  </si>
  <si>
    <t>Kondisi ruang</t>
  </si>
  <si>
    <t>Prosedur Kalibrasi</t>
  </si>
  <si>
    <t>: CSIRO 2010</t>
  </si>
  <si>
    <t>Temperatur</t>
  </si>
  <si>
    <t>Tanggal Terima</t>
  </si>
  <si>
    <t>Tanggal Kalibrasi</t>
  </si>
  <si>
    <t>Tekanan</t>
  </si>
  <si>
    <t>Lokasi Alat</t>
  </si>
  <si>
    <t>HASIL KALIBRASI</t>
  </si>
  <si>
    <t>No.</t>
  </si>
  <si>
    <t>Nilai Nominal</t>
  </si>
  <si>
    <t>Massa konvensional</t>
  </si>
  <si>
    <t>Ketidakpastian U95% (k=2)</t>
  </si>
  <si>
    <t>( g )</t>
  </si>
  <si>
    <t>( mg )</t>
  </si>
  <si>
    <t>Catatan :</t>
  </si>
  <si>
    <t>yang tertelusur ke SI melalui LK-001-IDN.</t>
  </si>
  <si>
    <t>M1</t>
  </si>
  <si>
    <t>TABEL MPE OIML R111-1</t>
  </si>
  <si>
    <t>Massa konvensional 
(g)</t>
  </si>
  <si>
    <t>U95 
(mg)</t>
  </si>
  <si>
    <t>Identitas</t>
  </si>
  <si>
    <r>
      <rPr>
        <b/>
        <sz val="10"/>
        <rFont val="Arial"/>
        <family val="2"/>
      </rPr>
      <t>Class E</t>
    </r>
    <r>
      <rPr>
        <b/>
        <sz val="9"/>
        <rFont val="Arial"/>
        <family val="2"/>
      </rPr>
      <t>1</t>
    </r>
  </si>
  <si>
    <r>
      <rPr>
        <b/>
        <sz val="10"/>
        <rFont val="Arial"/>
        <family val="2"/>
      </rPr>
      <t>Class E</t>
    </r>
    <r>
      <rPr>
        <b/>
        <sz val="9"/>
        <rFont val="Arial"/>
        <family val="2"/>
      </rPr>
      <t>2</t>
    </r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</si>
  <si>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</si>
  <si>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</si>
  <si>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</si>
  <si>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</si>
  <si>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</si>
  <si>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</si>
  <si>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</si>
  <si>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</si>
  <si>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</si>
  <si>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</si>
  <si>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</si>
  <si>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</si>
  <si>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</si>
  <si>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</si>
  <si>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</si>
  <si>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20LZ1</t>
  </si>
  <si>
    <t>10LZ1</t>
  </si>
  <si>
    <t>5A</t>
  </si>
  <si>
    <t>10A</t>
  </si>
  <si>
    <t>ISI DATA</t>
  </si>
  <si>
    <t>A</t>
  </si>
  <si>
    <t>Deskripsi</t>
  </si>
  <si>
    <t>Isi</t>
  </si>
  <si>
    <t>Satuan</t>
  </si>
  <si>
    <t>B</t>
  </si>
  <si>
    <t>No Order</t>
  </si>
  <si>
    <t>C</t>
  </si>
  <si>
    <t>Pemilik Alat</t>
  </si>
  <si>
    <t>D</t>
  </si>
  <si>
    <t>Alamat Pemilik Alat</t>
  </si>
  <si>
    <t>E</t>
  </si>
  <si>
    <t>F</t>
  </si>
  <si>
    <t>Nama  Alat</t>
  </si>
  <si>
    <t>G</t>
  </si>
  <si>
    <t xml:space="preserve">Merk </t>
  </si>
  <si>
    <t>H</t>
  </si>
  <si>
    <t>I</t>
  </si>
  <si>
    <t>No Seri</t>
  </si>
  <si>
    <t xml:space="preserve">Temperatur Awal </t>
  </si>
  <si>
    <t xml:space="preserve">°C </t>
  </si>
  <si>
    <t>Temperatur Akhir</t>
  </si>
  <si>
    <t>Temperatur rata2</t>
  </si>
  <si>
    <t>Kelembaban Awal</t>
  </si>
  <si>
    <t>%RH</t>
  </si>
  <si>
    <t>Kelembaban Akhir</t>
  </si>
  <si>
    <t>Kelembapan rata2</t>
  </si>
  <si>
    <t>Tekanan awal</t>
  </si>
  <si>
    <t>hPa</t>
  </si>
  <si>
    <t>mmHg</t>
  </si>
  <si>
    <t xml:space="preserve">1 hPa </t>
  </si>
  <si>
    <t>Tekanan akhir</t>
  </si>
  <si>
    <t>Tekanan rata2</t>
  </si>
  <si>
    <t>Tanggal ditulis dengan format text</t>
  </si>
  <si>
    <t>g</t>
  </si>
  <si>
    <t>No. Seri Mass comp</t>
  </si>
  <si>
    <t>Kalibrator</t>
  </si>
  <si>
    <t>`</t>
  </si>
  <si>
    <t>Merk Kalibrator</t>
  </si>
  <si>
    <t>Massa standard</t>
  </si>
  <si>
    <t xml:space="preserve">U95 standard </t>
  </si>
  <si>
    <t>mg</t>
  </si>
  <si>
    <t>X1</t>
  </si>
  <si>
    <t>X2</t>
  </si>
  <si>
    <t>X3</t>
  </si>
  <si>
    <t>X4</t>
  </si>
  <si>
    <t>X5</t>
  </si>
  <si>
    <t>dm</t>
  </si>
  <si>
    <t>r1</t>
  </si>
  <si>
    <t>t1</t>
  </si>
  <si>
    <t>t2</t>
  </si>
  <si>
    <t>r2</t>
  </si>
  <si>
    <t>r3</t>
  </si>
  <si>
    <t>t3</t>
  </si>
  <si>
    <t>t4</t>
  </si>
  <si>
    <t>r4</t>
  </si>
  <si>
    <t>r5</t>
  </si>
  <si>
    <t>t5</t>
  </si>
  <si>
    <t>t6</t>
  </si>
  <si>
    <t>r6</t>
  </si>
  <si>
    <t>r7</t>
  </si>
  <si>
    <t>t7</t>
  </si>
  <si>
    <t>t8</t>
  </si>
  <si>
    <t>r8</t>
  </si>
  <si>
    <t>r9</t>
  </si>
  <si>
    <t>t9</t>
  </si>
  <si>
    <t>t10</t>
  </si>
  <si>
    <t>r10</t>
  </si>
  <si>
    <t>Mean</t>
  </si>
  <si>
    <t>Stdev</t>
  </si>
  <si>
    <t>S_res</t>
  </si>
  <si>
    <t>Mt</t>
  </si>
  <si>
    <t>Srepeat</t>
  </si>
  <si>
    <t>UNCERTAINTY BUDGET SEBAGAI PENDUKUNG KLAIM BMC</t>
  </si>
  <si>
    <t xml:space="preserve">Besaran yang diukur : </t>
  </si>
  <si>
    <t>Massa</t>
  </si>
  <si>
    <t>Jenis alat yang dikalibrasi :</t>
  </si>
  <si>
    <t>Standar yang digunakan :</t>
  </si>
  <si>
    <t>Titik  Ukur :</t>
  </si>
  <si>
    <t xml:space="preserve">Model matematis   :               Mt= Ms +dm dengan Mt= massa massa konvensional yang dikalibrasi Ms = massa standar dm= koreksi alat </t>
  </si>
  <si>
    <t>Komponen</t>
  </si>
  <si>
    <t>Distribusi</t>
  </si>
  <si>
    <t>U</t>
  </si>
  <si>
    <t>Pembagi</t>
  </si>
  <si>
    <t>vi</t>
  </si>
  <si>
    <t>ui</t>
  </si>
  <si>
    <t>ci</t>
  </si>
  <si>
    <t>uici</t>
  </si>
  <si>
    <r>
      <rPr>
        <b/>
        <sz val="10"/>
        <rFont val="Times New Roman"/>
        <family val="1"/>
      </rPr>
      <t>(uici)</t>
    </r>
    <r>
      <rPr>
        <b/>
        <vertAlign val="superscript"/>
        <sz val="10"/>
        <rFont val="Times New Roman"/>
        <family val="1"/>
      </rPr>
      <t>2</t>
    </r>
  </si>
  <si>
    <r>
      <rPr>
        <b/>
        <sz val="10"/>
        <rFont val="Times New Roman"/>
        <family val="1"/>
      </rPr>
      <t>(uici)</t>
    </r>
    <r>
      <rPr>
        <b/>
        <vertAlign val="superscript"/>
        <sz val="10"/>
        <rFont val="Times New Roman"/>
        <family val="1"/>
      </rPr>
      <t>4</t>
    </r>
    <r>
      <rPr>
        <b/>
        <sz val="10"/>
        <rFont val="Times New Roman"/>
        <family val="1"/>
      </rPr>
      <t>/vi</t>
    </r>
  </si>
  <si>
    <t>Standar</t>
  </si>
  <si>
    <t>Normal</t>
  </si>
  <si>
    <t>Repeatability</t>
  </si>
  <si>
    <t>Rectangular</t>
  </si>
  <si>
    <t>Rounding</t>
  </si>
  <si>
    <t>Instability</t>
  </si>
  <si>
    <t>Buoyancy</t>
  </si>
  <si>
    <t>Sums</t>
  </si>
  <si>
    <t>Ketidakpastian baku gabungan, uc, mg</t>
  </si>
  <si>
    <t>Dearajat kebebasan efektif, veff</t>
  </si>
  <si>
    <t>Faktor cakupan, k-student for veff and CL 95%</t>
  </si>
  <si>
    <t>Ketidakpastian bentangan, U = kuc, mg</t>
  </si>
  <si>
    <t>KAN</t>
  </si>
  <si>
    <r>
      <rPr>
        <sz val="10"/>
        <color rgb="FF000000"/>
        <rFont val="Calibri"/>
        <family val="2"/>
        <scheme val="minor"/>
      </rPr>
      <t>Suhu (</t>
    </r>
    <r>
      <rPr>
        <sz val="10"/>
        <color rgb="FF000000"/>
        <rFont val="Calibri"/>
        <family val="2"/>
      </rPr>
      <t>°</t>
    </r>
    <r>
      <rPr>
        <sz val="8.5"/>
        <color rgb="FF000000"/>
        <rFont val="Calibri"/>
        <family val="2"/>
      </rPr>
      <t>C)</t>
    </r>
  </si>
  <si>
    <t>Thermohygro Rotronic data 2025</t>
  </si>
  <si>
    <t>Awal</t>
  </si>
  <si>
    <t>Koreksi suhu</t>
  </si>
  <si>
    <t xml:space="preserve">Koreksi RH </t>
  </si>
  <si>
    <t>Akhir</t>
  </si>
  <si>
    <t>T (°C)</t>
  </si>
  <si>
    <t xml:space="preserve">Koreksi  </t>
  </si>
  <si>
    <t>U95</t>
  </si>
  <si>
    <t>RH (%)</t>
  </si>
  <si>
    <t>Rata2</t>
  </si>
  <si>
    <t>Terkoreksi</t>
  </si>
  <si>
    <t>Fluktuasi suhu</t>
  </si>
  <si>
    <t>Flu+U95</t>
  </si>
  <si>
    <t>Kondisi Ruang</t>
  </si>
  <si>
    <t>Anak Timbangan</t>
  </si>
  <si>
    <t>Kelembaban</t>
  </si>
  <si>
    <t xml:space="preserve">Titik Ukur </t>
  </si>
  <si>
    <t xml:space="preserve">Kalibrator </t>
  </si>
  <si>
    <t xml:space="preserve">No S/N Timbangan </t>
  </si>
  <si>
    <t xml:space="preserve">E2 </t>
  </si>
  <si>
    <t xml:space="preserve">E2 METTLER TOLEDO </t>
  </si>
  <si>
    <t>Nominal Value (g)</t>
  </si>
  <si>
    <t>50000 g</t>
  </si>
  <si>
    <t>20000 g</t>
  </si>
  <si>
    <t>10000 g</t>
  </si>
  <si>
    <t>5000 g</t>
  </si>
  <si>
    <t>2000 g</t>
  </si>
  <si>
    <t>1000 g</t>
  </si>
  <si>
    <t>10 g</t>
  </si>
  <si>
    <t>0,5 g</t>
  </si>
  <si>
    <t>0,2 g</t>
  </si>
  <si>
    <t>0,1 g</t>
  </si>
  <si>
    <t>0,05 g</t>
  </si>
  <si>
    <t>0,02 g</t>
  </si>
  <si>
    <t>0,01 g</t>
  </si>
  <si>
    <t>0,005 g</t>
  </si>
  <si>
    <t>0,002 g</t>
  </si>
  <si>
    <t>0,001 g</t>
  </si>
  <si>
    <t xml:space="preserve">F1 </t>
  </si>
  <si>
    <t>Resolusi timbangan</t>
  </si>
  <si>
    <t>Rounding ketidakpastian bentangan, U = kuc, mg</t>
  </si>
  <si>
    <t xml:space="preserve">Nominal </t>
  </si>
  <si>
    <t>2000t</t>
  </si>
  <si>
    <t>200t</t>
  </si>
  <si>
    <t>20t</t>
  </si>
  <si>
    <t>2t</t>
  </si>
  <si>
    <t>0,02t</t>
  </si>
  <si>
    <t>0,002t</t>
  </si>
  <si>
    <t xml:space="preserve">Mass Comparator </t>
  </si>
  <si>
    <t xml:space="preserve">No Seri Kalibrator </t>
  </si>
  <si>
    <t>Kapasitas</t>
  </si>
  <si>
    <t xml:space="preserve">CMC KAN </t>
  </si>
  <si>
    <t>G982106</t>
  </si>
  <si>
    <t>0,2t</t>
  </si>
  <si>
    <t xml:space="preserve">Merek </t>
  </si>
  <si>
    <t>Kern Germany</t>
  </si>
  <si>
    <t>YCS</t>
  </si>
  <si>
    <t>YCS-01-653-00</t>
  </si>
  <si>
    <t>Mettler Toledo</t>
  </si>
  <si>
    <r>
      <t xml:space="preserve">&lt;-----------  </t>
    </r>
    <r>
      <rPr>
        <b/>
        <sz val="11"/>
        <color theme="1"/>
        <rFont val="Calibri"/>
        <family val="2"/>
        <scheme val="minor"/>
      </rPr>
      <t xml:space="preserve"> Sudah otomatis, jangan diubah </t>
    </r>
  </si>
  <si>
    <r>
      <t xml:space="preserve">&lt;-----------   </t>
    </r>
    <r>
      <rPr>
        <b/>
        <sz val="11"/>
        <color theme="1"/>
        <rFont val="Calibri"/>
        <family val="2"/>
        <scheme val="minor"/>
      </rPr>
      <t xml:space="preserve">Sudah otomatis, jangan diubah </t>
    </r>
  </si>
  <si>
    <r>
      <t xml:space="preserve">&lt;-----------   </t>
    </r>
    <r>
      <rPr>
        <b/>
        <sz val="11"/>
        <color theme="1"/>
        <rFont val="Calibri"/>
        <family val="2"/>
        <scheme val="minor"/>
      </rPr>
      <t xml:space="preserve">Warna </t>
    </r>
    <r>
      <rPr>
        <b/>
        <sz val="11"/>
        <color rgb="FF00B050"/>
        <rFont val="Calibri"/>
        <family val="2"/>
        <scheme val="minor"/>
      </rPr>
      <t>Hijau</t>
    </r>
    <r>
      <rPr>
        <b/>
        <sz val="11"/>
        <color theme="1"/>
        <rFont val="Calibri"/>
        <family val="2"/>
        <scheme val="minor"/>
      </rPr>
      <t xml:space="preserve">, Dropdown pilihan </t>
    </r>
  </si>
  <si>
    <r>
      <t xml:space="preserve">&lt;-----------   </t>
    </r>
    <r>
      <rPr>
        <b/>
        <sz val="11"/>
        <color theme="1"/>
        <rFont val="Calibri"/>
        <family val="2"/>
        <scheme val="minor"/>
      </rPr>
      <t xml:space="preserve">Warna kuning, isian manual </t>
    </r>
  </si>
  <si>
    <t xml:space="preserve">AT Standar </t>
  </si>
  <si>
    <t>Resolusi Mass Comp</t>
  </si>
  <si>
    <t>Terkalibrasi</t>
  </si>
  <si>
    <t>Merek Timbangan</t>
  </si>
  <si>
    <t>Sartorius MC 210 P (R1)</t>
  </si>
  <si>
    <t>Sartorius LC 5101 S</t>
  </si>
  <si>
    <t xml:space="preserve">AND MC-30 K </t>
  </si>
  <si>
    <t>Penguji Mutu Barang Ahli Madya,</t>
  </si>
  <si>
    <t>Elis Sofianti</t>
  </si>
  <si>
    <t>NIP. 197109301994032002</t>
  </si>
  <si>
    <t>F1</t>
  </si>
  <si>
    <t>0,001-5000 g</t>
  </si>
  <si>
    <t>29 Desember 2025</t>
  </si>
  <si>
    <r>
      <t xml:space="preserve">Nomor / </t>
    </r>
    <r>
      <rPr>
        <i/>
        <sz val="11"/>
        <color rgb="FF000000"/>
        <rFont val="Bookman Old Style"/>
        <family val="1"/>
      </rPr>
      <t xml:space="preserve">Number </t>
    </r>
    <r>
      <rPr>
        <sz val="11"/>
        <color rgb="FF000000"/>
        <rFont val="Bookman Old Style"/>
        <family val="1"/>
      </rPr>
      <t>:</t>
    </r>
  </si>
  <si>
    <t>Internal BBLM</t>
  </si>
  <si>
    <t>Diterbitkan Tanggal 29 Desember 2025</t>
  </si>
  <si>
    <t>: 2 dari 3</t>
  </si>
  <si>
    <t>jjajsdfds jajsdjf jasdjfasdjf jadsfjadsj asdjfajdsf jasdjfajdsf asdfjasd asjdfasd j</t>
  </si>
  <si>
    <t>:</t>
  </si>
  <si>
    <t xml:space="preserve"> -</t>
  </si>
  <si>
    <t xml:space="preserve">Kecermatan </t>
  </si>
  <si>
    <t xml:space="preserve">Jumlah AT </t>
  </si>
  <si>
    <t xml:space="preserve">Nomor Order </t>
  </si>
  <si>
    <t xml:space="preserve">Form Kalibrasi </t>
  </si>
  <si>
    <t>Nomor Seri</t>
  </si>
  <si>
    <t>BBLM</t>
  </si>
  <si>
    <t xml:space="preserve">Setengah Set </t>
  </si>
  <si>
    <t xml:space="preserve">Full Set </t>
  </si>
  <si>
    <t xml:space="preserve">Custom </t>
  </si>
  <si>
    <t xml:space="preserve">Jenis Kalibrasi </t>
  </si>
  <si>
    <t xml:space="preserve">Tanggal Terbit Sertifikat </t>
  </si>
  <si>
    <t xml:space="preserve">Ketertelusuran </t>
  </si>
  <si>
    <t>LK-001-IDN</t>
  </si>
  <si>
    <t>Catatan 1</t>
  </si>
  <si>
    <t>Catatan 2</t>
  </si>
  <si>
    <t xml:space="preserve">Jumlah Halaman Sertif </t>
  </si>
  <si>
    <t xml:space="preserve">Input QR Code </t>
  </si>
  <si>
    <t xml:space="preserve">Nomor Serifikat </t>
  </si>
  <si>
    <t xml:space="preserve">CETAK SERTIFIKAT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</si>
</sst>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64" formatCode="0%\ ;[Red]\(0%\)"/>
    <numFmt numFmtId="165" formatCode="0.0%;\ \(0.0%\)"/>
    <numFmt numFmtId="166" formatCode="&quot;               &quot;@"/>
    <numFmt numFmtId="167" formatCode="&quot;                    &quot;@"/>
    <numFmt numFmtId="168" formatCode="&quot;                  &quot;@"/>
    <numFmt numFmtId="169" formatCode="#,##0,_);[Red]\(#,##0,\)"/>
    <numFmt numFmtId="170" formatCode="&quot;             &quot;@"/>
    <numFmt numFmtId="171" formatCode="&quot;$&quot;#,##0.00;[Red]\-&quot;$&quot;#,##0.00"/>
    <numFmt numFmtId="172" formatCode="_(* #,##0,,_);_(* \(#,##0,,\);_(* &quot;-&quot;_)"/>
    <numFmt numFmtId="173" formatCode="0%;\(0%\)"/>
    <numFmt numFmtId="174" formatCode="&quot;          &quot;@"/>
    <numFmt numFmtId="175" formatCode="#,##0\ &quot;m&quot;;[Red]\(#,##0\)\ &quot;m&quot;;&quot;- &quot;"/>
    <numFmt numFmtId="176" formatCode="0.0"/>
    <numFmt numFmtId="177" formatCode="#,##0.00000"/>
    <numFmt numFmtId="178" formatCode="0.000"/>
    <numFmt numFmtId="179" formatCode="0.00000"/>
    <numFmt numFmtId="180" formatCode="0.000000"/>
    <numFmt numFmtId="181" formatCode="0.0000000"/>
    <numFmt numFmtId="182" formatCode="0.0000"/>
    <numFmt numFmtId="183" formatCode="0.0000E+00"/>
  </numFmts>
  <fonts count="83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b/>
      <i/>
      <u/>
      <sz val="10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mbria"/>
      <family val="1"/>
      <scheme val="major"/>
    </font>
    <font>
      <b/>
      <u/>
      <sz val="11"/>
      <color theme="1"/>
      <name val="Calibri"/>
      <family val="2"/>
      <scheme val="minor"/>
    </font>
    <font>
      <sz val="10"/>
      <color rgb="FF444444"/>
      <name val="Roboto"/>
    </font>
    <font>
      <b/>
      <sz val="10"/>
      <name val="Arial"/>
      <family val="2"/>
    </font>
    <font>
      <sz val="10"/>
      <name val="Arial"/>
      <family val="2"/>
    </font>
    <font>
      <b/>
      <sz val="11"/>
      <color theme="3" tint="0.39994506668294322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18"/>
      <color rgb="FF000000"/>
      <name val="Bookman Old Style"/>
      <family val="1"/>
    </font>
    <font>
      <b/>
      <i/>
      <sz val="14"/>
      <color rgb="FF000000"/>
      <name val="Bookman Old Style"/>
      <family val="1"/>
    </font>
    <font>
      <sz val="11"/>
      <color rgb="FF000000"/>
      <name val="Bookman Old Style"/>
      <family val="1"/>
    </font>
    <font>
      <b/>
      <u/>
      <sz val="11"/>
      <name val="Bookman Old Style"/>
      <family val="1"/>
    </font>
    <font>
      <b/>
      <i/>
      <sz val="8"/>
      <name val="Bookman Old Style"/>
      <family val="1"/>
    </font>
    <font>
      <i/>
      <sz val="8"/>
      <color rgb="FF000000"/>
      <name val="Bookman Old Style"/>
      <family val="1"/>
    </font>
    <font>
      <b/>
      <u/>
      <sz val="11"/>
      <color rgb="FF000000"/>
      <name val="Bookman Old Style"/>
      <family val="1"/>
    </font>
    <font>
      <b/>
      <i/>
      <sz val="8"/>
      <color rgb="FF000000"/>
      <name val="Bookman Old Style"/>
      <family val="1"/>
    </font>
    <font>
      <sz val="11"/>
      <color rgb="FF000000"/>
      <name val="Calibri"/>
      <family val="2"/>
    </font>
    <font>
      <b/>
      <sz val="11"/>
      <color rgb="FF000000"/>
      <name val="Bookman Old Style"/>
      <family val="1"/>
    </font>
    <font>
      <sz val="11"/>
      <name val="Bookman Old Style"/>
      <family val="1"/>
    </font>
    <font>
      <sz val="10"/>
      <color rgb="FF000000"/>
      <name val="Bookman Old Style"/>
      <family val="1"/>
    </font>
    <font>
      <b/>
      <sz val="11"/>
      <name val="Bookman Old Style"/>
      <family val="1"/>
    </font>
    <font>
      <sz val="12"/>
      <name val="Tms Rmn"/>
      <charset val="134"/>
    </font>
    <font>
      <sz val="10"/>
      <color indexed="8"/>
      <name val="Arial"/>
      <family val="2"/>
    </font>
    <font>
      <b/>
      <sz val="12"/>
      <name val="Arial"/>
      <family val="2"/>
    </font>
    <font>
      <sz val="11"/>
      <color theme="1"/>
      <name val="Calibri"/>
      <family val="2"/>
      <scheme val="minor"/>
    </font>
    <font>
      <b/>
      <i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i/>
      <sz val="11"/>
      <color rgb="FF000000"/>
      <name val="Bookman Old Style"/>
      <family val="1"/>
    </font>
    <font>
      <sz val="10"/>
      <color rgb="FF000000"/>
      <name val="Calibri"/>
      <family val="2"/>
    </font>
    <font>
      <sz val="8.5"/>
      <color rgb="FF000000"/>
      <name val="Calibri"/>
      <family val="2"/>
    </font>
    <font>
      <b/>
      <vertAlign val="superscript"/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Bookman Old Style"/>
      <family val="1"/>
    </font>
    <font>
      <b/>
      <sz val="11"/>
      <color rgb="FF000000"/>
      <name val="Bookman Old Style"/>
      <family val="1"/>
    </font>
    <font>
      <sz val="10"/>
      <name val="Times New Roman"/>
      <family val="1"/>
    </font>
    <font>
      <vertAlign val="superscript"/>
      <sz val="10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sz val="18"/>
      <name val="Times New Roman"/>
      <family val="1"/>
    </font>
    <font>
      <sz val="10"/>
      <color indexed="8"/>
      <name val="Arial"/>
      <family val="2"/>
    </font>
    <font>
      <b/>
      <sz val="12"/>
      <name val="Arial"/>
      <family val="2"/>
    </font>
    <font>
      <sz val="11"/>
      <color theme="1"/>
      <name val="Calibri"/>
      <family val="2"/>
      <charset val="1"/>
      <scheme val="minor"/>
    </font>
    <font>
      <b/>
      <i/>
      <sz val="8"/>
      <name val="Arial"/>
      <family val="2"/>
    </font>
    <font>
      <b/>
      <sz val="9"/>
      <name val="Arial"/>
      <family val="2"/>
    </font>
    <font>
      <sz val="11"/>
      <name val="Calibri"/>
      <family val="2"/>
    </font>
    <font>
      <b/>
      <sz val="11"/>
      <color rgb="FF00B050"/>
      <name val="Calibri"/>
      <family val="2"/>
      <scheme val="minor"/>
    </font>
    <font>
      <b/>
      <sz val="16"/>
      <color theme="1"/>
      <name val="Aptos Narrow"/>
      <family val="2"/>
    </font>
    <font>
      <sz val="11"/>
      <color theme="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name val="Aptos Display"/>
      <family val="2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double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</borders>
  <cellStyleXfs count="99">
    <xf numFmtId="0" fontId="0" fillId="0" borderId="0"/>
    <xf numFmtId="164" fontId="32" fillId="0" borderId="0" applyFill="0" applyBorder="0" applyAlignment="0"/>
    <xf numFmtId="165" fontId="32" fillId="0" borderId="0" applyFill="0" applyBorder="0" applyAlignment="0"/>
    <xf numFmtId="166" fontId="32" fillId="0" borderId="0" applyFill="0" applyBorder="0" applyAlignment="0"/>
    <xf numFmtId="167" fontId="32" fillId="0" borderId="0" applyFill="0" applyBorder="0" applyAlignment="0"/>
    <xf numFmtId="168" fontId="32" fillId="0" borderId="0" applyFill="0" applyBorder="0" applyAlignment="0"/>
    <xf numFmtId="169" fontId="32" fillId="0" borderId="0" applyFill="0" applyBorder="0" applyAlignment="0"/>
    <xf numFmtId="170" fontId="32" fillId="0" borderId="0" applyFill="0" applyBorder="0" applyAlignment="0"/>
    <xf numFmtId="165" fontId="32" fillId="0" borderId="0" applyFill="0" applyBorder="0" applyAlignment="0"/>
    <xf numFmtId="169" fontId="32" fillId="0" borderId="0" applyFont="0" applyFill="0" applyBorder="0" applyAlignment="0" applyProtection="0"/>
    <xf numFmtId="171" fontId="50" fillId="0" borderId="1"/>
    <xf numFmtId="165" fontId="32" fillId="0" borderId="0" applyFont="0" applyFill="0" applyBorder="0" applyAlignment="0" applyProtection="0"/>
    <xf numFmtId="14" fontId="51" fillId="0" borderId="0" applyFill="0" applyBorder="0" applyAlignment="0"/>
    <xf numFmtId="169" fontId="32" fillId="0" borderId="0" applyFill="0" applyBorder="0" applyAlignment="0"/>
    <xf numFmtId="165" fontId="32" fillId="0" borderId="0" applyFill="0" applyBorder="0" applyAlignment="0"/>
    <xf numFmtId="169" fontId="32" fillId="0" borderId="0" applyFill="0" applyBorder="0" applyAlignment="0"/>
    <xf numFmtId="170" fontId="32" fillId="0" borderId="0" applyFill="0" applyBorder="0" applyAlignment="0"/>
    <xf numFmtId="165" fontId="32" fillId="0" borderId="0" applyFill="0" applyBorder="0" applyAlignment="0"/>
    <xf numFmtId="0" fontId="52" fillId="0" borderId="28" applyNumberFormat="0" applyAlignment="0" applyProtection="0">
      <alignment horizontal="left" vertical="center"/>
    </xf>
    <xf numFmtId="0" fontId="52" fillId="0" borderId="23">
      <alignment horizontal="left" vertical="center"/>
    </xf>
    <xf numFmtId="169" fontId="32" fillId="0" borderId="0" applyFill="0" applyBorder="0" applyAlignment="0"/>
    <xf numFmtId="165" fontId="32" fillId="0" borderId="0" applyFill="0" applyBorder="0" applyAlignment="0"/>
    <xf numFmtId="169" fontId="32" fillId="0" borderId="0" applyFill="0" applyBorder="0" applyAlignment="0"/>
    <xf numFmtId="170" fontId="32" fillId="0" borderId="0" applyFill="0" applyBorder="0" applyAlignment="0"/>
    <xf numFmtId="165" fontId="32" fillId="0" borderId="0" applyFill="0" applyBorder="0" applyAlignment="0"/>
    <xf numFmtId="172" fontId="32" fillId="0" borderId="0"/>
    <xf numFmtId="0" fontId="32" fillId="0" borderId="0"/>
    <xf numFmtId="0" fontId="53" fillId="0" borderId="0"/>
    <xf numFmtId="0" fontId="61" fillId="0" borderId="0"/>
    <xf numFmtId="0" fontId="32" fillId="0" borderId="0"/>
    <xf numFmtId="0" fontId="61" fillId="0" borderId="0"/>
    <xf numFmtId="0" fontId="18" fillId="0" borderId="0">
      <alignment vertical="center"/>
    </xf>
    <xf numFmtId="168" fontId="32" fillId="0" borderId="0" applyFont="0" applyFill="0" applyBorder="0" applyAlignment="0" applyProtection="0"/>
    <xf numFmtId="173" fontId="32" fillId="0" borderId="0" applyFont="0" applyFill="0" applyBorder="0" applyAlignment="0" applyProtection="0"/>
    <xf numFmtId="169" fontId="32" fillId="0" borderId="0" applyFill="0" applyBorder="0" applyAlignment="0"/>
    <xf numFmtId="165" fontId="32" fillId="0" borderId="0" applyFill="0" applyBorder="0" applyAlignment="0"/>
    <xf numFmtId="169" fontId="32" fillId="0" borderId="0" applyFill="0" applyBorder="0" applyAlignment="0"/>
    <xf numFmtId="170" fontId="32" fillId="0" borderId="0" applyFill="0" applyBorder="0" applyAlignment="0"/>
    <xf numFmtId="165" fontId="32" fillId="0" borderId="0" applyFill="0" applyBorder="0" applyAlignment="0"/>
    <xf numFmtId="0" fontId="54" fillId="0" borderId="29"/>
    <xf numFmtId="0" fontId="55" fillId="0" borderId="30"/>
    <xf numFmtId="49" fontId="51" fillId="0" borderId="0" applyFill="0" applyBorder="0" applyAlignment="0"/>
    <xf numFmtId="174" fontId="32" fillId="0" borderId="0" applyFill="0" applyBorder="0" applyAlignment="0"/>
    <xf numFmtId="175" fontId="32" fillId="0" borderId="0" applyFill="0" applyBorder="0" applyAlignment="0"/>
    <xf numFmtId="0" fontId="13" fillId="0" borderId="0"/>
    <xf numFmtId="164" fontId="67" fillId="0" borderId="0" applyFill="0" applyBorder="0" applyAlignment="0"/>
    <xf numFmtId="165" fontId="67" fillId="0" borderId="0" applyFill="0" applyBorder="0" applyAlignment="0"/>
    <xf numFmtId="166" fontId="67" fillId="0" borderId="0" applyFill="0" applyBorder="0" applyAlignment="0"/>
    <xf numFmtId="167" fontId="67" fillId="0" borderId="0" applyFill="0" applyBorder="0" applyAlignment="0"/>
    <xf numFmtId="168" fontId="67" fillId="0" borderId="0" applyFill="0" applyBorder="0" applyAlignment="0"/>
    <xf numFmtId="169" fontId="67" fillId="0" borderId="0" applyFill="0" applyBorder="0" applyAlignment="0"/>
    <xf numFmtId="170" fontId="67" fillId="0" borderId="0" applyFill="0" applyBorder="0" applyAlignment="0"/>
    <xf numFmtId="165" fontId="67" fillId="0" borderId="0" applyFill="0" applyBorder="0" applyAlignment="0"/>
    <xf numFmtId="169" fontId="67" fillId="0" borderId="0" applyFont="0" applyFill="0" applyBorder="0" applyAlignment="0" applyProtection="0"/>
    <xf numFmtId="0" fontId="13" fillId="0" borderId="0"/>
    <xf numFmtId="165" fontId="67" fillId="0" borderId="0" applyFont="0" applyFill="0" applyBorder="0" applyAlignment="0" applyProtection="0"/>
    <xf numFmtId="14" fontId="69" fillId="0" borderId="0" applyFill="0" applyBorder="0" applyAlignment="0"/>
    <xf numFmtId="169" fontId="67" fillId="0" borderId="0" applyFill="0" applyBorder="0" applyAlignment="0"/>
    <xf numFmtId="165" fontId="67" fillId="0" borderId="0" applyFill="0" applyBorder="0" applyAlignment="0"/>
    <xf numFmtId="169" fontId="67" fillId="0" borderId="0" applyFill="0" applyBorder="0" applyAlignment="0"/>
    <xf numFmtId="170" fontId="67" fillId="0" borderId="0" applyFill="0" applyBorder="0" applyAlignment="0"/>
    <xf numFmtId="165" fontId="67" fillId="0" borderId="0" applyFill="0" applyBorder="0" applyAlignment="0"/>
    <xf numFmtId="0" fontId="70" fillId="0" borderId="28" applyNumberFormat="0" applyAlignment="0" applyProtection="0">
      <alignment horizontal="left" vertical="center"/>
    </xf>
    <xf numFmtId="0" fontId="70" fillId="0" borderId="23">
      <alignment horizontal="left" vertical="center"/>
    </xf>
    <xf numFmtId="169" fontId="67" fillId="0" borderId="0" applyFill="0" applyBorder="0" applyAlignment="0"/>
    <xf numFmtId="165" fontId="67" fillId="0" borderId="0" applyFill="0" applyBorder="0" applyAlignment="0"/>
    <xf numFmtId="169" fontId="67" fillId="0" borderId="0" applyFill="0" applyBorder="0" applyAlignment="0"/>
    <xf numFmtId="170" fontId="67" fillId="0" borderId="0" applyFill="0" applyBorder="0" applyAlignment="0"/>
    <xf numFmtId="165" fontId="67" fillId="0" borderId="0" applyFill="0" applyBorder="0" applyAlignment="0"/>
    <xf numFmtId="172" fontId="67" fillId="0" borderId="0"/>
    <xf numFmtId="0" fontId="67" fillId="0" borderId="0"/>
    <xf numFmtId="0" fontId="71" fillId="0" borderId="0"/>
    <xf numFmtId="168" fontId="67" fillId="0" borderId="0" applyFont="0" applyFill="0" applyBorder="0" applyAlignment="0" applyProtection="0"/>
    <xf numFmtId="173" fontId="67" fillId="0" borderId="0" applyFont="0" applyFill="0" applyBorder="0" applyAlignment="0" applyProtection="0"/>
    <xf numFmtId="169" fontId="67" fillId="0" borderId="0" applyFill="0" applyBorder="0" applyAlignment="0"/>
    <xf numFmtId="165" fontId="67" fillId="0" borderId="0" applyFill="0" applyBorder="0" applyAlignment="0"/>
    <xf numFmtId="169" fontId="67" fillId="0" borderId="0" applyFill="0" applyBorder="0" applyAlignment="0"/>
    <xf numFmtId="170" fontId="67" fillId="0" borderId="0" applyFill="0" applyBorder="0" applyAlignment="0"/>
    <xf numFmtId="165" fontId="67" fillId="0" borderId="0" applyFill="0" applyBorder="0" applyAlignment="0"/>
    <xf numFmtId="0" fontId="72" fillId="0" borderId="29"/>
    <xf numFmtId="0" fontId="73" fillId="0" borderId="30"/>
    <xf numFmtId="49" fontId="69" fillId="0" borderId="0" applyFill="0" applyBorder="0" applyAlignment="0"/>
    <xf numFmtId="174" fontId="67" fillId="0" borderId="0" applyFill="0" applyBorder="0" applyAlignment="0"/>
    <xf numFmtId="175" fontId="67" fillId="0" borderId="0" applyFill="0" applyBorder="0" applyAlignment="0"/>
    <xf numFmtId="0" fontId="67" fillId="0" borderId="0"/>
    <xf numFmtId="0" fontId="13" fillId="0" borderId="0"/>
    <xf numFmtId="0" fontId="74" fillId="0" borderId="0">
      <alignment vertical="center"/>
    </xf>
    <xf numFmtId="0" fontId="13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</cellStyleXfs>
  <cellXfs count="290">
    <xf numFmtId="0" fontId="0" fillId="0" borderId="0" xfId="0"/>
    <xf numFmtId="0" fontId="18" fillId="0" borderId="0" xfId="31">
      <alignment vertical="center"/>
    </xf>
    <xf numFmtId="0" fontId="18" fillId="0" borderId="1" xfId="31" applyBorder="1" applyAlignment="1"/>
    <xf numFmtId="0" fontId="19" fillId="0" borderId="1" xfId="31" applyFont="1" applyBorder="1" applyAlignment="1"/>
    <xf numFmtId="0" fontId="20" fillId="0" borderId="1" xfId="31" applyFont="1" applyBorder="1" applyAlignment="1"/>
    <xf numFmtId="0" fontId="21" fillId="0" borderId="0" xfId="31" applyFont="1" applyAlignment="1"/>
    <xf numFmtId="0" fontId="18" fillId="0" borderId="0" xfId="31" applyAlignment="1"/>
    <xf numFmtId="0" fontId="19" fillId="0" borderId="0" xfId="31" applyFont="1" applyAlignment="1"/>
    <xf numFmtId="0" fontId="19" fillId="0" borderId="1" xfId="31" applyFont="1" applyBorder="1" applyAlignment="1">
      <alignment horizontal="center"/>
    </xf>
    <xf numFmtId="1" fontId="20" fillId="0" borderId="1" xfId="31" applyNumberFormat="1" applyFont="1" applyBorder="1" applyAlignment="1"/>
    <xf numFmtId="176" fontId="20" fillId="0" borderId="1" xfId="31" applyNumberFormat="1" applyFont="1" applyBorder="1" applyAlignment="1"/>
    <xf numFmtId="0" fontId="22" fillId="2" borderId="1" xfId="31" applyFont="1" applyFill="1" applyBorder="1" applyAlignment="1"/>
    <xf numFmtId="0" fontId="20" fillId="0" borderId="0" xfId="31" applyFont="1" applyAlignment="1"/>
    <xf numFmtId="0" fontId="23" fillId="0" borderId="0" xfId="0" applyFont="1"/>
    <xf numFmtId="0" fontId="24" fillId="0" borderId="0" xfId="0" applyFont="1"/>
    <xf numFmtId="0" fontId="25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61" fillId="0" borderId="1" xfId="30" applyBorder="1"/>
    <xf numFmtId="0" fontId="61" fillId="0" borderId="1" xfId="30" applyBorder="1" applyAlignment="1">
      <alignment horizontal="right"/>
    </xf>
    <xf numFmtId="0" fontId="0" fillId="0" borderId="1" xfId="0" applyBorder="1" applyAlignment="1">
      <alignment vertical="center"/>
    </xf>
    <xf numFmtId="0" fontId="18" fillId="0" borderId="1" xfId="0" applyFont="1" applyBorder="1" applyAlignment="1">
      <alignment vertical="center"/>
    </xf>
    <xf numFmtId="177" fontId="61" fillId="0" borderId="1" xfId="30" applyNumberFormat="1" applyBorder="1" applyAlignment="1">
      <alignment horizontal="right"/>
    </xf>
    <xf numFmtId="178" fontId="0" fillId="0" borderId="1" xfId="0" applyNumberFormat="1" applyBorder="1" applyAlignment="1">
      <alignment vertical="center"/>
    </xf>
    <xf numFmtId="177" fontId="27" fillId="0" borderId="1" xfId="30" applyNumberFormat="1" applyFont="1" applyBorder="1"/>
    <xf numFmtId="179" fontId="61" fillId="0" borderId="1" xfId="30" applyNumberFormat="1" applyBorder="1" applyAlignment="1">
      <alignment horizontal="right"/>
    </xf>
    <xf numFmtId="180" fontId="61" fillId="0" borderId="1" xfId="30" applyNumberFormat="1" applyBorder="1" applyAlignment="1">
      <alignment horizontal="right"/>
    </xf>
    <xf numFmtId="179" fontId="27" fillId="0" borderId="1" xfId="30" applyNumberFormat="1" applyFont="1" applyBorder="1"/>
    <xf numFmtId="179" fontId="28" fillId="0" borderId="1" xfId="0" applyNumberFormat="1" applyFont="1" applyBorder="1" applyAlignment="1">
      <alignment vertical="center"/>
    </xf>
    <xf numFmtId="0" fontId="29" fillId="0" borderId="0" xfId="0" applyFont="1"/>
    <xf numFmtId="0" fontId="26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left"/>
    </xf>
    <xf numFmtId="0" fontId="0" fillId="5" borderId="1" xfId="0" applyFill="1" applyBorder="1" applyAlignment="1">
      <alignment horizontal="left"/>
    </xf>
    <xf numFmtId="0" fontId="0" fillId="0" borderId="2" xfId="0" applyBorder="1"/>
    <xf numFmtId="1" fontId="0" fillId="0" borderId="0" xfId="0" applyNumberFormat="1"/>
    <xf numFmtId="0" fontId="30" fillId="0" borderId="0" xfId="0" applyFont="1"/>
    <xf numFmtId="0" fontId="22" fillId="0" borderId="0" xfId="0" applyFont="1"/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179" fontId="0" fillId="0" borderId="0" xfId="0" applyNumberFormat="1"/>
    <xf numFmtId="0" fontId="23" fillId="0" borderId="0" xfId="0" applyFont="1" applyAlignment="1">
      <alignment vertical="center"/>
    </xf>
    <xf numFmtId="0" fontId="32" fillId="0" borderId="1" xfId="26" applyBorder="1" applyAlignment="1">
      <alignment horizontal="center"/>
    </xf>
    <xf numFmtId="179" fontId="33" fillId="0" borderId="1" xfId="0" applyNumberFormat="1" applyFont="1" applyBorder="1"/>
    <xf numFmtId="0" fontId="34" fillId="0" borderId="0" xfId="0" applyFont="1"/>
    <xf numFmtId="0" fontId="35" fillId="0" borderId="0" xfId="0" applyFont="1"/>
    <xf numFmtId="0" fontId="35" fillId="0" borderId="0" xfId="0" applyFont="1" applyAlignment="1">
      <alignment horizontal="left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34" fillId="8" borderId="1" xfId="0" applyFont="1" applyFill="1" applyBorder="1" applyAlignment="1">
      <alignment horizontal="center"/>
    </xf>
    <xf numFmtId="0" fontId="34" fillId="8" borderId="13" xfId="0" applyFont="1" applyFill="1" applyBorder="1" applyAlignment="1">
      <alignment horizontal="center"/>
    </xf>
    <xf numFmtId="0" fontId="34" fillId="8" borderId="3" xfId="0" applyFont="1" applyFill="1" applyBorder="1" applyAlignment="1">
      <alignment horizontal="center"/>
    </xf>
    <xf numFmtId="0" fontId="35" fillId="0" borderId="14" xfId="0" applyFont="1" applyBorder="1"/>
    <xf numFmtId="0" fontId="35" fillId="0" borderId="14" xfId="0" applyFont="1" applyBorder="1" applyAlignment="1">
      <alignment horizontal="center"/>
    </xf>
    <xf numFmtId="0" fontId="35" fillId="9" borderId="15" xfId="0" applyFont="1" applyFill="1" applyBorder="1"/>
    <xf numFmtId="0" fontId="35" fillId="9" borderId="15" xfId="0" applyFont="1" applyFill="1" applyBorder="1" applyAlignment="1">
      <alignment horizontal="center"/>
    </xf>
    <xf numFmtId="181" fontId="35" fillId="9" borderId="15" xfId="0" applyNumberFormat="1" applyFont="1" applyFill="1" applyBorder="1" applyAlignment="1">
      <alignment horizontal="center"/>
    </xf>
    <xf numFmtId="0" fontId="35" fillId="0" borderId="15" xfId="0" applyFont="1" applyBorder="1"/>
    <xf numFmtId="0" fontId="35" fillId="0" borderId="15" xfId="0" applyFont="1" applyBorder="1" applyAlignment="1">
      <alignment horizontal="center"/>
    </xf>
    <xf numFmtId="0" fontId="35" fillId="0" borderId="16" xfId="0" applyFont="1" applyBorder="1"/>
    <xf numFmtId="0" fontId="35" fillId="0" borderId="16" xfId="0" applyFont="1" applyBorder="1" applyAlignment="1">
      <alignment horizontal="center"/>
    </xf>
    <xf numFmtId="0" fontId="35" fillId="0" borderId="17" xfId="0" applyFont="1" applyBorder="1"/>
    <xf numFmtId="0" fontId="35" fillId="0" borderId="18" xfId="0" applyFont="1" applyBorder="1"/>
    <xf numFmtId="0" fontId="35" fillId="0" borderId="18" xfId="0" applyFont="1" applyBorder="1" applyAlignment="1">
      <alignment horizontal="center"/>
    </xf>
    <xf numFmtId="0" fontId="35" fillId="0" borderId="19" xfId="0" applyFont="1" applyBorder="1"/>
    <xf numFmtId="0" fontId="35" fillId="0" borderId="20" xfId="0" applyFont="1" applyBorder="1"/>
    <xf numFmtId="0" fontId="35" fillId="0" borderId="20" xfId="0" applyFont="1" applyBorder="1" applyAlignment="1">
      <alignment horizontal="center"/>
    </xf>
    <xf numFmtId="0" fontId="35" fillId="0" borderId="21" xfId="0" applyFont="1" applyBorder="1"/>
    <xf numFmtId="0" fontId="35" fillId="0" borderId="22" xfId="0" applyFont="1" applyBorder="1"/>
    <xf numFmtId="0" fontId="35" fillId="0" borderId="22" xfId="0" applyFont="1" applyBorder="1" applyAlignment="1">
      <alignment horizontal="center"/>
    </xf>
    <xf numFmtId="0" fontId="35" fillId="0" borderId="13" xfId="0" applyFont="1" applyBorder="1"/>
    <xf numFmtId="0" fontId="0" fillId="0" borderId="23" xfId="0" applyBorder="1"/>
    <xf numFmtId="180" fontId="0" fillId="0" borderId="0" xfId="0" applyNumberFormat="1"/>
    <xf numFmtId="182" fontId="0" fillId="0" borderId="0" xfId="0" applyNumberFormat="1"/>
    <xf numFmtId="0" fontId="36" fillId="0" borderId="0" xfId="0" applyFont="1" applyAlignment="1">
      <alignment horizontal="left"/>
    </xf>
    <xf numFmtId="0" fontId="36" fillId="0" borderId="0" xfId="0" applyFont="1" applyAlignment="1">
      <alignment horizontal="center"/>
    </xf>
    <xf numFmtId="0" fontId="35" fillId="0" borderId="24" xfId="0" applyFont="1" applyBorder="1"/>
    <xf numFmtId="0" fontId="35" fillId="0" borderId="24" xfId="0" applyFont="1" applyBorder="1" applyAlignment="1">
      <alignment horizontal="center"/>
    </xf>
    <xf numFmtId="0" fontId="35" fillId="0" borderId="14" xfId="0" applyFont="1" applyBorder="1" applyAlignment="1">
      <alignment horizontal="right"/>
    </xf>
    <xf numFmtId="0" fontId="35" fillId="0" borderId="25" xfId="0" applyFont="1" applyBorder="1"/>
    <xf numFmtId="0" fontId="35" fillId="0" borderId="25" xfId="0" applyFont="1" applyBorder="1" applyAlignment="1">
      <alignment horizontal="center"/>
    </xf>
    <xf numFmtId="0" fontId="35" fillId="0" borderId="15" xfId="0" applyFont="1" applyBorder="1" applyAlignment="1">
      <alignment horizontal="right"/>
    </xf>
    <xf numFmtId="2" fontId="35" fillId="0" borderId="15" xfId="0" applyNumberFormat="1" applyFont="1" applyBorder="1" applyAlignment="1">
      <alignment horizontal="right"/>
    </xf>
    <xf numFmtId="0" fontId="35" fillId="0" borderId="26" xfId="0" applyFont="1" applyBorder="1"/>
    <xf numFmtId="0" fontId="35" fillId="0" borderId="26" xfId="0" applyFont="1" applyBorder="1" applyAlignment="1">
      <alignment horizontal="center"/>
    </xf>
    <xf numFmtId="178" fontId="35" fillId="0" borderId="16" xfId="0" applyNumberFormat="1" applyFont="1" applyBorder="1" applyAlignment="1">
      <alignment horizontal="right"/>
    </xf>
    <xf numFmtId="0" fontId="0" fillId="0" borderId="27" xfId="0" applyBorder="1"/>
    <xf numFmtId="0" fontId="39" fillId="0" borderId="0" xfId="31" applyFont="1">
      <alignment vertical="center"/>
    </xf>
    <xf numFmtId="0" fontId="39" fillId="0" borderId="0" xfId="31" applyFont="1" applyAlignment="1">
      <alignment horizontal="center" vertical="center"/>
    </xf>
    <xf numFmtId="0" fontId="40" fillId="0" borderId="0" xfId="31" applyFont="1">
      <alignment vertical="center"/>
    </xf>
    <xf numFmtId="0" fontId="18" fillId="0" borderId="0" xfId="31" applyAlignment="1">
      <alignment vertical="center" wrapText="1"/>
    </xf>
    <xf numFmtId="0" fontId="41" fillId="0" borderId="0" xfId="31" applyFont="1">
      <alignment vertical="center"/>
    </xf>
    <xf numFmtId="0" fontId="42" fillId="0" borderId="0" xfId="31" applyFont="1">
      <alignment vertical="center"/>
    </xf>
    <xf numFmtId="0" fontId="39" fillId="0" borderId="0" xfId="31" applyFont="1" applyAlignment="1">
      <alignment horizontal="justify" vertical="center"/>
    </xf>
    <xf numFmtId="0" fontId="42" fillId="0" borderId="0" xfId="31" applyFont="1" applyAlignment="1">
      <alignment horizontal="justify" vertical="center"/>
    </xf>
    <xf numFmtId="0" fontId="43" fillId="0" borderId="0" xfId="31" applyFont="1">
      <alignment vertical="center"/>
    </xf>
    <xf numFmtId="0" fontId="44" fillId="0" borderId="0" xfId="31" applyFont="1">
      <alignment vertical="center"/>
    </xf>
    <xf numFmtId="0" fontId="45" fillId="0" borderId="0" xfId="31" applyFont="1">
      <alignment vertical="center"/>
    </xf>
    <xf numFmtId="0" fontId="46" fillId="0" borderId="0" xfId="31" applyFont="1" applyAlignment="1">
      <alignment horizontal="left" vertical="center"/>
    </xf>
    <xf numFmtId="0" fontId="46" fillId="0" borderId="0" xfId="31" applyFont="1">
      <alignment vertical="center"/>
    </xf>
    <xf numFmtId="0" fontId="39" fillId="0" borderId="0" xfId="31" applyFont="1" applyAlignment="1">
      <alignment horizontal="left" vertical="center"/>
    </xf>
    <xf numFmtId="0" fontId="46" fillId="0" borderId="0" xfId="31" applyFont="1" applyAlignment="1">
      <alignment horizontal="center" vertical="center"/>
    </xf>
    <xf numFmtId="0" fontId="47" fillId="0" borderId="0" xfId="31" applyFont="1">
      <alignment vertical="center"/>
    </xf>
    <xf numFmtId="0" fontId="42" fillId="0" borderId="0" xfId="31" applyFont="1" applyAlignment="1">
      <alignment horizontal="center" vertical="center"/>
    </xf>
    <xf numFmtId="0" fontId="45" fillId="0" borderId="0" xfId="31" applyFont="1" applyAlignment="1">
      <alignment horizontal="center" vertical="center"/>
    </xf>
    <xf numFmtId="0" fontId="47" fillId="0" borderId="0" xfId="31" applyFont="1" applyAlignment="1">
      <alignment horizontal="center" vertical="center"/>
    </xf>
    <xf numFmtId="15" fontId="48" fillId="0" borderId="0" xfId="31" applyNumberFormat="1" applyFont="1">
      <alignment vertical="center"/>
    </xf>
    <xf numFmtId="0" fontId="43" fillId="0" borderId="0" xfId="31" applyFont="1" applyAlignment="1">
      <alignment horizontal="left" vertical="center"/>
    </xf>
    <xf numFmtId="2" fontId="47" fillId="0" borderId="0" xfId="31" applyNumberFormat="1" applyFont="1">
      <alignment vertical="center"/>
    </xf>
    <xf numFmtId="0" fontId="39" fillId="10" borderId="0" xfId="31" applyFont="1" applyFill="1">
      <alignment vertical="center"/>
    </xf>
    <xf numFmtId="0" fontId="49" fillId="0" borderId="0" xfId="31" applyFont="1" applyAlignment="1">
      <alignment horizontal="center" vertical="center"/>
    </xf>
    <xf numFmtId="0" fontId="49" fillId="0" borderId="0" xfId="31" applyFont="1">
      <alignment vertical="center"/>
    </xf>
    <xf numFmtId="0" fontId="46" fillId="10" borderId="0" xfId="31" applyFont="1" applyFill="1">
      <alignment vertical="center"/>
    </xf>
    <xf numFmtId="0" fontId="39" fillId="10" borderId="0" xfId="31" applyFont="1" applyFill="1" applyAlignment="1">
      <alignment horizontal="center" vertical="center"/>
    </xf>
    <xf numFmtId="0" fontId="47" fillId="0" borderId="0" xfId="31" applyFont="1" applyAlignment="1">
      <alignment horizontal="right" vertical="center"/>
    </xf>
    <xf numFmtId="182" fontId="47" fillId="0" borderId="0" xfId="31" applyNumberFormat="1" applyFont="1">
      <alignment vertical="center"/>
    </xf>
    <xf numFmtId="0" fontId="47" fillId="0" borderId="0" xfId="31" applyFont="1" applyAlignment="1"/>
    <xf numFmtId="1" fontId="47" fillId="0" borderId="0" xfId="31" applyNumberFormat="1" applyFont="1">
      <alignment vertical="center"/>
    </xf>
    <xf numFmtId="14" fontId="0" fillId="0" borderId="0" xfId="0" applyNumberFormat="1"/>
    <xf numFmtId="0" fontId="0" fillId="0" borderId="1" xfId="0" applyBorder="1" applyAlignment="1">
      <alignment horizontal="center" wrapText="1"/>
    </xf>
    <xf numFmtId="0" fontId="32" fillId="0" borderId="0" xfId="26"/>
    <xf numFmtId="0" fontId="32" fillId="0" borderId="0" xfId="26" applyAlignment="1">
      <alignment horizontal="center"/>
    </xf>
    <xf numFmtId="179" fontId="0" fillId="0" borderId="11" xfId="0" applyNumberFormat="1" applyBorder="1"/>
    <xf numFmtId="179" fontId="0" fillId="0" borderId="10" xfId="0" applyNumberFormat="1" applyBorder="1"/>
    <xf numFmtId="183" fontId="0" fillId="0" borderId="1" xfId="0" applyNumberFormat="1" applyBorder="1"/>
    <xf numFmtId="0" fontId="63" fillId="0" borderId="0" xfId="31" applyFont="1">
      <alignment vertical="center"/>
    </xf>
    <xf numFmtId="0" fontId="62" fillId="0" borderId="0" xfId="31" applyFont="1" applyAlignment="1">
      <alignment horizontal="left" vertical="center"/>
    </xf>
    <xf numFmtId="0" fontId="39" fillId="0" borderId="0" xfId="31" applyFont="1" applyAlignment="1">
      <alignment vertical="center" wrapText="1"/>
    </xf>
    <xf numFmtId="0" fontId="62" fillId="0" borderId="0" xfId="31" applyFont="1">
      <alignment vertical="center"/>
    </xf>
    <xf numFmtId="0" fontId="64" fillId="0" borderId="0" xfId="0" applyFont="1"/>
    <xf numFmtId="0" fontId="65" fillId="0" borderId="0" xfId="0" applyFont="1" applyAlignment="1">
      <alignment horizontal="center"/>
    </xf>
    <xf numFmtId="0" fontId="67" fillId="0" borderId="1" xfId="26" applyFont="1" applyBorder="1" applyAlignment="1">
      <alignment horizontal="center"/>
    </xf>
    <xf numFmtId="0" fontId="16" fillId="0" borderId="1" xfId="0" applyFont="1" applyBorder="1" applyAlignment="1">
      <alignment vertical="center"/>
    </xf>
    <xf numFmtId="0" fontId="0" fillId="9" borderId="1" xfId="0" applyFill="1" applyBorder="1" applyAlignment="1">
      <alignment horizontal="left"/>
    </xf>
    <xf numFmtId="0" fontId="0" fillId="9" borderId="1" xfId="0" applyFill="1" applyBorder="1"/>
    <xf numFmtId="0" fontId="0" fillId="11" borderId="1" xfId="0" applyFill="1" applyBorder="1"/>
    <xf numFmtId="0" fontId="0" fillId="11" borderId="1" xfId="0" applyFill="1" applyBorder="1" applyAlignment="1">
      <alignment horizontal="left"/>
    </xf>
    <xf numFmtId="0" fontId="17" fillId="11" borderId="1" xfId="0" applyFont="1" applyFill="1" applyBorder="1" applyAlignment="1">
      <alignment horizontal="left"/>
    </xf>
    <xf numFmtId="179" fontId="0" fillId="9" borderId="1" xfId="0" applyNumberFormat="1" applyFill="1" applyBorder="1" applyAlignment="1">
      <alignment horizontal="left"/>
    </xf>
    <xf numFmtId="0" fontId="0" fillId="5" borderId="1" xfId="0" applyFill="1" applyBorder="1"/>
    <xf numFmtId="0" fontId="0" fillId="9" borderId="0" xfId="0" applyFill="1"/>
    <xf numFmtId="0" fontId="68" fillId="0" borderId="0" xfId="0" applyFont="1"/>
    <xf numFmtId="0" fontId="17" fillId="0" borderId="1" xfId="0" applyFont="1" applyBorder="1"/>
    <xf numFmtId="0" fontId="16" fillId="0" borderId="1" xfId="0" applyFont="1" applyBorder="1"/>
    <xf numFmtId="0" fontId="35" fillId="0" borderId="31" xfId="0" applyFont="1" applyBorder="1"/>
    <xf numFmtId="0" fontId="35" fillId="0" borderId="32" xfId="0" applyFont="1" applyBorder="1"/>
    <xf numFmtId="0" fontId="35" fillId="0" borderId="32" xfId="0" applyFont="1" applyBorder="1" applyAlignment="1">
      <alignment horizontal="center"/>
    </xf>
    <xf numFmtId="0" fontId="35" fillId="0" borderId="33" xfId="0" applyFont="1" applyBorder="1"/>
    <xf numFmtId="0" fontId="35" fillId="0" borderId="33" xfId="0" applyFont="1" applyBorder="1" applyAlignment="1">
      <alignment horizontal="center"/>
    </xf>
    <xf numFmtId="0" fontId="35" fillId="0" borderId="34" xfId="0" applyFont="1" applyBorder="1" applyAlignment="1">
      <alignment horizontal="right"/>
    </xf>
    <xf numFmtId="0" fontId="35" fillId="0" borderId="34" xfId="0" applyFont="1" applyBorder="1" applyAlignment="1">
      <alignment horizontal="center"/>
    </xf>
    <xf numFmtId="0" fontId="35" fillId="0" borderId="23" xfId="0" applyFont="1" applyBorder="1"/>
    <xf numFmtId="0" fontId="35" fillId="0" borderId="23" xfId="0" applyFont="1" applyBorder="1" applyAlignment="1">
      <alignment horizontal="center"/>
    </xf>
    <xf numFmtId="0" fontId="35" fillId="0" borderId="27" xfId="0" applyFont="1" applyBorder="1"/>
    <xf numFmtId="0" fontId="35" fillId="0" borderId="27" xfId="0" applyFont="1" applyBorder="1" applyAlignment="1">
      <alignment horizontal="center"/>
    </xf>
    <xf numFmtId="0" fontId="35" fillId="0" borderId="1" xfId="0" applyFont="1" applyBorder="1" applyAlignment="1">
      <alignment horizontal="right"/>
    </xf>
    <xf numFmtId="0" fontId="35" fillId="0" borderId="1" xfId="0" applyFont="1" applyBorder="1" applyAlignment="1">
      <alignment horizontal="center"/>
    </xf>
    <xf numFmtId="0" fontId="15" fillId="9" borderId="1" xfId="0" applyFont="1" applyFill="1" applyBorder="1" applyAlignment="1">
      <alignment horizontal="left"/>
    </xf>
    <xf numFmtId="0" fontId="67" fillId="0" borderId="1" xfId="26" applyFont="1" applyBorder="1" applyAlignment="1">
      <alignment horizontal="right"/>
    </xf>
    <xf numFmtId="0" fontId="0" fillId="0" borderId="1" xfId="30" applyFont="1" applyBorder="1"/>
    <xf numFmtId="0" fontId="0" fillId="12" borderId="1" xfId="0" applyFill="1" applyBorder="1" applyAlignment="1">
      <alignment horizontal="left"/>
    </xf>
    <xf numFmtId="0" fontId="10" fillId="0" borderId="0" xfId="96"/>
    <xf numFmtId="179" fontId="10" fillId="0" borderId="12" xfId="96" applyNumberFormat="1" applyBorder="1"/>
    <xf numFmtId="0" fontId="10" fillId="0" borderId="5" xfId="96" applyBorder="1"/>
    <xf numFmtId="0" fontId="10" fillId="0" borderId="12" xfId="96" applyBorder="1"/>
    <xf numFmtId="0" fontId="10" fillId="0" borderId="8" xfId="96" applyBorder="1"/>
    <xf numFmtId="0" fontId="10" fillId="0" borderId="9" xfId="96" applyBorder="1"/>
    <xf numFmtId="178" fontId="10" fillId="0" borderId="12" xfId="96" applyNumberFormat="1" applyBorder="1"/>
    <xf numFmtId="178" fontId="10" fillId="0" borderId="8" xfId="96" applyNumberFormat="1" applyBorder="1"/>
    <xf numFmtId="0" fontId="9" fillId="0" borderId="1" xfId="0" applyFont="1" applyBorder="1"/>
    <xf numFmtId="0" fontId="9" fillId="0" borderId="0" xfId="0" applyFont="1"/>
    <xf numFmtId="0" fontId="9" fillId="0" borderId="1" xfId="0" applyFont="1" applyBorder="1" applyAlignment="1">
      <alignment vertical="center"/>
    </xf>
    <xf numFmtId="0" fontId="0" fillId="9" borderId="13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27" xfId="0" applyFill="1" applyBorder="1" applyAlignment="1">
      <alignment horizontal="center"/>
    </xf>
    <xf numFmtId="0" fontId="13" fillId="9" borderId="1" xfId="0" applyFont="1" applyFill="1" applyBorder="1" applyAlignment="1">
      <alignment horizontal="left"/>
    </xf>
    <xf numFmtId="179" fontId="0" fillId="0" borderId="1" xfId="0" applyNumberFormat="1" applyBorder="1" applyAlignment="1">
      <alignment vertical="center"/>
    </xf>
    <xf numFmtId="0" fontId="61" fillId="0" borderId="0" xfId="30"/>
    <xf numFmtId="0" fontId="8" fillId="0" borderId="1" xfId="0" applyFont="1" applyBorder="1"/>
    <xf numFmtId="0" fontId="8" fillId="0" borderId="1" xfId="0" applyFont="1" applyBorder="1" applyAlignment="1">
      <alignment vertical="center"/>
    </xf>
    <xf numFmtId="180" fontId="0" fillId="0" borderId="1" xfId="0" applyNumberFormat="1" applyBorder="1"/>
    <xf numFmtId="178" fontId="47" fillId="0" borderId="0" xfId="31" applyNumberFormat="1" applyFont="1" applyAlignment="1">
      <alignment horizontal="center" vertical="center"/>
    </xf>
    <xf numFmtId="182" fontId="35" fillId="0" borderId="16" xfId="0" applyNumberFormat="1" applyFont="1" applyBorder="1" applyAlignment="1">
      <alignment horizontal="right"/>
    </xf>
    <xf numFmtId="182" fontId="35" fillId="0" borderId="15" xfId="0" applyNumberFormat="1" applyFont="1" applyBorder="1" applyAlignment="1">
      <alignment horizontal="right"/>
    </xf>
    <xf numFmtId="0" fontId="39" fillId="0" borderId="0" xfId="31" applyFont="1" applyAlignment="1">
      <alignment horizontal="right" vertical="center"/>
    </xf>
    <xf numFmtId="0" fontId="39" fillId="0" borderId="0" xfId="31" applyFont="1" applyAlignment="1">
      <alignment vertical="top"/>
    </xf>
    <xf numFmtId="0" fontId="39" fillId="0" borderId="0" xfId="31" applyFont="1" applyAlignment="1">
      <alignment horizontal="right" vertical="top"/>
    </xf>
    <xf numFmtId="179" fontId="6" fillId="0" borderId="4" xfId="96" applyNumberFormat="1" applyFont="1" applyBorder="1"/>
    <xf numFmtId="0" fontId="10" fillId="5" borderId="12" xfId="96" applyFill="1" applyBorder="1"/>
    <xf numFmtId="178" fontId="10" fillId="5" borderId="12" xfId="96" applyNumberFormat="1" applyFill="1" applyBorder="1"/>
    <xf numFmtId="0" fontId="61" fillId="0" borderId="27" xfId="30" applyBorder="1"/>
    <xf numFmtId="0" fontId="0" fillId="0" borderId="27" xfId="30" applyFont="1" applyBorder="1"/>
    <xf numFmtId="0" fontId="0" fillId="0" borderId="27" xfId="0" applyBorder="1" applyAlignment="1">
      <alignment vertical="center"/>
    </xf>
    <xf numFmtId="0" fontId="61" fillId="0" borderId="13" xfId="30" applyBorder="1" applyAlignment="1">
      <alignment horizontal="right"/>
    </xf>
    <xf numFmtId="0" fontId="0" fillId="0" borderId="13" xfId="0" applyBorder="1" applyAlignment="1">
      <alignment vertical="center"/>
    </xf>
    <xf numFmtId="0" fontId="26" fillId="3" borderId="10" xfId="0" applyFont="1" applyFill="1" applyBorder="1" applyAlignment="1">
      <alignment horizontal="center" wrapText="1"/>
    </xf>
    <xf numFmtId="0" fontId="26" fillId="3" borderId="7" xfId="0" applyFont="1" applyFill="1" applyBorder="1" applyAlignment="1">
      <alignment horizontal="center" wrapText="1"/>
    </xf>
    <xf numFmtId="0" fontId="26" fillId="3" borderId="8" xfId="0" applyFont="1" applyFill="1" applyBorder="1" applyAlignment="1">
      <alignment horizontal="center" wrapText="1"/>
    </xf>
    <xf numFmtId="0" fontId="61" fillId="0" borderId="6" xfId="30" applyBorder="1"/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6" xfId="0" applyBorder="1"/>
    <xf numFmtId="0" fontId="26" fillId="4" borderId="10" xfId="0" applyFont="1" applyFill="1" applyBorder="1" applyAlignment="1">
      <alignment horizontal="center" wrapText="1"/>
    </xf>
    <xf numFmtId="0" fontId="26" fillId="4" borderId="7" xfId="0" applyFont="1" applyFill="1" applyBorder="1" applyAlignment="1">
      <alignment horizontal="center" wrapText="1"/>
    </xf>
    <xf numFmtId="0" fontId="26" fillId="4" borderId="8" xfId="0" applyFont="1" applyFill="1" applyBorder="1" applyAlignment="1">
      <alignment horizontal="center" wrapText="1"/>
    </xf>
    <xf numFmtId="179" fontId="28" fillId="0" borderId="3" xfId="0" applyNumberFormat="1" applyFont="1" applyBorder="1" applyAlignment="1">
      <alignment vertical="center"/>
    </xf>
    <xf numFmtId="0" fontId="61" fillId="0" borderId="4" xfId="30" applyBorder="1" applyAlignment="1">
      <alignment horizontal="right"/>
    </xf>
    <xf numFmtId="0" fontId="26" fillId="6" borderId="10" xfId="0" applyFont="1" applyFill="1" applyBorder="1" applyAlignment="1">
      <alignment horizontal="center" wrapText="1"/>
    </xf>
    <xf numFmtId="0" fontId="26" fillId="6" borderId="7" xfId="0" applyFont="1" applyFill="1" applyBorder="1" applyAlignment="1">
      <alignment horizontal="center" wrapText="1"/>
    </xf>
    <xf numFmtId="0" fontId="26" fillId="6" borderId="8" xfId="0" applyFont="1" applyFill="1" applyBorder="1" applyAlignment="1">
      <alignment horizontal="center" wrapText="1"/>
    </xf>
    <xf numFmtId="0" fontId="0" fillId="0" borderId="6" xfId="0" applyBorder="1" applyAlignment="1">
      <alignment vertical="center"/>
    </xf>
    <xf numFmtId="178" fontId="0" fillId="0" borderId="3" xfId="0" applyNumberFormat="1" applyBorder="1" applyAlignment="1">
      <alignment vertical="center"/>
    </xf>
    <xf numFmtId="0" fontId="15" fillId="0" borderId="1" xfId="0" applyFont="1" applyBorder="1"/>
    <xf numFmtId="0" fontId="14" fillId="0" borderId="1" xfId="0" applyFont="1" applyBorder="1"/>
    <xf numFmtId="0" fontId="67" fillId="0" borderId="27" xfId="26" applyFont="1" applyBorder="1" applyAlignment="1">
      <alignment horizontal="center"/>
    </xf>
    <xf numFmtId="0" fontId="32" fillId="0" borderId="13" xfId="26" applyBorder="1" applyAlignment="1">
      <alignment horizontal="center"/>
    </xf>
    <xf numFmtId="0" fontId="66" fillId="7" borderId="10" xfId="26" applyFont="1" applyFill="1" applyBorder="1" applyAlignment="1">
      <alignment horizontal="center" vertical="center" wrapText="1"/>
    </xf>
    <xf numFmtId="0" fontId="31" fillId="7" borderId="7" xfId="26" applyFont="1" applyFill="1" applyBorder="1" applyAlignment="1">
      <alignment horizontal="center" vertical="center" wrapText="1"/>
    </xf>
    <xf numFmtId="0" fontId="31" fillId="7" borderId="8" xfId="26" applyFont="1" applyFill="1" applyBorder="1" applyAlignment="1">
      <alignment horizontal="center" vertical="center" wrapText="1"/>
    </xf>
    <xf numFmtId="0" fontId="67" fillId="0" borderId="6" xfId="26" applyFont="1" applyBorder="1" applyAlignment="1">
      <alignment horizontal="center"/>
    </xf>
    <xf numFmtId="0" fontId="32" fillId="0" borderId="3" xfId="26" applyBorder="1" applyAlignment="1">
      <alignment horizontal="center"/>
    </xf>
    <xf numFmtId="0" fontId="32" fillId="0" borderId="4" xfId="26" applyBorder="1" applyAlignment="1">
      <alignment horizont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/>
    <xf numFmtId="0" fontId="4" fillId="9" borderId="1" xfId="0" applyFont="1" applyFill="1" applyBorder="1"/>
    <xf numFmtId="0" fontId="3" fillId="9" borderId="1" xfId="0" applyFont="1" applyFill="1" applyBorder="1"/>
    <xf numFmtId="0" fontId="16" fillId="0" borderId="0" xfId="0" applyFont="1" applyAlignment="1">
      <alignment vertical="center"/>
    </xf>
    <xf numFmtId="0" fontId="16" fillId="0" borderId="0" xfId="0" applyFont="1"/>
    <xf numFmtId="0" fontId="3" fillId="0" borderId="0" xfId="0" applyFont="1"/>
    <xf numFmtId="0" fontId="5" fillId="0" borderId="0" xfId="0" applyFont="1"/>
    <xf numFmtId="0" fontId="0" fillId="14" borderId="0" xfId="0" applyFill="1"/>
    <xf numFmtId="0" fontId="0" fillId="15" borderId="0" xfId="0" applyFill="1"/>
    <xf numFmtId="0" fontId="39" fillId="0" borderId="3" xfId="31" applyFont="1" applyBorder="1" applyAlignment="1">
      <alignment horizontal="center" vertical="center"/>
    </xf>
    <xf numFmtId="0" fontId="78" fillId="5" borderId="1" xfId="0" applyFont="1" applyFill="1" applyBorder="1" applyAlignment="1">
      <alignment vertical="center"/>
    </xf>
    <xf numFmtId="0" fontId="78" fillId="5" borderId="1" xfId="0" applyFont="1" applyFill="1" applyBorder="1"/>
    <xf numFmtId="0" fontId="20" fillId="9" borderId="1" xfId="0" applyFont="1" applyFill="1" applyBorder="1"/>
    <xf numFmtId="0" fontId="7" fillId="9" borderId="1" xfId="0" applyFont="1" applyFill="1" applyBorder="1" applyAlignment="1">
      <alignment horizontal="left"/>
    </xf>
    <xf numFmtId="0" fontId="3" fillId="9" borderId="1" xfId="0" applyFont="1" applyFill="1" applyBorder="1" applyAlignment="1">
      <alignment horizontal="left"/>
    </xf>
    <xf numFmtId="0" fontId="2" fillId="9" borderId="1" xfId="0" applyFont="1" applyFill="1" applyBorder="1" applyAlignment="1">
      <alignment horizontal="left"/>
    </xf>
    <xf numFmtId="0" fontId="77" fillId="9" borderId="1" xfId="0" applyFont="1" applyFill="1" applyBorder="1" applyAlignment="1">
      <alignment horizontal="left"/>
    </xf>
    <xf numFmtId="49" fontId="0" fillId="9" borderId="1" xfId="0" applyNumberFormat="1" applyFill="1" applyBorder="1"/>
    <xf numFmtId="49" fontId="0" fillId="9" borderId="1" xfId="0" applyNumberFormat="1" applyFill="1" applyBorder="1" applyAlignment="1">
      <alignment horizontal="left"/>
    </xf>
    <xf numFmtId="0" fontId="18" fillId="0" borderId="3" xfId="31" applyBorder="1">
      <alignment vertical="center"/>
    </xf>
    <xf numFmtId="0" fontId="18" fillId="0" borderId="1" xfId="31" applyBorder="1" applyAlignment="1">
      <alignment horizontal="center" vertical="center"/>
    </xf>
    <xf numFmtId="0" fontId="80" fillId="0" borderId="0" xfId="0" applyFont="1"/>
    <xf numFmtId="0" fontId="81" fillId="0" borderId="0" xfId="0" applyFont="1"/>
    <xf numFmtId="0" fontId="77" fillId="0" borderId="0" xfId="0" applyFont="1"/>
    <xf numFmtId="0" fontId="76" fillId="0" borderId="0" xfId="0" applyFont="1"/>
    <xf numFmtId="0" fontId="0" fillId="9" borderId="13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27" xfId="0" applyFill="1" applyBorder="1" applyAlignment="1">
      <alignment horizontal="center"/>
    </xf>
    <xf numFmtId="0" fontId="47" fillId="0" borderId="3" xfId="31" applyFont="1" applyBorder="1" applyAlignment="1">
      <alignment horizontal="center" vertical="center"/>
    </xf>
    <xf numFmtId="0" fontId="18" fillId="0" borderId="13" xfId="31" applyBorder="1" applyAlignment="1">
      <alignment horizontal="center" vertical="center"/>
    </xf>
    <xf numFmtId="0" fontId="18" fillId="0" borderId="27" xfId="31" applyBorder="1" applyAlignment="1">
      <alignment horizontal="center" vertical="center"/>
    </xf>
    <xf numFmtId="0" fontId="18" fillId="0" borderId="23" xfId="31" applyBorder="1" applyAlignment="1">
      <alignment horizontal="center" vertical="center"/>
    </xf>
    <xf numFmtId="0" fontId="47" fillId="0" borderId="4" xfId="31" applyFont="1" applyBorder="1" applyAlignment="1">
      <alignment horizontal="center" vertical="center"/>
    </xf>
    <xf numFmtId="0" fontId="47" fillId="0" borderId="6" xfId="31" applyFont="1" applyBorder="1" applyAlignment="1">
      <alignment horizontal="center" vertical="center"/>
    </xf>
    <xf numFmtId="0" fontId="47" fillId="0" borderId="5" xfId="31" applyFont="1" applyBorder="1" applyAlignment="1">
      <alignment horizontal="center" vertical="center"/>
    </xf>
    <xf numFmtId="0" fontId="39" fillId="0" borderId="0" xfId="31" applyFont="1" applyAlignment="1">
      <alignment horizontal="left" vertical="top" wrapText="1"/>
    </xf>
    <xf numFmtId="0" fontId="37" fillId="0" borderId="0" xfId="31" applyFont="1" applyAlignment="1">
      <alignment horizontal="center" vertical="center"/>
    </xf>
    <xf numFmtId="0" fontId="38" fillId="0" borderId="0" xfId="31" applyFont="1" applyAlignment="1">
      <alignment horizontal="center" vertical="center"/>
    </xf>
    <xf numFmtId="0" fontId="39" fillId="0" borderId="0" xfId="31" applyFont="1" applyAlignment="1">
      <alignment horizontal="center" vertical="center"/>
    </xf>
    <xf numFmtId="0" fontId="46" fillId="0" borderId="0" xfId="31" applyFont="1">
      <alignment vertical="center"/>
    </xf>
    <xf numFmtId="0" fontId="39" fillId="0" borderId="1" xfId="31" applyFont="1" applyBorder="1" applyAlignment="1">
      <alignment horizontal="center" vertical="center"/>
    </xf>
    <xf numFmtId="0" fontId="39" fillId="0" borderId="4" xfId="31" applyFont="1" applyBorder="1" applyAlignment="1">
      <alignment horizontal="center" vertical="center" wrapText="1"/>
    </xf>
    <xf numFmtId="0" fontId="39" fillId="0" borderId="6" xfId="31" applyFont="1" applyBorder="1" applyAlignment="1">
      <alignment horizontal="center" vertical="center" wrapText="1"/>
    </xf>
    <xf numFmtId="0" fontId="39" fillId="0" borderId="3" xfId="31" applyFont="1" applyBorder="1" applyAlignment="1">
      <alignment horizontal="center" vertical="center"/>
    </xf>
    <xf numFmtId="0" fontId="39" fillId="0" borderId="5" xfId="31" applyFont="1" applyBorder="1" applyAlignment="1">
      <alignment horizontal="center" vertical="center" wrapText="1"/>
    </xf>
    <xf numFmtId="0" fontId="39" fillId="0" borderId="8" xfId="31" applyFont="1" applyBorder="1" applyAlignment="1">
      <alignment horizontal="center" vertical="center"/>
    </xf>
    <xf numFmtId="0" fontId="39" fillId="0" borderId="10" xfId="31" applyFont="1" applyBorder="1" applyAlignment="1">
      <alignment horizontal="center" vertical="center"/>
    </xf>
    <xf numFmtId="0" fontId="47" fillId="0" borderId="7" xfId="31" applyFont="1" applyBorder="1" applyAlignment="1">
      <alignment horizontal="center" vertical="center"/>
    </xf>
    <xf numFmtId="0" fontId="47" fillId="0" borderId="8" xfId="31" applyFont="1" applyBorder="1" applyAlignment="1">
      <alignment horizontal="center" vertical="center"/>
    </xf>
    <xf numFmtId="0" fontId="47" fillId="0" borderId="9" xfId="31" applyFont="1" applyBorder="1" applyAlignment="1">
      <alignment horizontal="center" vertical="center"/>
    </xf>
    <xf numFmtId="0" fontId="47" fillId="0" borderId="10" xfId="31" applyFont="1" applyBorder="1" applyAlignment="1">
      <alignment horizontal="center" vertical="center"/>
    </xf>
    <xf numFmtId="0" fontId="80" fillId="0" borderId="0" xfId="0" applyFont="1" applyBorder="1"/>
    <xf numFmtId="0" fontId="80" fillId="0" borderId="0" xfId="0" applyFont="1" applyBorder="1" applyAlignment="1">
      <alignment vertical="top"/>
    </xf>
    <xf numFmtId="0" fontId="80" fillId="0" borderId="0" xfId="0" applyFont="1" applyBorder="1" applyAlignment="1">
      <alignment vertical="center"/>
    </xf>
    <xf numFmtId="0" fontId="77" fillId="0" borderId="0" xfId="0" applyFont="1" applyBorder="1"/>
    <xf numFmtId="0" fontId="1" fillId="13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center" wrapText="1"/>
    </xf>
    <xf numFmtId="0" fontId="0" fillId="13" borderId="1" xfId="0" applyFill="1" applyBorder="1" applyAlignment="1">
      <alignment horizontal="center"/>
    </xf>
    <xf numFmtId="0" fontId="0" fillId="0" borderId="0" xfId="0" applyFill="1" applyBorder="1"/>
    <xf numFmtId="0" fontId="82" fillId="16" borderId="0" xfId="0" applyFont="1" applyFill="1" applyAlignment="1">
      <alignment horizontal="center" vertical="center"/>
    </xf>
  </cellXfs>
  <cellStyles count="99">
    <cellStyle name="Calc Currency (0)" xfId="1" xr:uid="{00000000-0005-0000-0000-000031000000}"/>
    <cellStyle name="Calc Currency (0) 2" xfId="45" xr:uid="{C99AC188-E607-4B0D-8034-493FDF1E4B32}"/>
    <cellStyle name="Calc Currency (2)" xfId="2" xr:uid="{00000000-0005-0000-0000-000032000000}"/>
    <cellStyle name="Calc Currency (2) 2" xfId="46" xr:uid="{712F25FC-519A-4F47-B932-56FFD81889FB}"/>
    <cellStyle name="Calc Percent (0)" xfId="3" xr:uid="{00000000-0005-0000-0000-000033000000}"/>
    <cellStyle name="Calc Percent (0) 2" xfId="47" xr:uid="{91372B33-47DB-4D9D-B90A-2D33613337CA}"/>
    <cellStyle name="Calc Percent (1)" xfId="4" xr:uid="{00000000-0005-0000-0000-000034000000}"/>
    <cellStyle name="Calc Percent (1) 2" xfId="48" xr:uid="{89F81B62-98AD-4ED2-A245-6ADE8971E8B3}"/>
    <cellStyle name="Calc Percent (2)" xfId="5" xr:uid="{00000000-0005-0000-0000-000035000000}"/>
    <cellStyle name="Calc Percent (2) 2" xfId="49" xr:uid="{C6C3DBD5-11F6-4A9F-8D08-29266B13FA70}"/>
    <cellStyle name="Calc Units (0)" xfId="6" xr:uid="{00000000-0005-0000-0000-000036000000}"/>
    <cellStyle name="Calc Units (0) 2" xfId="50" xr:uid="{692A53FB-3F72-4B0F-8187-73EA39FF879F}"/>
    <cellStyle name="Calc Units (1)" xfId="7" xr:uid="{00000000-0005-0000-0000-000037000000}"/>
    <cellStyle name="Calc Units (1) 2" xfId="51" xr:uid="{FD7D84FB-934F-40C0-9E2A-4C182C529C38}"/>
    <cellStyle name="Calc Units (2)" xfId="8" xr:uid="{00000000-0005-0000-0000-000038000000}"/>
    <cellStyle name="Calc Units (2) 2" xfId="52" xr:uid="{C2856ED1-67F6-4FD7-A9C0-61BC1A84A6F0}"/>
    <cellStyle name="Comma [00]" xfId="9" xr:uid="{00000000-0005-0000-0000-000039000000}"/>
    <cellStyle name="Comma [00] 2" xfId="53" xr:uid="{73BDB66B-CC0B-48B2-A0FC-41FC84BF5CCD}"/>
    <cellStyle name="Currency (0.00)" xfId="10" xr:uid="{00000000-0005-0000-0000-00003A000000}"/>
    <cellStyle name="Currency [00]" xfId="11" xr:uid="{00000000-0005-0000-0000-00003B000000}"/>
    <cellStyle name="Currency [00] 2" xfId="55" xr:uid="{AAA02B91-5806-421F-8EE7-F4883D4E1247}"/>
    <cellStyle name="Date Short" xfId="12" xr:uid="{00000000-0005-0000-0000-00003C000000}"/>
    <cellStyle name="Date Short 2" xfId="56" xr:uid="{990B207B-C90C-4E98-819A-BBB19C14C656}"/>
    <cellStyle name="Enter Currency (0)" xfId="13" xr:uid="{00000000-0005-0000-0000-00003D000000}"/>
    <cellStyle name="Enter Currency (0) 2" xfId="57" xr:uid="{71938B1F-D6EF-44D1-A9F2-C0019DA17221}"/>
    <cellStyle name="Enter Currency (2)" xfId="14" xr:uid="{00000000-0005-0000-0000-00003E000000}"/>
    <cellStyle name="Enter Currency (2) 2" xfId="58" xr:uid="{4ED5E5EB-E9FA-49DF-993B-6CF8E2FD1B9F}"/>
    <cellStyle name="Enter Units (0)" xfId="15" xr:uid="{00000000-0005-0000-0000-00003F000000}"/>
    <cellStyle name="Enter Units (0) 2" xfId="59" xr:uid="{ECE81110-9869-48B2-B19A-684C45009C8A}"/>
    <cellStyle name="Enter Units (1)" xfId="16" xr:uid="{00000000-0005-0000-0000-000040000000}"/>
    <cellStyle name="Enter Units (1) 2" xfId="60" xr:uid="{98D0DBE3-C471-49BF-AA8F-0AAE0699D89B}"/>
    <cellStyle name="Enter Units (2)" xfId="17" xr:uid="{00000000-0005-0000-0000-000041000000}"/>
    <cellStyle name="Enter Units (2) 2" xfId="61" xr:uid="{5D3398CF-BD2A-40A2-8AE6-A4D10D832105}"/>
    <cellStyle name="Header1" xfId="18" xr:uid="{00000000-0005-0000-0000-000042000000}"/>
    <cellStyle name="Header1 2" xfId="62" xr:uid="{A22F0999-9CF9-4B5F-8177-A7AA338FA256}"/>
    <cellStyle name="Header2" xfId="19" xr:uid="{00000000-0005-0000-0000-000043000000}"/>
    <cellStyle name="Header2 2" xfId="63" xr:uid="{48FD99B1-169F-48C6-AF45-11681BE064D7}"/>
    <cellStyle name="Link Currency (0)" xfId="20" xr:uid="{00000000-0005-0000-0000-000044000000}"/>
    <cellStyle name="Link Currency (0) 2" xfId="64" xr:uid="{B6A4759D-EB28-44A4-BFD5-799929D10BD9}"/>
    <cellStyle name="Link Currency (2)" xfId="21" xr:uid="{00000000-0005-0000-0000-000045000000}"/>
    <cellStyle name="Link Currency (2) 2" xfId="65" xr:uid="{D8092260-AA1B-43E5-92A9-AB8565B29719}"/>
    <cellStyle name="Link Units (0)" xfId="22" xr:uid="{00000000-0005-0000-0000-000046000000}"/>
    <cellStyle name="Link Units (0) 2" xfId="66" xr:uid="{9C3D2869-2A67-4C2A-8AFE-935757D4413B}"/>
    <cellStyle name="Link Units (1)" xfId="23" xr:uid="{00000000-0005-0000-0000-000047000000}"/>
    <cellStyle name="Link Units (1) 2" xfId="67" xr:uid="{AC3E7CEC-2D2D-45C4-94B9-9A0849068005}"/>
    <cellStyle name="Link Units (2)" xfId="24" xr:uid="{00000000-0005-0000-0000-000048000000}"/>
    <cellStyle name="Link Units (2) 2" xfId="68" xr:uid="{F863D4F2-0DDA-47AB-ABC0-AC46B7CA198B}"/>
    <cellStyle name="Normal" xfId="0" builtinId="0"/>
    <cellStyle name="Normal - Style1" xfId="25" xr:uid="{00000000-0005-0000-0000-000049000000}"/>
    <cellStyle name="Normal - Style1 2" xfId="69" xr:uid="{E79CF8E2-3448-4E23-B825-891E0F99FEA5}"/>
    <cellStyle name="Normal 10" xfId="95" xr:uid="{6A35B24F-9E97-4677-8548-0DB2B1F40A46}"/>
    <cellStyle name="Normal 11" xfId="96" xr:uid="{5CBD54C5-AD22-4400-A1C2-385F9DFE5F21}"/>
    <cellStyle name="Normal 2" xfId="26" xr:uid="{00000000-0005-0000-0000-00004A000000}"/>
    <cellStyle name="Normal 2 2" xfId="27" xr:uid="{00000000-0005-0000-0000-00004B000000}"/>
    <cellStyle name="Normal 2 2 2" xfId="71" xr:uid="{948CB3EE-7D4F-48CA-99FD-8CF020DEE8C1}"/>
    <cellStyle name="Normal 2 3" xfId="28" xr:uid="{00000000-0005-0000-0000-00004C000000}"/>
    <cellStyle name="Normal 2 3 2" xfId="85" xr:uid="{08CFB9BB-55A7-4EF6-AFF6-FB0154606B52}"/>
    <cellStyle name="Normal 2 3 3" xfId="89" xr:uid="{3FE62963-A95D-4170-B66A-C28B3C80264F}"/>
    <cellStyle name="Normal 2 3 4" xfId="93" xr:uid="{42FCEDA6-7606-4FB4-9C0F-EEF73679F582}"/>
    <cellStyle name="Normal 2 3 5" xfId="97" xr:uid="{2771DCE1-1C7B-4D4C-8CBA-91111FE9ACAF}"/>
    <cellStyle name="Normal 2 4" xfId="70" xr:uid="{7F545766-3034-4ED2-AACF-EF93CD4F6F82}"/>
    <cellStyle name="Normal 3" xfId="29" xr:uid="{00000000-0005-0000-0000-00004D000000}"/>
    <cellStyle name="Normal 3 2" xfId="30" xr:uid="{00000000-0005-0000-0000-00004E000000}"/>
    <cellStyle name="Normal 3 2 2" xfId="87" xr:uid="{0CC664D7-A7D3-404A-ACAC-B3E03FD4C0C4}"/>
    <cellStyle name="Normal 3 2 3" xfId="90" xr:uid="{71D56F9B-5C27-4DB3-A76E-80E85AEC5ECC}"/>
    <cellStyle name="Normal 3 2 4" xfId="94" xr:uid="{2403F1F3-3D73-4EDC-95F7-74364E96755D}"/>
    <cellStyle name="Normal 3 2 5" xfId="98" xr:uid="{1349F338-7A81-43F0-B043-E7228E6D26D7}"/>
    <cellStyle name="Normal 3 3" xfId="84" xr:uid="{E8F5631B-0BFA-4985-97E9-1FC317162C09}"/>
    <cellStyle name="Normal 4" xfId="31" xr:uid="{00000000-0005-0000-0000-00004F000000}"/>
    <cellStyle name="Normal 4 2" xfId="86" xr:uid="{90C83EC9-BE09-4D51-B454-B1D7DC1F7569}"/>
    <cellStyle name="Normal 5" xfId="44" xr:uid="{04D391A7-4868-439D-B0DA-63B95A2C99DB}"/>
    <cellStyle name="Normal 6" xfId="54" xr:uid="{05A7BC02-B77E-498C-AB5D-04DAF045D2B8}"/>
    <cellStyle name="Normal 7" xfId="88" xr:uid="{210E42B8-BC22-4715-A327-86F31C691E37}"/>
    <cellStyle name="Normal 8" xfId="91" xr:uid="{2194254F-5E62-4CB3-8E98-B839C709ED8B}"/>
    <cellStyle name="Normal 9" xfId="92" xr:uid="{18CC71B9-3EDD-45CD-BB44-D98D12C6BB62}"/>
    <cellStyle name="Percent [0]" xfId="32" xr:uid="{00000000-0005-0000-0000-000050000000}"/>
    <cellStyle name="Percent [0] 2" xfId="72" xr:uid="{8CF6CDE4-794F-41A7-9DA4-8F85F9F36183}"/>
    <cellStyle name="Percent [00]" xfId="33" xr:uid="{00000000-0005-0000-0000-000051000000}"/>
    <cellStyle name="Percent [00] 2" xfId="73" xr:uid="{E9DDF235-2FD0-44E8-B322-DE55971E87F6}"/>
    <cellStyle name="PrePop Currency (0)" xfId="34" xr:uid="{00000000-0005-0000-0000-000052000000}"/>
    <cellStyle name="PrePop Currency (0) 2" xfId="74" xr:uid="{939A5C54-BD5C-467B-AC12-D73C9CE1F4ED}"/>
    <cellStyle name="PrePop Currency (2)" xfId="35" xr:uid="{00000000-0005-0000-0000-000053000000}"/>
    <cellStyle name="PrePop Currency (2) 2" xfId="75" xr:uid="{292E99C8-4B85-4618-9827-9CB13BBF5A2D}"/>
    <cellStyle name="PrePop Units (0)" xfId="36" xr:uid="{00000000-0005-0000-0000-000054000000}"/>
    <cellStyle name="PrePop Units (0) 2" xfId="76" xr:uid="{EDC1912C-34FF-4022-BE3F-E9E01E022579}"/>
    <cellStyle name="PrePop Units (1)" xfId="37" xr:uid="{00000000-0005-0000-0000-000055000000}"/>
    <cellStyle name="PrePop Units (1) 2" xfId="77" xr:uid="{01E98C32-6A87-4FEA-B50F-8B757588B1AA}"/>
    <cellStyle name="PrePop Units (2)" xfId="38" xr:uid="{00000000-0005-0000-0000-000056000000}"/>
    <cellStyle name="PrePop Units (2) 2" xfId="78" xr:uid="{0B8FFD5F-B79C-43E6-878C-84ED8316388D}"/>
    <cellStyle name="sbt2" xfId="39" xr:uid="{00000000-0005-0000-0000-000057000000}"/>
    <cellStyle name="sbt2 2" xfId="79" xr:uid="{9445FD2D-D36E-4F21-A827-03F82DE1B0B8}"/>
    <cellStyle name="subt1" xfId="40" xr:uid="{00000000-0005-0000-0000-000058000000}"/>
    <cellStyle name="subt1 2" xfId="80" xr:uid="{14010AD9-CD34-4C83-A6E8-FB1E9E2D02EA}"/>
    <cellStyle name="Text Indent A" xfId="41" xr:uid="{00000000-0005-0000-0000-000059000000}"/>
    <cellStyle name="Text Indent A 2" xfId="81" xr:uid="{8606F96E-B6DB-4AAC-BDEA-552A6FC7CA4B}"/>
    <cellStyle name="Text Indent B" xfId="42" xr:uid="{00000000-0005-0000-0000-00005A000000}"/>
    <cellStyle name="Text Indent B 2" xfId="82" xr:uid="{3F2F2A6C-2876-487A-B937-14591A9B93C3}"/>
    <cellStyle name="Text Indent C" xfId="43" xr:uid="{00000000-0005-0000-0000-00005B000000}"/>
    <cellStyle name="Text Indent C 2" xfId="83" xr:uid="{A8AAA4F1-F0A8-436F-A6CC-6BB9739DB714}"/>
  </cellStyles>
  <dxfs count="41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799951170384838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178" formatCode="0.000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799951170384838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179" formatCode="0.00000"/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799951170384838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799951170384838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29" Type="http://www.wps.cn/officeDocument/2023/relationships/customStorage" Target="customStorage/customStorag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CheckBox" fmlaLink="$D$34" lockText="1" noThreeD="1"/>
</file>

<file path=xl/ctrlProps/ctrlProp2.xml><?xml version="1.0" encoding="utf-8"?>
<formControlPr xmlns="http://schemas.microsoft.com/office/spreadsheetml/2009/9/main" objectType="CheckBox" fmlaLink="$D$35" lockText="1" noThreeD="1"/>
</file>

<file path=xl/ctrlProps/ctrlProp3.xml><?xml version="1.0" encoding="utf-8"?>
<formControlPr xmlns="http://schemas.microsoft.com/office/spreadsheetml/2009/9/main" objectType="CheckBox" fmlaLink="$D$36" lockText="1" noThreeD="1"/>
</file>

<file path=xl/ctrlProps/ctrlProp4.xml><?xml version="1.0" encoding="utf-8"?>
<formControlPr xmlns="http://schemas.microsoft.com/office/spreadsheetml/2009/9/main" objectType="CheckBox" fmlaLink="$B$12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ustomStorage/customStorage.xml><?xml version="1.0" encoding="utf-8"?>
<customStorage xmlns="https://web.wps.cn/et/2018/main">
  <book/>
  <sheets/>
</customStorag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76200</xdr:rowOff>
    </xdr:from>
    <xdr:to>
      <xdr:col>23</xdr:col>
      <xdr:colOff>381000</xdr:colOff>
      <xdr:row>56</xdr:row>
      <xdr:rowOff>85207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33278" t="23668" r="31615" b="5917"/>
        <a:stretch>
          <a:fillRect/>
        </a:stretch>
      </xdr:blipFill>
      <xdr:spPr>
        <a:xfrm>
          <a:off x="6667500" y="76200"/>
          <a:ext cx="8029575" cy="90766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510540</xdr:colOff>
      <xdr:row>0</xdr:row>
      <xdr:rowOff>15240</xdr:rowOff>
    </xdr:from>
    <xdr:to>
      <xdr:col>5</xdr:col>
      <xdr:colOff>365760</xdr:colOff>
      <xdr:row>5</xdr:row>
      <xdr:rowOff>53340</xdr:rowOff>
    </xdr:to>
    <xdr:pic>
      <xdr:nvPicPr>
        <xdr:cNvPr id="4" name="Picture 3" descr="Balai Besar Standardisasi dan Pelayanan Jasa Industri Logam dan Mesin">
          <a:extLst>
            <a:ext uri="{FF2B5EF4-FFF2-40B4-BE49-F238E27FC236}">
              <a16:creationId xmlns:a16="http://schemas.microsoft.com/office/drawing/2014/main" id="{C2E6605D-BA6D-90AA-320D-D740ACF3C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5240"/>
          <a:ext cx="48006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32</xdr:row>
          <xdr:rowOff>160020</xdr:rowOff>
        </xdr:from>
        <xdr:to>
          <xdr:col>4</xdr:col>
          <xdr:colOff>68580</xdr:colOff>
          <xdr:row>34</xdr:row>
          <xdr:rowOff>22860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Setengah Set ,13 Anak Timbangan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33</xdr:row>
          <xdr:rowOff>167640</xdr:rowOff>
        </xdr:from>
        <xdr:to>
          <xdr:col>4</xdr:col>
          <xdr:colOff>68580</xdr:colOff>
          <xdr:row>35</xdr:row>
          <xdr:rowOff>30480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Full Set ,26 Anak Timbangan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35</xdr:row>
          <xdr:rowOff>0</xdr:rowOff>
        </xdr:from>
        <xdr:to>
          <xdr:col>3</xdr:col>
          <xdr:colOff>1287780</xdr:colOff>
          <xdr:row>36</xdr:row>
          <xdr:rowOff>30480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5A2EA9ED-5F72-9B97-82FA-66DBD31DF6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Custom , Input Jumlah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815340</xdr:colOff>
          <xdr:row>10</xdr:row>
          <xdr:rowOff>160020</xdr:rowOff>
        </xdr:from>
        <xdr:to>
          <xdr:col>1</xdr:col>
          <xdr:colOff>1554480</xdr:colOff>
          <xdr:row>12</xdr:row>
          <xdr:rowOff>7620</xdr:rowOff>
        </xdr:to>
        <xdr:sp macro="" textlink="">
          <xdr:nvSpPr>
            <xdr:cNvPr id="21509" name="Check Box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3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5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</xdr:row>
          <xdr:rowOff>167640</xdr:rowOff>
        </xdr:from>
        <xdr:to>
          <xdr:col>4</xdr:col>
          <xdr:colOff>769620</xdr:colOff>
          <xdr:row>3</xdr:row>
          <xdr:rowOff>15240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2</xdr:row>
          <xdr:rowOff>167640</xdr:rowOff>
        </xdr:from>
        <xdr:to>
          <xdr:col>4</xdr:col>
          <xdr:colOff>769620</xdr:colOff>
          <xdr:row>4</xdr:row>
          <xdr:rowOff>15240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4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2</xdr:row>
          <xdr:rowOff>167640</xdr:rowOff>
        </xdr:from>
        <xdr:to>
          <xdr:col>4</xdr:col>
          <xdr:colOff>769620</xdr:colOff>
          <xdr:row>4</xdr:row>
          <xdr:rowOff>15240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4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3</xdr:row>
          <xdr:rowOff>167640</xdr:rowOff>
        </xdr:from>
        <xdr:to>
          <xdr:col>4</xdr:col>
          <xdr:colOff>769620</xdr:colOff>
          <xdr:row>5</xdr:row>
          <xdr:rowOff>15240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4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4</xdr:row>
          <xdr:rowOff>167640</xdr:rowOff>
        </xdr:from>
        <xdr:to>
          <xdr:col>4</xdr:col>
          <xdr:colOff>769620</xdr:colOff>
          <xdr:row>6</xdr:row>
          <xdr:rowOff>15240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4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1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77</xdr:row>
      <xdr:rowOff>0</xdr:rowOff>
    </xdr:from>
    <xdr:to>
      <xdr:col>14</xdr:col>
      <xdr:colOff>304800</xdr:colOff>
      <xdr:row>78</xdr:row>
      <xdr:rowOff>123824</xdr:rowOff>
    </xdr:to>
    <xdr:sp macro="" textlink="">
      <xdr:nvSpPr>
        <xdr:cNvPr id="3" name="AutoShape 1">
          <a:extLst>
            <a:ext uri="{FF2B5EF4-FFF2-40B4-BE49-F238E27FC236}">
              <a16:creationId xmlns:a16="http://schemas.microsoft.com/office/drawing/2014/main" id="{67C51131-6A4B-4937-A47B-0772DFA35CD1}"/>
            </a:ext>
          </a:extLst>
        </xdr:cNvPr>
        <xdr:cNvSpPr>
          <a:spLocks noChangeAspect="1" noChangeArrowheads="1"/>
        </xdr:cNvSpPr>
      </xdr:nvSpPr>
      <xdr:spPr>
        <a:xfrm>
          <a:off x="11168063" y="205216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F00ED-6757-4200-B2F1-75A5292DE9A1}" name="_E2" displayName="_E2" ref="S2:U20" totalsRowShown="0" headerRowDxfId="40" headerRowBorderDxfId="39" tableBorderDxfId="38" totalsRowBorderDxfId="37">
  <autoFilter ref="S2:U20" xr:uid="{AB9F00ED-6757-4200-B2F1-75A5292DE9A1}"/>
  <tableColumns count="3">
    <tableColumn id="1" xr3:uid="{CA5ADA1F-8D68-4063-88DF-41BC1E9A4A5F}" name="Nominal _x000a_(g)" dataDxfId="36" dataCellStyle="Normal 3 2"/>
    <tableColumn id="2" xr3:uid="{93B35FB8-F1B3-4A4D-BFF4-F162AD8E647D}" name="Massa konvensional _x000a_(g)" dataDxfId="35"/>
    <tableColumn id="3" xr3:uid="{C2427C81-B15C-442D-AD03-7844C83F75DC}" name="U95 _x000a_(mg)" dataDxfId="34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A6DFBD-7E2B-4D54-B709-16B5B951D4A2}" name="_F1" displayName="_F1" ref="W2:Y20" totalsRowShown="0" headerRowDxfId="33" headerRowBorderDxfId="32" tableBorderDxfId="31" totalsRowBorderDxfId="30">
  <autoFilter ref="W2:Y20" xr:uid="{DBA6DFBD-7E2B-4D54-B709-16B5B951D4A2}"/>
  <tableColumns count="3">
    <tableColumn id="1" xr3:uid="{28E06EA7-4ECB-4047-B73F-15D190713E5F}" name="Nominal _x000a_(g)" dataDxfId="29" dataCellStyle="Normal 3 2"/>
    <tableColumn id="2" xr3:uid="{902976CE-31C0-42F7-A3BC-3210EC2B280C}" name="Massa konvensional _x000a_(g)" dataDxfId="28" dataCellStyle="Normal 3 2"/>
    <tableColumn id="3" xr3:uid="{27AEA40C-A97A-472B-A500-81F5D30CF743}" name="U95 _x000a_(mg)" dataDxfId="27" dataCellStyle="Normal 3 2"/>
  </tableColumns>
  <tableStyleInfo name="TableStyleMedium2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9BDF8F-06B2-43F2-AC7A-86538CFF2026}" name="_M1" displayName="_M1" ref="AA2:AC31" totalsRowShown="0" headerRowDxfId="26" headerRowBorderDxfId="25" tableBorderDxfId="24" totalsRowBorderDxfId="23">
  <autoFilter ref="AA2:AC31" xr:uid="{B09BDF8F-06B2-43F2-AC7A-86538CFF2026}"/>
  <tableColumns count="3">
    <tableColumn id="1" xr3:uid="{9B2D1B3D-612A-41CC-B3AA-E6AFA784A554}" name="Identitas" dataDxfId="22"/>
    <tableColumn id="2" xr3:uid="{D93CF434-5B10-4EA1-BA15-6A2127BA00DE}" name="Massa konvensional _x000a_(g)" dataDxfId="21"/>
    <tableColumn id="3" xr3:uid="{5C4DD6B3-4AAC-415A-984F-2B6B5D0EA92A}" name="U95 _x000a_(mg)" dataDxfId="20"/>
  </tableColumns>
  <tableStyleInfo name="TableStyleMedium2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2F709B-9C10-4472-85C1-092D1ACA6BCB}" name="_E2MT" displayName="_E2MT" ref="AE2:AG28" totalsRowShown="0" headerRowDxfId="19" headerRowBorderDxfId="18" tableBorderDxfId="17" totalsRowBorderDxfId="16">
  <autoFilter ref="AE2:AG28" xr:uid="{A32F709B-9C10-4472-85C1-092D1ACA6BCB}"/>
  <tableColumns count="3">
    <tableColumn id="1" xr3:uid="{DF37DD17-DCBD-4A16-8A55-4BC8A2C4DFAF}" name="Nominal _x000a_(g)" dataDxfId="15"/>
    <tableColumn id="2" xr3:uid="{951F0105-FCAE-4F9D-B447-DF5B53F85051}" name="Massa konvensional _x000a_(g)" dataDxfId="14"/>
    <tableColumn id="3" xr3:uid="{4113755C-91DA-45D5-82A1-3A22E1C0FC2D}" name="U95 _x000a_(mg)" dataDxfId="13"/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3C7699B-DE5A-4F36-87CB-FB2EC6B116A1}" name="_MPE" displayName="_MPE" ref="AI2:AP26" totalsRowShown="0" headerRowDxfId="12" dataDxfId="10" headerRowBorderDxfId="11" tableBorderDxfId="9" totalsRowBorderDxfId="8" headerRowCellStyle="Normal 2" dataCellStyle="Normal 2">
  <autoFilter ref="AI2:AP26" xr:uid="{93C7699B-DE5A-4F36-87CB-FB2EC6B116A1}"/>
  <tableColumns count="8">
    <tableColumn id="1" xr3:uid="{2F0802B5-622B-4F7F-994F-E198545D1B9F}" name="Nominal Value (g)" dataDxfId="7" dataCellStyle="Normal 2"/>
    <tableColumn id="2" xr3:uid="{CA2E751D-084F-4600-A143-7BA7B74A3797}" name="Class E1" dataDxfId="6" dataCellStyle="Normal 2"/>
    <tableColumn id="3" xr3:uid="{1BB8087D-3BEC-4AA4-8C91-8FB052B10C28}" name="Class E2" dataDxfId="5" dataCellStyle="Normal 2"/>
    <tableColumn id="4" xr3:uid="{6EE64ADB-302E-4CFE-BF9B-21A497B01925}" name="Class F1" dataDxfId="4" dataCellStyle="Normal 2"/>
    <tableColumn id="5" xr3:uid="{A3C0BAC0-C5F0-44D1-826D-9BBAE02F36E9}" name="Class F2" dataDxfId="3" dataCellStyle="Normal 2"/>
    <tableColumn id="6" xr3:uid="{D0B44EBD-2C88-431B-A90D-C22452B9E65E}" name="Class M1" dataDxfId="2" dataCellStyle="Normal 2"/>
    <tableColumn id="7" xr3:uid="{F14443B7-C251-4672-831E-AEF312F68BA4}" name="Class M2" dataDxfId="1" dataCellStyle="Normal 2"/>
    <tableColumn id="8" xr3:uid="{F059E267-85E0-4543-A7FD-25193F99F958}" name="Class M3" dataDxfId="0" dataCellStyle="Normal 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H25"/>
  <sheetViews>
    <sheetView topLeftCell="A13" workbookViewId="0">
      <selection activeCell="F39" sqref="F39"/>
    </sheetView>
  </sheetViews>
  <sheetFormatPr defaultColWidth="9.109375" defaultRowHeight="13.2"/>
  <cols>
    <col min="1" max="1" width="13.5546875" style="127" customWidth="1"/>
    <col min="2" max="16384" width="9.109375" style="127"/>
  </cols>
  <sheetData>
    <row r="1" spans="1:8">
      <c r="A1" s="128" t="s">
        <v>0</v>
      </c>
      <c r="B1" s="128" t="s">
        <v>1</v>
      </c>
      <c r="C1" s="128" t="s">
        <v>2</v>
      </c>
      <c r="D1" s="128" t="s">
        <v>3</v>
      </c>
      <c r="E1" s="128" t="s">
        <v>4</v>
      </c>
      <c r="F1" s="128" t="s">
        <v>5</v>
      </c>
      <c r="G1" s="128" t="s">
        <v>6</v>
      </c>
      <c r="H1" s="128" t="s">
        <v>7</v>
      </c>
    </row>
    <row r="2" spans="1:8">
      <c r="A2" s="128" t="s">
        <v>8</v>
      </c>
      <c r="B2" s="128">
        <v>25</v>
      </c>
      <c r="C2" s="128">
        <v>75</v>
      </c>
      <c r="D2" s="128">
        <v>250</v>
      </c>
      <c r="E2" s="128">
        <v>750</v>
      </c>
      <c r="F2" s="128">
        <v>2500</v>
      </c>
      <c r="G2" s="128">
        <v>7500</v>
      </c>
      <c r="H2" s="128">
        <v>25000</v>
      </c>
    </row>
    <row r="3" spans="1:8">
      <c r="A3" s="128" t="s">
        <v>9</v>
      </c>
      <c r="B3" s="128">
        <v>10</v>
      </c>
      <c r="C3" s="128">
        <v>30</v>
      </c>
      <c r="D3" s="128">
        <v>100</v>
      </c>
      <c r="E3" s="128">
        <v>300</v>
      </c>
      <c r="F3" s="128">
        <v>1000</v>
      </c>
      <c r="G3" s="128">
        <v>3000</v>
      </c>
      <c r="H3" s="128">
        <v>10000</v>
      </c>
    </row>
    <row r="4" spans="1:8">
      <c r="A4" s="128" t="s">
        <v>10</v>
      </c>
      <c r="B4" s="128">
        <v>5</v>
      </c>
      <c r="C4" s="128">
        <v>15</v>
      </c>
      <c r="D4" s="128">
        <v>50</v>
      </c>
      <c r="E4" s="128">
        <v>150</v>
      </c>
      <c r="F4" s="128">
        <v>500</v>
      </c>
      <c r="G4" s="128">
        <v>1500</v>
      </c>
      <c r="H4" s="128">
        <v>5000</v>
      </c>
    </row>
    <row r="5" spans="1:8">
      <c r="A5" s="128" t="s">
        <v>11</v>
      </c>
      <c r="B5" s="128">
        <v>2.5</v>
      </c>
      <c r="C5" s="128">
        <v>7.5</v>
      </c>
      <c r="D5" s="128">
        <v>25</v>
      </c>
      <c r="E5" s="128">
        <v>75</v>
      </c>
      <c r="F5" s="128">
        <v>250</v>
      </c>
      <c r="G5" s="128">
        <v>750</v>
      </c>
      <c r="H5" s="128">
        <v>2500</v>
      </c>
    </row>
    <row r="6" spans="1:8">
      <c r="A6" s="128" t="s">
        <v>12</v>
      </c>
      <c r="B6" s="128">
        <v>1</v>
      </c>
      <c r="C6" s="128">
        <v>3</v>
      </c>
      <c r="D6" s="128">
        <v>10</v>
      </c>
      <c r="E6" s="128">
        <v>30</v>
      </c>
      <c r="F6" s="128">
        <v>100</v>
      </c>
      <c r="G6" s="128">
        <v>300</v>
      </c>
      <c r="H6" s="128">
        <v>1000</v>
      </c>
    </row>
    <row r="7" spans="1:8">
      <c r="A7" s="128" t="s">
        <v>13</v>
      </c>
      <c r="B7" s="128">
        <v>0.5</v>
      </c>
      <c r="C7" s="128">
        <v>1.5</v>
      </c>
      <c r="D7" s="128">
        <v>5</v>
      </c>
      <c r="E7" s="128">
        <v>15</v>
      </c>
      <c r="F7" s="128">
        <v>50</v>
      </c>
      <c r="G7" s="128">
        <v>150</v>
      </c>
      <c r="H7" s="128">
        <v>500</v>
      </c>
    </row>
    <row r="8" spans="1:8">
      <c r="A8" s="128" t="s">
        <v>14</v>
      </c>
      <c r="B8" s="128">
        <v>0.25</v>
      </c>
      <c r="C8" s="128">
        <v>0.75</v>
      </c>
      <c r="D8" s="128">
        <v>2.5</v>
      </c>
      <c r="E8" s="128">
        <v>7.5</v>
      </c>
      <c r="F8" s="128">
        <v>25</v>
      </c>
      <c r="G8" s="128">
        <v>75</v>
      </c>
      <c r="H8" s="128">
        <v>250</v>
      </c>
    </row>
    <row r="9" spans="1:8">
      <c r="A9" s="128" t="s">
        <v>15</v>
      </c>
      <c r="B9" s="128">
        <v>0.01</v>
      </c>
      <c r="C9" s="128">
        <v>0.3</v>
      </c>
      <c r="D9" s="128">
        <v>1</v>
      </c>
      <c r="E9" s="128">
        <v>3</v>
      </c>
      <c r="F9" s="128">
        <v>10</v>
      </c>
      <c r="G9" s="128">
        <v>30</v>
      </c>
      <c r="H9" s="128">
        <v>100</v>
      </c>
    </row>
    <row r="10" spans="1:8">
      <c r="A10" s="128" t="s">
        <v>16</v>
      </c>
      <c r="B10" s="128">
        <v>0.05</v>
      </c>
      <c r="C10" s="128">
        <v>0.15</v>
      </c>
      <c r="D10" s="128">
        <v>0.5</v>
      </c>
      <c r="E10" s="128">
        <v>1.5</v>
      </c>
      <c r="F10" s="128">
        <v>5</v>
      </c>
      <c r="G10" s="128">
        <v>15</v>
      </c>
      <c r="H10" s="128">
        <v>50</v>
      </c>
    </row>
    <row r="11" spans="1:8">
      <c r="A11" s="128" t="s">
        <v>17</v>
      </c>
      <c r="B11" s="128">
        <v>0.03</v>
      </c>
      <c r="C11" s="128">
        <v>0.1</v>
      </c>
      <c r="D11" s="128">
        <v>0.3</v>
      </c>
      <c r="E11" s="128">
        <v>1</v>
      </c>
      <c r="F11" s="128">
        <v>3</v>
      </c>
      <c r="G11" s="128">
        <v>10</v>
      </c>
      <c r="H11" s="128">
        <v>30</v>
      </c>
    </row>
    <row r="12" spans="1:8">
      <c r="A12" s="128" t="s">
        <v>18</v>
      </c>
      <c r="B12" s="128">
        <v>2.5000000000000001E-2</v>
      </c>
      <c r="C12" s="128">
        <v>0.08</v>
      </c>
      <c r="D12" s="128">
        <v>0.25</v>
      </c>
      <c r="E12" s="128">
        <v>0.8</v>
      </c>
      <c r="F12" s="128">
        <v>2.5</v>
      </c>
      <c r="G12" s="128">
        <v>8</v>
      </c>
      <c r="H12" s="128">
        <v>25</v>
      </c>
    </row>
    <row r="13" spans="1:8">
      <c r="A13" s="128" t="s">
        <v>19</v>
      </c>
      <c r="B13" s="128">
        <v>0.02</v>
      </c>
      <c r="C13" s="128">
        <v>0.06</v>
      </c>
      <c r="D13" s="128">
        <v>0.2</v>
      </c>
      <c r="E13" s="128">
        <v>0.6</v>
      </c>
      <c r="F13" s="128">
        <v>2</v>
      </c>
      <c r="G13" s="128">
        <v>6</v>
      </c>
      <c r="H13" s="128">
        <v>20</v>
      </c>
    </row>
    <row r="14" spans="1:8">
      <c r="A14" s="128" t="s">
        <v>20</v>
      </c>
      <c r="B14" s="128">
        <v>1.4999999999999999E-2</v>
      </c>
      <c r="C14" s="128">
        <v>0.05</v>
      </c>
      <c r="D14" s="128">
        <v>0.15</v>
      </c>
      <c r="E14" s="128">
        <v>0.5</v>
      </c>
      <c r="F14" s="128">
        <v>1.5</v>
      </c>
      <c r="G14" s="128">
        <v>5</v>
      </c>
      <c r="H14" s="128">
        <v>15</v>
      </c>
    </row>
    <row r="15" spans="1:8">
      <c r="A15" s="128" t="s">
        <v>21</v>
      </c>
      <c r="B15" s="128">
        <v>1.2E-2</v>
      </c>
      <c r="C15" s="128">
        <v>0.04</v>
      </c>
      <c r="D15" s="128">
        <v>0.12</v>
      </c>
      <c r="E15" s="128">
        <v>0.4</v>
      </c>
      <c r="F15" s="128">
        <v>1.2</v>
      </c>
      <c r="G15" s="128">
        <v>4</v>
      </c>
      <c r="H15" s="128">
        <v>12</v>
      </c>
    </row>
    <row r="16" spans="1:8">
      <c r="A16" s="128" t="s">
        <v>22</v>
      </c>
      <c r="B16" s="128">
        <v>0.01</v>
      </c>
      <c r="C16" s="128">
        <v>0.03</v>
      </c>
      <c r="D16" s="128">
        <v>0.1</v>
      </c>
      <c r="E16" s="128">
        <v>0.3</v>
      </c>
      <c r="F16" s="128">
        <v>1</v>
      </c>
      <c r="G16" s="128">
        <v>3</v>
      </c>
      <c r="H16" s="128">
        <v>10</v>
      </c>
    </row>
    <row r="17" spans="1:8">
      <c r="A17" s="128" t="s">
        <v>23</v>
      </c>
      <c r="B17" s="128">
        <v>8.0000000000000002E-3</v>
      </c>
      <c r="C17" s="128">
        <v>2.5000000000000001E-2</v>
      </c>
      <c r="D17" s="128">
        <v>0.08</v>
      </c>
      <c r="E17" s="128">
        <v>0.25</v>
      </c>
      <c r="F17" s="128">
        <v>0.8</v>
      </c>
      <c r="G17" s="128">
        <v>2.5</v>
      </c>
      <c r="H17" s="128" t="s">
        <v>24</v>
      </c>
    </row>
    <row r="18" spans="1:8">
      <c r="A18" s="128" t="s">
        <v>25</v>
      </c>
      <c r="B18" s="128">
        <v>6.0000000000000001E-3</v>
      </c>
      <c r="C18" s="128">
        <v>0.02</v>
      </c>
      <c r="D18" s="128">
        <v>0.06</v>
      </c>
      <c r="E18" s="128">
        <v>0.2</v>
      </c>
      <c r="F18" s="128">
        <v>0.6</v>
      </c>
      <c r="G18" s="128">
        <v>2</v>
      </c>
      <c r="H18" s="128" t="s">
        <v>24</v>
      </c>
    </row>
    <row r="19" spans="1:8">
      <c r="A19" s="128" t="s">
        <v>26</v>
      </c>
      <c r="B19" s="128">
        <v>5.0000000000000001E-3</v>
      </c>
      <c r="C19" s="128">
        <v>1.4999999999999999E-2</v>
      </c>
      <c r="D19" s="128">
        <v>0.05</v>
      </c>
      <c r="E19" s="128">
        <v>0.15</v>
      </c>
      <c r="F19" s="128">
        <v>0.5</v>
      </c>
      <c r="G19" s="128">
        <v>1.5</v>
      </c>
      <c r="H19" s="128" t="s">
        <v>24</v>
      </c>
    </row>
    <row r="20" spans="1:8">
      <c r="A20" s="128" t="s">
        <v>27</v>
      </c>
      <c r="B20" s="128">
        <v>4.0000000000000001E-3</v>
      </c>
      <c r="C20" s="128">
        <v>1.2E-2</v>
      </c>
      <c r="D20" s="128">
        <v>0.04</v>
      </c>
      <c r="E20" s="128">
        <v>0.12</v>
      </c>
      <c r="F20" s="128">
        <v>0.4</v>
      </c>
      <c r="G20" s="128" t="s">
        <v>24</v>
      </c>
      <c r="H20" s="128" t="s">
        <v>24</v>
      </c>
    </row>
    <row r="21" spans="1:8">
      <c r="A21" s="128" t="s">
        <v>28</v>
      </c>
      <c r="B21" s="128">
        <v>3.0000000000000001E-3</v>
      </c>
      <c r="C21" s="128">
        <v>0.01</v>
      </c>
      <c r="D21" s="128">
        <v>0.03</v>
      </c>
      <c r="E21" s="128">
        <v>0.1</v>
      </c>
      <c r="F21" s="128">
        <v>0.3</v>
      </c>
      <c r="G21" s="128" t="s">
        <v>24</v>
      </c>
      <c r="H21" s="128" t="s">
        <v>24</v>
      </c>
    </row>
    <row r="22" spans="1:8">
      <c r="A22" s="128" t="s">
        <v>29</v>
      </c>
      <c r="B22" s="128">
        <v>2E-3</v>
      </c>
      <c r="C22" s="128">
        <v>8.0000000000000002E-3</v>
      </c>
      <c r="D22" s="128">
        <v>2.5000000000000001E-2</v>
      </c>
      <c r="E22" s="128">
        <v>0.08</v>
      </c>
      <c r="F22" s="128">
        <v>0.25</v>
      </c>
      <c r="G22" s="128" t="s">
        <v>24</v>
      </c>
      <c r="H22" s="128" t="s">
        <v>24</v>
      </c>
    </row>
    <row r="23" spans="1:8">
      <c r="A23" s="128" t="s">
        <v>30</v>
      </c>
      <c r="B23" s="128">
        <v>2E-3</v>
      </c>
      <c r="C23" s="128">
        <v>6.0000000000000001E-3</v>
      </c>
      <c r="D23" s="128">
        <v>0.02</v>
      </c>
      <c r="E23" s="128">
        <v>0.06</v>
      </c>
      <c r="F23" s="128">
        <v>0.2</v>
      </c>
      <c r="G23" s="128" t="s">
        <v>24</v>
      </c>
      <c r="H23" s="128" t="s">
        <v>24</v>
      </c>
    </row>
    <row r="24" spans="1:8">
      <c r="A24" s="128" t="s">
        <v>31</v>
      </c>
      <c r="B24" s="128">
        <v>2E-3</v>
      </c>
      <c r="C24" s="128">
        <v>6.0000000000000001E-3</v>
      </c>
      <c r="D24" s="128">
        <v>0.02</v>
      </c>
      <c r="E24" s="128">
        <v>0.06</v>
      </c>
      <c r="F24" s="128">
        <v>0.2</v>
      </c>
      <c r="G24" s="128" t="s">
        <v>24</v>
      </c>
      <c r="H24" s="128" t="s">
        <v>24</v>
      </c>
    </row>
    <row r="25" spans="1:8">
      <c r="A25" s="128" t="s">
        <v>32</v>
      </c>
      <c r="B25" s="128">
        <v>2E-3</v>
      </c>
      <c r="C25" s="128">
        <v>6.0000000000000001E-3</v>
      </c>
      <c r="D25" s="128">
        <v>0.02</v>
      </c>
      <c r="E25" s="128">
        <v>0.06</v>
      </c>
      <c r="F25" s="128">
        <v>0.2</v>
      </c>
      <c r="G25" s="128" t="s">
        <v>24</v>
      </c>
      <c r="H25" s="128" t="s">
        <v>24</v>
      </c>
    </row>
  </sheetData>
  <pageMargins left="0.7" right="0.7" top="0.75" bottom="0.75" header="0.3" footer="0.3"/>
  <pageSetup paperSize="9" orientation="portrait" horizontalDpi="360" verticalDpi="36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</sheetPr>
  <dimension ref="B1:D30"/>
  <sheetViews>
    <sheetView topLeftCell="A19" workbookViewId="0">
      <selection activeCell="C1" sqref="C1"/>
    </sheetView>
  </sheetViews>
  <sheetFormatPr defaultColWidth="9" defaultRowHeight="14.4"/>
  <cols>
    <col min="1" max="1" width="4.77734375" customWidth="1"/>
    <col min="2" max="2" width="8.5546875" customWidth="1"/>
    <col min="3" max="3" width="15.88671875" customWidth="1"/>
    <col min="4" max="4" width="19" customWidth="1"/>
    <col min="5" max="5" width="10.77734375" customWidth="1"/>
  </cols>
  <sheetData>
    <row r="1" spans="2:4">
      <c r="C1" s="125">
        <v>44809</v>
      </c>
    </row>
    <row r="2" spans="2:4" ht="28.8">
      <c r="B2" s="126" t="s">
        <v>33</v>
      </c>
      <c r="C2" s="126" t="s">
        <v>34</v>
      </c>
      <c r="D2" s="126" t="s">
        <v>35</v>
      </c>
    </row>
    <row r="3" spans="2:4">
      <c r="B3" s="30">
        <v>5000</v>
      </c>
      <c r="C3" s="30">
        <v>4999.9986600000002</v>
      </c>
      <c r="D3" s="30">
        <v>0.6</v>
      </c>
    </row>
    <row r="4" spans="2:4">
      <c r="B4" s="30" t="s">
        <v>36</v>
      </c>
      <c r="C4" s="30">
        <v>2000.0319999999999</v>
      </c>
      <c r="D4" s="30">
        <v>24</v>
      </c>
    </row>
    <row r="5" spans="2:4">
      <c r="B5" s="30">
        <v>2000</v>
      </c>
      <c r="C5" s="30">
        <v>2000.0319999999999</v>
      </c>
      <c r="D5" s="30">
        <v>24</v>
      </c>
    </row>
    <row r="6" spans="2:4">
      <c r="B6" s="30">
        <v>1000</v>
      </c>
      <c r="C6" s="30">
        <v>1000.000837</v>
      </c>
      <c r="D6" s="30">
        <v>9.9000000000000005E-2</v>
      </c>
    </row>
    <row r="7" spans="2:4">
      <c r="B7" s="30">
        <v>500</v>
      </c>
      <c r="C7" s="30">
        <v>500.00008400000002</v>
      </c>
      <c r="D7" s="30">
        <v>5.6000000000000001E-2</v>
      </c>
    </row>
    <row r="8" spans="2:4">
      <c r="B8" s="30">
        <v>200</v>
      </c>
      <c r="C8" s="30">
        <v>199.999922</v>
      </c>
      <c r="D8" s="30">
        <v>2.5000000000000001E-2</v>
      </c>
    </row>
    <row r="9" spans="2:4">
      <c r="B9" s="30" t="s">
        <v>37</v>
      </c>
      <c r="C9" s="30">
        <v>199.999977</v>
      </c>
      <c r="D9" s="30">
        <v>2.5000000000000001E-2</v>
      </c>
    </row>
    <row r="10" spans="2:4">
      <c r="B10" s="30">
        <v>100</v>
      </c>
      <c r="C10" s="30">
        <v>99.999909000000002</v>
      </c>
      <c r="D10" s="30">
        <v>2.1999999999999999E-2</v>
      </c>
    </row>
    <row r="11" spans="2:4">
      <c r="B11" s="30">
        <v>50</v>
      </c>
      <c r="C11" s="30">
        <v>49.999975999999997</v>
      </c>
      <c r="D11" s="30">
        <v>1.2E-2</v>
      </c>
    </row>
    <row r="12" spans="2:4">
      <c r="B12" s="30">
        <v>20</v>
      </c>
      <c r="C12" s="30">
        <v>19.999989299999999</v>
      </c>
      <c r="D12" s="30">
        <v>8.9999999999999993E-3</v>
      </c>
    </row>
    <row r="13" spans="2:4">
      <c r="B13" s="30" t="s">
        <v>38</v>
      </c>
      <c r="C13" s="30">
        <v>19.999988800000001</v>
      </c>
      <c r="D13" s="30">
        <v>8.9999999999999993E-3</v>
      </c>
    </row>
    <row r="14" spans="2:4">
      <c r="B14" s="30">
        <v>10</v>
      </c>
      <c r="C14" s="30">
        <v>9.9999660000000006</v>
      </c>
      <c r="D14" s="30">
        <v>8.3000000000000001E-3</v>
      </c>
    </row>
    <row r="15" spans="2:4">
      <c r="B15" s="30">
        <v>5</v>
      </c>
      <c r="C15" s="30">
        <v>5.0000099000000002</v>
      </c>
      <c r="D15" s="30">
        <v>5.1000000000000004E-3</v>
      </c>
    </row>
    <row r="16" spans="2:4">
      <c r="B16" s="30">
        <v>2</v>
      </c>
      <c r="C16" s="30">
        <v>2.0000124000000001</v>
      </c>
      <c r="D16" s="30">
        <v>3.8999999999999998E-3</v>
      </c>
    </row>
    <row r="17" spans="2:4">
      <c r="B17" s="30" t="s">
        <v>39</v>
      </c>
      <c r="C17" s="30">
        <v>1.9999897</v>
      </c>
      <c r="D17" s="30">
        <v>3.8999999999999998E-3</v>
      </c>
    </row>
    <row r="18" spans="2:4">
      <c r="B18" s="30">
        <v>1</v>
      </c>
      <c r="C18" s="30">
        <v>0.99998560000000003</v>
      </c>
      <c r="D18" s="30">
        <v>3.5000000000000001E-3</v>
      </c>
    </row>
    <row r="19" spans="2:4">
      <c r="B19" s="30">
        <v>0.5</v>
      </c>
      <c r="C19" s="30">
        <v>0.50001799999999996</v>
      </c>
      <c r="D19" s="30">
        <v>3.0000000000000001E-3</v>
      </c>
    </row>
    <row r="20" spans="2:4">
      <c r="B20" s="30">
        <v>0.2</v>
      </c>
      <c r="C20" s="30">
        <v>0.20000999999999999</v>
      </c>
      <c r="D20" s="30">
        <v>3.0000000000000001E-3</v>
      </c>
    </row>
    <row r="21" spans="2:4">
      <c r="B21" s="30" t="s">
        <v>40</v>
      </c>
      <c r="C21" s="30">
        <v>0.200014</v>
      </c>
      <c r="D21" s="30">
        <v>3.0000000000000001E-3</v>
      </c>
    </row>
    <row r="22" spans="2:4">
      <c r="B22" s="30">
        <v>0.1</v>
      </c>
      <c r="C22" s="30">
        <v>0.100005</v>
      </c>
      <c r="D22" s="30">
        <v>2E-3</v>
      </c>
    </row>
    <row r="23" spans="2:4">
      <c r="B23" s="30">
        <v>0.05</v>
      </c>
      <c r="C23" s="30">
        <v>5.0004E-2</v>
      </c>
      <c r="D23" s="30">
        <v>2E-3</v>
      </c>
    </row>
    <row r="24" spans="2:4">
      <c r="B24" s="30">
        <v>0.02</v>
      </c>
      <c r="C24" s="30">
        <v>2.0004999999999998E-2</v>
      </c>
      <c r="D24" s="30">
        <v>2E-3</v>
      </c>
    </row>
    <row r="25" spans="2:4">
      <c r="B25" s="30" t="s">
        <v>41</v>
      </c>
      <c r="C25" s="30">
        <v>1.9996E-2</v>
      </c>
      <c r="D25" s="30">
        <v>2E-3</v>
      </c>
    </row>
    <row r="26" spans="2:4">
      <c r="B26" s="30">
        <v>0.01</v>
      </c>
      <c r="C26" s="30">
        <v>9.9950000000000004E-3</v>
      </c>
      <c r="D26" s="30">
        <v>2E-3</v>
      </c>
    </row>
    <row r="27" spans="2:4">
      <c r="B27" s="30">
        <v>5.0000000000000001E-3</v>
      </c>
      <c r="C27" s="30">
        <v>5.0039999999999998E-3</v>
      </c>
      <c r="D27" s="30">
        <v>2E-3</v>
      </c>
    </row>
    <row r="28" spans="2:4">
      <c r="B28" s="30">
        <v>2E-3</v>
      </c>
      <c r="C28" s="30">
        <v>1.9989999999999999E-3</v>
      </c>
      <c r="D28" s="30">
        <v>2E-3</v>
      </c>
    </row>
    <row r="29" spans="2:4">
      <c r="B29" s="30" t="s">
        <v>42</v>
      </c>
      <c r="C29" s="30">
        <v>2.0049999999999998E-3</v>
      </c>
      <c r="D29" s="30">
        <v>2E-3</v>
      </c>
    </row>
    <row r="30" spans="2:4">
      <c r="B30" s="30">
        <v>1E-3</v>
      </c>
      <c r="C30" s="30">
        <v>1.0039999999999999E-3</v>
      </c>
      <c r="D30" s="30">
        <v>2E-3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31A6F-7FA7-4DEB-8E5B-97382BBB88E0}">
  <sheetPr codeName="Sheet8">
    <tabColor rgb="FFFFC000"/>
  </sheetPr>
  <dimension ref="A1:M56"/>
  <sheetViews>
    <sheetView showGridLines="0" tabSelected="1" workbookViewId="0">
      <selection activeCell="E35" sqref="E35"/>
    </sheetView>
  </sheetViews>
  <sheetFormatPr defaultRowHeight="14.4"/>
  <cols>
    <col min="1" max="1" width="23.5546875" style="238" customWidth="1"/>
    <col min="2" max="2" width="10.5546875" customWidth="1"/>
    <col min="3" max="3" width="27.88671875" customWidth="1"/>
    <col min="4" max="4" width="25.21875" customWidth="1"/>
    <col min="5" max="5" width="19" customWidth="1"/>
    <col min="6" max="6" width="22.21875" style="147" customWidth="1"/>
    <col min="7" max="7" width="31.77734375" style="238" customWidth="1"/>
    <col min="8" max="13" width="8.88671875" style="238"/>
  </cols>
  <sheetData>
    <row r="1" spans="2:6">
      <c r="B1" s="237"/>
      <c r="C1" s="237"/>
      <c r="D1" s="237"/>
      <c r="E1" s="237"/>
      <c r="F1" s="237"/>
    </row>
    <row r="2" spans="2:6">
      <c r="B2" s="237"/>
      <c r="C2" s="237"/>
      <c r="D2" s="237"/>
      <c r="E2" s="237"/>
      <c r="F2" s="237"/>
    </row>
    <row r="3" spans="2:6">
      <c r="B3" s="237"/>
      <c r="C3" s="237"/>
      <c r="D3" s="237"/>
      <c r="E3" s="237"/>
      <c r="F3" s="237"/>
    </row>
    <row r="4" spans="2:6">
      <c r="B4" s="237"/>
      <c r="C4" s="237"/>
      <c r="D4" s="237"/>
      <c r="E4" s="237"/>
      <c r="F4" s="237"/>
    </row>
    <row r="5" spans="2:6">
      <c r="B5" s="237"/>
      <c r="C5" s="237"/>
      <c r="D5" s="237"/>
      <c r="E5" s="237"/>
      <c r="F5" s="237"/>
    </row>
    <row r="6" spans="2:6">
      <c r="B6" s="237"/>
      <c r="C6" s="237"/>
      <c r="D6" s="237"/>
      <c r="E6" s="237"/>
      <c r="F6" s="237"/>
    </row>
    <row r="7" spans="2:6" ht="25.8" customHeight="1">
      <c r="C7" s="254" t="s">
        <v>310</v>
      </c>
    </row>
    <row r="9" spans="2:6">
      <c r="C9" s="251" t="s">
        <v>309</v>
      </c>
      <c r="D9" s="285"/>
      <c r="E9" s="285"/>
    </row>
    <row r="10" spans="2:6">
      <c r="C10" s="251"/>
    </row>
    <row r="11" spans="2:6">
      <c r="C11" s="251" t="s">
        <v>128</v>
      </c>
      <c r="D11" s="286"/>
      <c r="E11" s="286"/>
    </row>
    <row r="12" spans="2:6">
      <c r="C12" s="251"/>
    </row>
    <row r="13" spans="2:6">
      <c r="C13" s="251" t="s">
        <v>130</v>
      </c>
      <c r="D13" s="287"/>
      <c r="E13" s="287"/>
    </row>
    <row r="14" spans="2:6">
      <c r="C14" s="251"/>
    </row>
    <row r="15" spans="2:6">
      <c r="C15" s="251" t="s">
        <v>84</v>
      </c>
      <c r="D15" s="286"/>
      <c r="E15" s="286"/>
    </row>
    <row r="16" spans="2:6">
      <c r="C16" s="251"/>
    </row>
    <row r="17" spans="3:5">
      <c r="C17" s="251" t="s">
        <v>133</v>
      </c>
      <c r="D17" s="287"/>
      <c r="E17" s="287"/>
    </row>
    <row r="18" spans="3:5">
      <c r="C18" s="251"/>
    </row>
    <row r="19" spans="3:5">
      <c r="C19" s="251" t="s">
        <v>135</v>
      </c>
      <c r="D19" s="287"/>
      <c r="E19" s="287"/>
    </row>
    <row r="20" spans="3:5">
      <c r="C20" s="251"/>
    </row>
    <row r="21" spans="3:5">
      <c r="C21" s="251" t="s">
        <v>51</v>
      </c>
      <c r="D21" s="287"/>
      <c r="E21" s="287"/>
    </row>
    <row r="22" spans="3:5">
      <c r="C22" s="251"/>
    </row>
    <row r="23" spans="3:5">
      <c r="C23" s="251" t="s">
        <v>311</v>
      </c>
      <c r="D23" s="287"/>
      <c r="E23" s="287"/>
    </row>
    <row r="24" spans="3:5">
      <c r="C24" s="251"/>
    </row>
    <row r="25" spans="3:5">
      <c r="C25" s="251" t="s">
        <v>274</v>
      </c>
      <c r="D25" s="287"/>
      <c r="E25" s="287"/>
    </row>
    <row r="26" spans="3:5">
      <c r="C26" s="251"/>
    </row>
    <row r="27" spans="3:5">
      <c r="C27" s="251" t="s">
        <v>53</v>
      </c>
      <c r="D27" s="287"/>
      <c r="E27" s="287"/>
    </row>
    <row r="28" spans="3:5">
      <c r="C28" s="251"/>
    </row>
    <row r="29" spans="3:5">
      <c r="C29" s="251" t="s">
        <v>81</v>
      </c>
      <c r="D29" s="287"/>
      <c r="E29" s="287"/>
    </row>
    <row r="30" spans="3:5">
      <c r="C30" s="251"/>
    </row>
    <row r="31" spans="3:5">
      <c r="C31" s="251" t="s">
        <v>82</v>
      </c>
      <c r="D31" s="287"/>
      <c r="E31" s="287"/>
    </row>
    <row r="32" spans="3:5">
      <c r="C32" s="251"/>
    </row>
    <row r="33" spans="3:5">
      <c r="C33" s="252" t="s">
        <v>316</v>
      </c>
    </row>
    <row r="34" spans="3:5">
      <c r="C34" s="281" t="s">
        <v>313</v>
      </c>
      <c r="D34" s="284" t="b">
        <v>0</v>
      </c>
    </row>
    <row r="35" spans="3:5">
      <c r="C35" s="282" t="s">
        <v>314</v>
      </c>
      <c r="D35" s="284" t="b">
        <v>0</v>
      </c>
    </row>
    <row r="36" spans="3:5">
      <c r="C36" s="283" t="s">
        <v>315</v>
      </c>
      <c r="D36" s="253" t="b">
        <v>0</v>
      </c>
    </row>
    <row r="37" spans="3:5">
      <c r="C37" s="251"/>
      <c r="D37" s="288"/>
    </row>
    <row r="38" spans="3:5">
      <c r="C38" s="251" t="s">
        <v>324</v>
      </c>
      <c r="D38" s="287"/>
      <c r="E38" s="287"/>
    </row>
    <row r="39" spans="3:5">
      <c r="C39" s="251"/>
    </row>
    <row r="40" spans="3:5">
      <c r="C40" s="251" t="s">
        <v>155</v>
      </c>
      <c r="D40" s="287"/>
      <c r="E40" s="287"/>
    </row>
    <row r="41" spans="3:5">
      <c r="C41" s="251"/>
    </row>
    <row r="42" spans="3:5">
      <c r="C42" s="251" t="s">
        <v>156</v>
      </c>
      <c r="D42" s="287"/>
      <c r="E42" s="287"/>
    </row>
    <row r="43" spans="3:5">
      <c r="C43" s="251"/>
    </row>
    <row r="44" spans="3:5">
      <c r="C44" s="251" t="s">
        <v>317</v>
      </c>
      <c r="D44" s="287"/>
      <c r="E44" s="287"/>
    </row>
    <row r="45" spans="3:5">
      <c r="C45" s="251"/>
    </row>
    <row r="46" spans="3:5">
      <c r="C46" s="251" t="s">
        <v>320</v>
      </c>
      <c r="D46" s="286"/>
      <c r="E46" s="286"/>
    </row>
    <row r="47" spans="3:5">
      <c r="C47" s="251"/>
    </row>
    <row r="48" spans="3:5">
      <c r="C48" s="251" t="s">
        <v>321</v>
      </c>
      <c r="D48" s="286"/>
      <c r="E48" s="286"/>
    </row>
    <row r="49" spans="3:5">
      <c r="C49" s="251"/>
    </row>
    <row r="50" spans="3:5">
      <c r="C50" s="251" t="s">
        <v>322</v>
      </c>
      <c r="D50" s="287"/>
      <c r="E50" s="287"/>
    </row>
    <row r="51" spans="3:5">
      <c r="C51" s="251"/>
    </row>
    <row r="52" spans="3:5">
      <c r="C52" s="251" t="s">
        <v>323</v>
      </c>
      <c r="D52" s="287"/>
      <c r="E52" s="287"/>
    </row>
    <row r="53" spans="3:5">
      <c r="C53" s="251"/>
    </row>
    <row r="54" spans="3:5">
      <c r="C54" s="251"/>
    </row>
    <row r="55" spans="3:5">
      <c r="C55" s="289" t="s">
        <v>325</v>
      </c>
      <c r="D55" s="289"/>
      <c r="E55" s="289"/>
    </row>
    <row r="56" spans="3:5">
      <c r="C56" s="289"/>
      <c r="D56" s="289"/>
      <c r="E56" s="289"/>
    </row>
  </sheetData>
  <mergeCells count="21">
    <mergeCell ref="C55:E56"/>
    <mergeCell ref="D44:E44"/>
    <mergeCell ref="D46:E46"/>
    <mergeCell ref="D48:E48"/>
    <mergeCell ref="D50:E50"/>
    <mergeCell ref="D52:E52"/>
    <mergeCell ref="D9:E9"/>
    <mergeCell ref="D11:E11"/>
    <mergeCell ref="D13:E13"/>
    <mergeCell ref="D15:E15"/>
    <mergeCell ref="D17:E17"/>
    <mergeCell ref="D19:E19"/>
    <mergeCell ref="D21:E21"/>
    <mergeCell ref="D23:E23"/>
    <mergeCell ref="D25:E25"/>
    <mergeCell ref="D27:E27"/>
    <mergeCell ref="D29:E29"/>
    <mergeCell ref="D31:E31"/>
    <mergeCell ref="D38:E38"/>
    <mergeCell ref="D40:E40"/>
    <mergeCell ref="D42:E4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3</xdr:col>
                    <xdr:colOff>15240</xdr:colOff>
                    <xdr:row>32</xdr:row>
                    <xdr:rowOff>160020</xdr:rowOff>
                  </from>
                  <to>
                    <xdr:col>4</xdr:col>
                    <xdr:colOff>68580</xdr:colOff>
                    <xdr:row>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3</xdr:col>
                    <xdr:colOff>15240</xdr:colOff>
                    <xdr:row>33</xdr:row>
                    <xdr:rowOff>167640</xdr:rowOff>
                  </from>
                  <to>
                    <xdr:col>4</xdr:col>
                    <xdr:colOff>68580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Check Box 6">
              <controlPr defaultSize="0" autoFill="0" autoLine="0" autoPict="0">
                <anchor moveWithCells="1">
                  <from>
                    <xdr:col>3</xdr:col>
                    <xdr:colOff>15240</xdr:colOff>
                    <xdr:row>35</xdr:row>
                    <xdr:rowOff>0</xdr:rowOff>
                  </from>
                  <to>
                    <xdr:col>3</xdr:col>
                    <xdr:colOff>1287780</xdr:colOff>
                    <xdr:row>36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25546-CC20-47E9-BBE3-A6D83040CAAF}">
  <sheetPr codeName="Sheet3">
    <tabColor rgb="FFFFC000"/>
  </sheetPr>
  <dimension ref="A1:D20"/>
  <sheetViews>
    <sheetView topLeftCell="A7" workbookViewId="0">
      <selection activeCell="B17" sqref="B17"/>
    </sheetView>
  </sheetViews>
  <sheetFormatPr defaultRowHeight="14.4"/>
  <cols>
    <col min="1" max="1" width="17.33203125" bestFit="1" customWidth="1"/>
    <col min="2" max="2" width="39.88671875" customWidth="1"/>
    <col min="3" max="3" width="6.88671875" bestFit="1" customWidth="1"/>
    <col min="6" max="6" width="13.6640625" customWidth="1"/>
  </cols>
  <sheetData>
    <row r="1" spans="1:4">
      <c r="A1" s="29" t="s">
        <v>122</v>
      </c>
      <c r="B1" s="29" t="s">
        <v>123</v>
      </c>
      <c r="C1" s="29" t="s">
        <v>124</v>
      </c>
    </row>
    <row r="2" spans="1:4">
      <c r="A2" s="141" t="s">
        <v>126</v>
      </c>
      <c r="B2" s="242"/>
      <c r="C2" s="141"/>
    </row>
    <row r="3" spans="1:4">
      <c r="A3" s="141" t="s">
        <v>128</v>
      </c>
      <c r="B3" s="242" t="s">
        <v>301</v>
      </c>
      <c r="C3" s="141"/>
    </row>
    <row r="4" spans="1:4">
      <c r="A4" s="141" t="s">
        <v>130</v>
      </c>
      <c r="B4" s="242" t="s">
        <v>304</v>
      </c>
      <c r="C4" s="141"/>
    </row>
    <row r="5" spans="1:4">
      <c r="A5" s="141" t="s">
        <v>84</v>
      </c>
      <c r="B5" s="232" t="s">
        <v>312</v>
      </c>
      <c r="C5" s="141"/>
    </row>
    <row r="6" spans="1:4">
      <c r="A6" s="141" t="s">
        <v>133</v>
      </c>
      <c r="B6" s="140" t="s">
        <v>238</v>
      </c>
      <c r="C6" s="141"/>
    </row>
    <row r="7" spans="1:4">
      <c r="A7" s="141" t="s">
        <v>135</v>
      </c>
      <c r="B7" s="140" t="s">
        <v>24</v>
      </c>
      <c r="C7" s="141"/>
    </row>
    <row r="8" spans="1:4">
      <c r="A8" s="141" t="s">
        <v>51</v>
      </c>
      <c r="B8" s="243" t="s">
        <v>297</v>
      </c>
      <c r="C8" s="141"/>
    </row>
    <row r="9" spans="1:4">
      <c r="A9" s="141" t="s">
        <v>138</v>
      </c>
      <c r="B9" s="244" t="s">
        <v>281</v>
      </c>
      <c r="C9" s="141"/>
    </row>
    <row r="10" spans="1:4">
      <c r="A10" s="141" t="s">
        <v>274</v>
      </c>
      <c r="B10" s="243" t="s">
        <v>298</v>
      </c>
      <c r="C10" s="141"/>
    </row>
    <row r="11" spans="1:4">
      <c r="A11" s="231" t="s">
        <v>308</v>
      </c>
      <c r="B11" s="245"/>
      <c r="C11" s="141"/>
    </row>
    <row r="12" spans="1:4">
      <c r="A12" s="231" t="s">
        <v>308</v>
      </c>
      <c r="B12" s="246" t="b">
        <v>0</v>
      </c>
      <c r="C12" s="141"/>
    </row>
    <row r="13" spans="1:4">
      <c r="A13" s="141" t="s">
        <v>81</v>
      </c>
      <c r="B13" s="247" t="s">
        <v>299</v>
      </c>
      <c r="C13" s="141"/>
      <c r="D13" s="36" t="s">
        <v>153</v>
      </c>
    </row>
    <row r="14" spans="1:4">
      <c r="A14" s="141" t="s">
        <v>82</v>
      </c>
      <c r="B14" s="248" t="s">
        <v>299</v>
      </c>
      <c r="C14" s="141"/>
      <c r="D14" s="36" t="s">
        <v>153</v>
      </c>
    </row>
    <row r="15" spans="1:4">
      <c r="A15" s="255" t="s">
        <v>272</v>
      </c>
      <c r="B15" s="256"/>
      <c r="C15" s="257"/>
    </row>
    <row r="16" spans="1:4">
      <c r="A16" s="179"/>
      <c r="B16" s="180"/>
      <c r="C16" s="181"/>
    </row>
    <row r="17" spans="1:3">
      <c r="A17" s="232" t="s">
        <v>155</v>
      </c>
      <c r="B17" s="167">
        <v>90803270</v>
      </c>
      <c r="C17" s="141"/>
    </row>
    <row r="18" spans="1:3">
      <c r="A18" s="141" t="s">
        <v>156</v>
      </c>
      <c r="B18" s="167" t="s">
        <v>243</v>
      </c>
      <c r="C18" s="141"/>
    </row>
    <row r="19" spans="1:3">
      <c r="A19" s="141" t="s">
        <v>158</v>
      </c>
      <c r="B19" s="140" t="str">
        <f>VLOOKUP('FORM '!B18,Database!N3:P7,2,FALSE)</f>
        <v>Kern Germany</v>
      </c>
      <c r="C19" s="141"/>
    </row>
    <row r="20" spans="1:3">
      <c r="A20" s="141" t="s">
        <v>273</v>
      </c>
      <c r="B20" s="182" t="str">
        <f>VLOOKUP(B18,Database!N3:P7,3,FALSE)</f>
        <v>G982106</v>
      </c>
      <c r="C20" s="141"/>
    </row>
  </sheetData>
  <mergeCells count="1">
    <mergeCell ref="A15:C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9" r:id="rId4" name="Check Box 5">
              <controlPr defaultSize="0" autoFill="0" autoLine="0" autoPict="0" macro="[0]!Ceklis_Cetak_13_Sheet">
                <anchor moveWithCells="1">
                  <from>
                    <xdr:col>1</xdr:col>
                    <xdr:colOff>815340</xdr:colOff>
                    <xdr:row>10</xdr:row>
                    <xdr:rowOff>160020</xdr:rowOff>
                  </from>
                  <to>
                    <xdr:col>1</xdr:col>
                    <xdr:colOff>1554480</xdr:colOff>
                    <xdr:row>12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2FF1D4-2DE7-4258-B51F-3E024C3557F2}">
          <x14:formula1>
            <xm:f>Database!$G$4:$G$6</xm:f>
          </x14:formula1>
          <xm:sqref>B17</xm:sqref>
        </x14:dataValidation>
        <x14:dataValidation type="list" allowBlank="1" showInputMessage="1" showErrorMessage="1" xr:uid="{B50528AF-4921-4027-BF51-277DA968C4F6}">
          <x14:formula1>
            <xm:f>Database!$C$4:$C$7</xm:f>
          </x14:formula1>
          <xm:sqref>B18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5CF0E-48BE-4286-8E1E-FEA277D8864E}">
  <sheetPr codeName="Sheet9"/>
  <dimension ref="I3:K6"/>
  <sheetViews>
    <sheetView workbookViewId="0">
      <selection activeCell="H6" sqref="H6"/>
    </sheetView>
  </sheetViews>
  <sheetFormatPr defaultRowHeight="14.4"/>
  <cols>
    <col min="5" max="5" width="16.44140625" customWidth="1"/>
    <col min="9" max="9" width="20.21875" bestFit="1" customWidth="1"/>
    <col min="10" max="10" width="9.6640625" bestFit="1" customWidth="1"/>
    <col min="11" max="11" width="9" bestFit="1" customWidth="1"/>
  </cols>
  <sheetData>
    <row r="3" spans="9:11">
      <c r="I3" s="240" t="s">
        <v>291</v>
      </c>
      <c r="J3" s="241">
        <v>90803270</v>
      </c>
      <c r="K3" s="241">
        <v>1.0000000000000001E-5</v>
      </c>
    </row>
    <row r="4" spans="9:11">
      <c r="I4" s="230" t="s">
        <v>292</v>
      </c>
      <c r="J4" s="230">
        <v>90602105</v>
      </c>
      <c r="K4" s="230">
        <v>1E-3</v>
      </c>
    </row>
    <row r="5" spans="9:11">
      <c r="I5" s="30" t="s">
        <v>293</v>
      </c>
      <c r="J5" s="141">
        <v>14904962</v>
      </c>
      <c r="K5" s="30">
        <v>0.01</v>
      </c>
    </row>
    <row r="6" spans="9:11">
      <c r="I6" s="186" t="s">
        <v>291</v>
      </c>
      <c r="J6" s="30">
        <v>90803270</v>
      </c>
      <c r="K6" s="30">
        <v>5.0000000000000002E-5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Check Box 1">
              <controlPr defaultSize="0" autoFill="0" autoLine="0" autoPict="0" macro="[0]!Ujitest">
                <anchor moveWithCells="1">
                  <from>
                    <xdr:col>4</xdr:col>
                    <xdr:colOff>30480</xdr:colOff>
                    <xdr:row>1</xdr:row>
                    <xdr:rowOff>167640</xdr:rowOff>
                  </from>
                  <to>
                    <xdr:col>4</xdr:col>
                    <xdr:colOff>769620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Check Box 2">
              <controlPr defaultSize="0" autoFill="0" autoLine="0" autoPict="0">
                <anchor moveWithCells="1">
                  <from>
                    <xdr:col>4</xdr:col>
                    <xdr:colOff>30480</xdr:colOff>
                    <xdr:row>2</xdr:row>
                    <xdr:rowOff>167640</xdr:rowOff>
                  </from>
                  <to>
                    <xdr:col>4</xdr:col>
                    <xdr:colOff>769620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Check Box 3">
              <controlPr defaultSize="0" autoFill="0" autoLine="0" autoPict="0">
                <anchor moveWithCells="1">
                  <from>
                    <xdr:col>4</xdr:col>
                    <xdr:colOff>30480</xdr:colOff>
                    <xdr:row>2</xdr:row>
                    <xdr:rowOff>167640</xdr:rowOff>
                  </from>
                  <to>
                    <xdr:col>4</xdr:col>
                    <xdr:colOff>769620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Check Box 4">
              <controlPr defaultSize="0" autoFill="0" autoLine="0" autoPict="0">
                <anchor moveWithCells="1">
                  <from>
                    <xdr:col>4</xdr:col>
                    <xdr:colOff>30480</xdr:colOff>
                    <xdr:row>3</xdr:row>
                    <xdr:rowOff>167640</xdr:rowOff>
                  </from>
                  <to>
                    <xdr:col>4</xdr:col>
                    <xdr:colOff>769620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7" name="Check Box 5">
              <controlPr defaultSize="0" autoFill="0" autoLine="0" autoPict="0">
                <anchor moveWithCells="1">
                  <from>
                    <xdr:col>4</xdr:col>
                    <xdr:colOff>30480</xdr:colOff>
                    <xdr:row>4</xdr:row>
                    <xdr:rowOff>167640</xdr:rowOff>
                  </from>
                  <to>
                    <xdr:col>4</xdr:col>
                    <xdr:colOff>769620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406F3-2085-4008-A0F8-B8726DCF5327}">
  <sheetPr codeName="Sheet4">
    <tabColor rgb="FF00B050"/>
  </sheetPr>
  <dimension ref="A1:S79"/>
  <sheetViews>
    <sheetView zoomScale="70" zoomScaleNormal="70" workbookViewId="0">
      <selection activeCell="P57" sqref="P57"/>
    </sheetView>
  </sheetViews>
  <sheetFormatPr defaultColWidth="9.109375" defaultRowHeight="14.4"/>
  <cols>
    <col min="2" max="2" width="20.88671875" customWidth="1"/>
    <col min="3" max="3" width="15.6640625" bestFit="1" customWidth="1"/>
    <col min="4" max="4" width="13.6640625" customWidth="1"/>
    <col min="5" max="5" width="11.44140625" customWidth="1"/>
    <col min="6" max="6" width="12" customWidth="1"/>
    <col min="7" max="7" width="11.5546875" customWidth="1"/>
    <col min="9" max="9" width="9.21875" customWidth="1"/>
    <col min="10" max="10" width="12.109375" customWidth="1"/>
    <col min="11" max="11" width="14.109375" customWidth="1"/>
    <col min="13" max="13" width="9.21875" customWidth="1"/>
    <col min="14" max="14" width="12.21875" customWidth="1"/>
    <col min="15" max="15" width="12.109375" customWidth="1"/>
    <col min="18" max="18" width="9.21875" customWidth="1"/>
  </cols>
  <sheetData>
    <row r="1" spans="2:9">
      <c r="B1" s="28" t="s">
        <v>120</v>
      </c>
      <c r="C1" s="147"/>
    </row>
    <row r="2" spans="2:9">
      <c r="B2" s="146" t="s">
        <v>139</v>
      </c>
      <c r="C2" s="32">
        <v>20.399999999999999</v>
      </c>
      <c r="D2" s="30" t="s">
        <v>140</v>
      </c>
      <c r="E2" s="177" t="s">
        <v>286</v>
      </c>
    </row>
    <row r="3" spans="2:9">
      <c r="B3" s="146" t="s">
        <v>141</v>
      </c>
      <c r="C3" s="32">
        <v>20.9</v>
      </c>
      <c r="D3" s="30" t="s">
        <v>140</v>
      </c>
    </row>
    <row r="4" spans="2:9">
      <c r="B4" s="30" t="s">
        <v>142</v>
      </c>
      <c r="C4" s="31">
        <f>AVERAGE(C2,C3)</f>
        <v>20.65</v>
      </c>
      <c r="D4" s="30" t="s">
        <v>140</v>
      </c>
    </row>
    <row r="5" spans="2:9">
      <c r="B5" s="146" t="s">
        <v>143</v>
      </c>
      <c r="C5" s="32">
        <v>64.3</v>
      </c>
      <c r="D5" s="30" t="s">
        <v>144</v>
      </c>
    </row>
    <row r="6" spans="2:9">
      <c r="B6" s="146" t="s">
        <v>145</v>
      </c>
      <c r="C6" s="32">
        <v>62.8</v>
      </c>
      <c r="D6" s="30" t="s">
        <v>144</v>
      </c>
    </row>
    <row r="7" spans="2:9">
      <c r="B7" s="30" t="s">
        <v>146</v>
      </c>
      <c r="C7" s="31">
        <f>AVERAGE(C5,C6)</f>
        <v>63.55</v>
      </c>
      <c r="D7" s="30" t="s">
        <v>144</v>
      </c>
    </row>
    <row r="8" spans="2:9">
      <c r="B8" s="146" t="s">
        <v>147</v>
      </c>
      <c r="C8" s="32">
        <v>924</v>
      </c>
      <c r="D8" s="33" t="s">
        <v>148</v>
      </c>
      <c r="E8" s="34">
        <f>C8*H8</f>
        <v>693.05913599999997</v>
      </c>
      <c r="F8" t="s">
        <v>149</v>
      </c>
      <c r="G8" t="s">
        <v>150</v>
      </c>
      <c r="H8" s="35">
        <v>0.75006399999999995</v>
      </c>
      <c r="I8" t="s">
        <v>149</v>
      </c>
    </row>
    <row r="9" spans="2:9">
      <c r="B9" s="146" t="s">
        <v>151</v>
      </c>
      <c r="C9" s="32">
        <v>923</v>
      </c>
      <c r="D9" s="33" t="s">
        <v>148</v>
      </c>
      <c r="E9" s="34">
        <f>C9*H9</f>
        <v>692.3090719999999</v>
      </c>
      <c r="F9" t="s">
        <v>149</v>
      </c>
      <c r="G9" t="s">
        <v>150</v>
      </c>
      <c r="H9" s="35">
        <v>0.75006399999999995</v>
      </c>
      <c r="I9" t="s">
        <v>149</v>
      </c>
    </row>
    <row r="10" spans="2:9">
      <c r="B10" s="30" t="s">
        <v>152</v>
      </c>
      <c r="C10" s="31">
        <f>AVERAGE(C8:C9)</f>
        <v>923.5</v>
      </c>
      <c r="D10" s="33" t="s">
        <v>148</v>
      </c>
      <c r="E10" s="34">
        <f>C10*H10</f>
        <v>692.68410399999993</v>
      </c>
      <c r="F10" t="s">
        <v>149</v>
      </c>
      <c r="G10" t="s">
        <v>150</v>
      </c>
      <c r="H10" s="35">
        <v>0.75006399999999995</v>
      </c>
      <c r="I10" t="s">
        <v>149</v>
      </c>
    </row>
    <row r="11" spans="2:9">
      <c r="B11" s="142" t="s">
        <v>287</v>
      </c>
      <c r="C11" s="143">
        <v>5000</v>
      </c>
      <c r="D11" s="30" t="s">
        <v>154</v>
      </c>
      <c r="E11" s="177" t="s">
        <v>285</v>
      </c>
    </row>
    <row r="12" spans="2:9">
      <c r="B12" s="142" t="s">
        <v>155</v>
      </c>
      <c r="C12" s="143">
        <v>90602105</v>
      </c>
      <c r="D12" s="30"/>
    </row>
    <row r="13" spans="2:9">
      <c r="B13" s="142" t="s">
        <v>288</v>
      </c>
      <c r="C13" s="143">
        <v>0.01</v>
      </c>
      <c r="D13" s="30" t="s">
        <v>154</v>
      </c>
    </row>
    <row r="14" spans="2:9">
      <c r="B14" s="142" t="s">
        <v>156</v>
      </c>
      <c r="C14" s="144" t="s">
        <v>262</v>
      </c>
      <c r="D14" s="30"/>
      <c r="E14" t="s">
        <v>157</v>
      </c>
    </row>
    <row r="15" spans="2:9">
      <c r="B15" s="30" t="s">
        <v>158</v>
      </c>
      <c r="C15" s="140" t="str">
        <f>VLOOKUP(C14,Database!N3:P7,2,FALSE)</f>
        <v>YCS</v>
      </c>
      <c r="D15" s="141"/>
      <c r="E15" s="177" t="s">
        <v>283</v>
      </c>
    </row>
    <row r="16" spans="2:9">
      <c r="B16" s="30" t="s">
        <v>138</v>
      </c>
      <c r="C16" s="164" t="str">
        <f>VLOOKUP(C14,Database!N3:P7,3,FALSE)</f>
        <v>YCS-01-653-00</v>
      </c>
      <c r="D16" s="141"/>
      <c r="E16" s="177" t="s">
        <v>283</v>
      </c>
    </row>
    <row r="17" spans="1:7">
      <c r="B17" s="30" t="s">
        <v>159</v>
      </c>
      <c r="C17" s="145">
        <f>IFERROR(IF(C14=Database!S1,VLOOKUP(C11,Database!S2:U20,2,FALSE),IF(C14=Database!W1,VLOOKUP(C11,Database!W2:Y20,2,FALSE),IF(C14=Database!AA1,VLOOKUP(C11,Database!AA2:AC31,2,FALSE),IF(C14=Database!AE1,VLOOKUP(C11,Database!AE2:AG28,2,FALSE),0)))),"No range/Error")</f>
        <v>5000.0162799999998</v>
      </c>
      <c r="D17" s="30" t="s">
        <v>154</v>
      </c>
      <c r="E17" s="177" t="s">
        <v>284</v>
      </c>
    </row>
    <row r="18" spans="1:7">
      <c r="B18" s="30" t="s">
        <v>160</v>
      </c>
      <c r="C18" s="140">
        <f>IFERROR(IF(C14=Database!S1,VLOOKUP(C11,Database!S2:U20,3,FALSE),IF(C14=Database!W1,VLOOKUP(C11,Database!W2:Y20,3,FALSE),IF(C14=Database!AA1,VLOOKUP(C11,Database!AA2:AC31,3,FALSE),IF(C14=Database!AE1,VLOOKUP(C11,Database!AE2:AG28,3,FALSE),0)))),"No Range/error")</f>
        <v>2.6</v>
      </c>
      <c r="D18" s="30" t="s">
        <v>161</v>
      </c>
      <c r="E18" s="177" t="s">
        <v>284</v>
      </c>
    </row>
    <row r="20" spans="1:7">
      <c r="A20" s="37"/>
      <c r="B20" s="38" t="s">
        <v>162</v>
      </c>
      <c r="C20" s="39" t="s">
        <v>163</v>
      </c>
      <c r="D20" s="39" t="s">
        <v>164</v>
      </c>
      <c r="E20" s="39" t="s">
        <v>165</v>
      </c>
      <c r="F20" s="39" t="s">
        <v>166</v>
      </c>
      <c r="G20" s="40" t="s">
        <v>167</v>
      </c>
    </row>
    <row r="21" spans="1:7">
      <c r="A21" s="41"/>
      <c r="B21" s="42" t="s">
        <v>90</v>
      </c>
      <c r="C21" s="43" t="s">
        <v>90</v>
      </c>
      <c r="D21" s="43" t="s">
        <v>90</v>
      </c>
      <c r="E21" s="43" t="s">
        <v>90</v>
      </c>
      <c r="F21" s="43" t="s">
        <v>90</v>
      </c>
      <c r="G21" s="44" t="s">
        <v>154</v>
      </c>
    </row>
    <row r="22" spans="1:7">
      <c r="A22" s="37" t="s">
        <v>168</v>
      </c>
      <c r="B22" s="194">
        <v>5000.05</v>
      </c>
      <c r="C22" s="170"/>
      <c r="D22" s="170"/>
      <c r="E22" s="170"/>
      <c r="F22" s="170"/>
      <c r="G22" s="45"/>
    </row>
    <row r="23" spans="1:7">
      <c r="A23" s="33" t="s">
        <v>169</v>
      </c>
      <c r="B23" s="169">
        <v>4999.01</v>
      </c>
      <c r="C23" s="168"/>
      <c r="D23" s="168"/>
      <c r="E23" s="168"/>
      <c r="F23" s="168"/>
      <c r="G23" s="129">
        <f>B23-B22</f>
        <v>-1.0399999999999636</v>
      </c>
    </row>
    <row r="24" spans="1:7">
      <c r="A24" s="33" t="s">
        <v>170</v>
      </c>
      <c r="B24" s="169">
        <v>4999.0200000000004</v>
      </c>
      <c r="C24" s="168"/>
      <c r="D24" s="168"/>
      <c r="E24" s="168"/>
      <c r="F24" s="168"/>
      <c r="G24" s="129"/>
    </row>
    <row r="25" spans="1:7">
      <c r="A25" s="33" t="s">
        <v>171</v>
      </c>
      <c r="B25" s="169">
        <v>5000.0600000000004</v>
      </c>
      <c r="C25" s="168"/>
      <c r="D25" s="168"/>
      <c r="E25" s="168"/>
      <c r="F25" s="168"/>
      <c r="G25" s="129">
        <f>B24-B25</f>
        <v>-1.0399999999999636</v>
      </c>
    </row>
    <row r="26" spans="1:7">
      <c r="A26" s="33" t="s">
        <v>172</v>
      </c>
      <c r="B26" s="171"/>
      <c r="C26" s="195">
        <v>5000.01</v>
      </c>
      <c r="D26" s="168"/>
      <c r="E26" s="168"/>
      <c r="F26" s="168"/>
      <c r="G26" s="129"/>
    </row>
    <row r="27" spans="1:7">
      <c r="A27" s="33" t="s">
        <v>173</v>
      </c>
      <c r="B27" s="171"/>
      <c r="C27" s="196">
        <v>4998.97</v>
      </c>
      <c r="D27" s="168"/>
      <c r="E27" s="168"/>
      <c r="F27" s="168"/>
      <c r="G27" s="129">
        <f>C27-C26</f>
        <v>-1.0399999999999636</v>
      </c>
    </row>
    <row r="28" spans="1:7">
      <c r="A28" s="33" t="s">
        <v>174</v>
      </c>
      <c r="B28" s="171"/>
      <c r="C28" s="174">
        <v>4998.97</v>
      </c>
      <c r="D28" s="168"/>
      <c r="E28" s="168"/>
      <c r="F28" s="168"/>
      <c r="G28" s="129"/>
    </row>
    <row r="29" spans="1:7">
      <c r="A29" s="33" t="s">
        <v>175</v>
      </c>
      <c r="B29" s="171"/>
      <c r="C29" s="174">
        <v>5000.01</v>
      </c>
      <c r="D29" s="168"/>
      <c r="E29" s="168"/>
      <c r="F29" s="168"/>
      <c r="G29" s="129">
        <f>C28-C29</f>
        <v>-1.0399999999999636</v>
      </c>
    </row>
    <row r="30" spans="1:7">
      <c r="A30" s="33" t="s">
        <v>176</v>
      </c>
      <c r="B30" s="171"/>
      <c r="C30" s="168"/>
      <c r="D30" s="174">
        <v>5000.07</v>
      </c>
      <c r="E30" s="168"/>
      <c r="F30" s="168"/>
      <c r="G30" s="129"/>
    </row>
    <row r="31" spans="1:7">
      <c r="A31" s="33" t="s">
        <v>177</v>
      </c>
      <c r="B31" s="171"/>
      <c r="C31" s="168"/>
      <c r="D31" s="174">
        <v>4999.0200000000004</v>
      </c>
      <c r="E31" s="168"/>
      <c r="F31" s="168"/>
      <c r="G31" s="129">
        <f>D31-D30</f>
        <v>-1.0499999999992724</v>
      </c>
    </row>
    <row r="32" spans="1:7">
      <c r="A32" s="33" t="s">
        <v>178</v>
      </c>
      <c r="B32" s="171"/>
      <c r="C32" s="168"/>
      <c r="D32" s="196">
        <v>4998.99</v>
      </c>
      <c r="E32" s="168"/>
      <c r="F32" s="168"/>
      <c r="G32" s="129"/>
    </row>
    <row r="33" spans="1:19">
      <c r="A33" s="33" t="s">
        <v>179</v>
      </c>
      <c r="B33" s="171"/>
      <c r="C33" s="168"/>
      <c r="D33" s="196">
        <v>5000.05</v>
      </c>
      <c r="E33" s="168"/>
      <c r="F33" s="168"/>
      <c r="G33" s="129">
        <f>D32-D33</f>
        <v>-1.0600000000004002</v>
      </c>
    </row>
    <row r="34" spans="1:19">
      <c r="A34" s="33" t="s">
        <v>180</v>
      </c>
      <c r="B34" s="171"/>
      <c r="C34" s="168"/>
      <c r="D34" s="168"/>
      <c r="E34" s="174">
        <v>5000.0600000000004</v>
      </c>
      <c r="F34" s="168"/>
      <c r="G34" s="129"/>
    </row>
    <row r="35" spans="1:19">
      <c r="A35" s="33" t="s">
        <v>181</v>
      </c>
      <c r="B35" s="171"/>
      <c r="C35" s="168"/>
      <c r="D35" s="168"/>
      <c r="E35" s="174">
        <v>4999.01</v>
      </c>
      <c r="F35" s="168"/>
      <c r="G35" s="129">
        <f>E35-E34</f>
        <v>-1.0500000000001819</v>
      </c>
    </row>
    <row r="36" spans="1:19">
      <c r="A36" s="33" t="s">
        <v>182</v>
      </c>
      <c r="B36" s="171"/>
      <c r="C36" s="168"/>
      <c r="D36" s="168"/>
      <c r="E36" s="174">
        <v>4999</v>
      </c>
      <c r="F36" s="168"/>
      <c r="G36" s="129"/>
    </row>
    <row r="37" spans="1:19">
      <c r="A37" s="33" t="s">
        <v>183</v>
      </c>
      <c r="B37" s="171"/>
      <c r="C37" s="168"/>
      <c r="D37" s="168"/>
      <c r="E37" s="174">
        <v>5000.05</v>
      </c>
      <c r="F37" s="168"/>
      <c r="G37" s="129">
        <f>E36-E37</f>
        <v>-1.0500000000001819</v>
      </c>
    </row>
    <row r="38" spans="1:19">
      <c r="A38" s="33" t="s">
        <v>184</v>
      </c>
      <c r="B38" s="171"/>
      <c r="C38" s="168"/>
      <c r="D38" s="168"/>
      <c r="E38" s="168"/>
      <c r="F38" s="174">
        <v>5000.0600000000004</v>
      </c>
      <c r="G38" s="129"/>
    </row>
    <row r="39" spans="1:19">
      <c r="A39" s="33" t="s">
        <v>185</v>
      </c>
      <c r="B39" s="171"/>
      <c r="C39" s="168"/>
      <c r="D39" s="168"/>
      <c r="E39" s="168"/>
      <c r="F39" s="174">
        <v>4999</v>
      </c>
      <c r="G39" s="129">
        <f>F39-F38</f>
        <v>-1.0600000000004002</v>
      </c>
    </row>
    <row r="40" spans="1:19">
      <c r="A40" s="33" t="s">
        <v>186</v>
      </c>
      <c r="B40" s="171"/>
      <c r="C40" s="168"/>
      <c r="D40" s="168"/>
      <c r="E40" s="168"/>
      <c r="F40" s="174">
        <v>4998.99</v>
      </c>
      <c r="G40" s="129"/>
    </row>
    <row r="41" spans="1:19">
      <c r="A41" s="41" t="s">
        <v>187</v>
      </c>
      <c r="B41" s="172"/>
      <c r="C41" s="173"/>
      <c r="D41" s="173"/>
      <c r="E41" s="173"/>
      <c r="F41" s="175">
        <v>5000.03</v>
      </c>
      <c r="G41" s="130">
        <f>F40-F41</f>
        <v>-1.0399999999999636</v>
      </c>
    </row>
    <row r="42" spans="1:19">
      <c r="F42" s="30"/>
      <c r="G42" s="30"/>
    </row>
    <row r="43" spans="1:19">
      <c r="F43" s="30" t="s">
        <v>188</v>
      </c>
      <c r="G43" s="30">
        <f>AVERAGE(G22:G41)</f>
        <v>-1.0470000000000255</v>
      </c>
      <c r="H43" t="s">
        <v>154</v>
      </c>
    </row>
    <row r="44" spans="1:19">
      <c r="F44" s="30"/>
      <c r="G44" s="30"/>
    </row>
    <row r="45" spans="1:19">
      <c r="F45" s="30" t="s">
        <v>189</v>
      </c>
      <c r="G45" s="131">
        <f>STDEVP(G22:G41)</f>
        <v>7.8102496760422005E-3</v>
      </c>
      <c r="H45" t="s">
        <v>154</v>
      </c>
      <c r="K45" s="79"/>
      <c r="R45" s="79"/>
      <c r="S45" s="79"/>
    </row>
    <row r="46" spans="1:19">
      <c r="F46" s="30"/>
      <c r="G46" s="30"/>
      <c r="M46" s="79"/>
    </row>
    <row r="47" spans="1:19">
      <c r="F47" s="30" t="s">
        <v>190</v>
      </c>
      <c r="G47" s="30">
        <f>(0.82*C13)/2</f>
        <v>4.0999999999999995E-3</v>
      </c>
      <c r="H47" t="s">
        <v>154</v>
      </c>
      <c r="I47" s="80"/>
    </row>
    <row r="48" spans="1:19">
      <c r="F48" s="30"/>
      <c r="G48" s="30"/>
    </row>
    <row r="49" spans="2:12">
      <c r="F49" s="30" t="s">
        <v>191</v>
      </c>
      <c r="G49" s="49">
        <f>C17+G43</f>
        <v>4998.9692799999993</v>
      </c>
      <c r="H49" t="s">
        <v>154</v>
      </c>
    </row>
    <row r="50" spans="2:12">
      <c r="G50" s="46">
        <f>G49</f>
        <v>4998.9692799999993</v>
      </c>
    </row>
    <row r="51" spans="2:12">
      <c r="F51" t="s">
        <v>192</v>
      </c>
      <c r="G51">
        <f>IF(G45&gt;G47,G45,G47)</f>
        <v>7.8102496760422005E-3</v>
      </c>
    </row>
    <row r="53" spans="2:12">
      <c r="B53" s="50" t="s">
        <v>193</v>
      </c>
      <c r="C53" s="50"/>
      <c r="D53" s="50"/>
      <c r="E53" s="50"/>
      <c r="F53" s="50"/>
      <c r="G53" s="51"/>
      <c r="H53" s="51"/>
      <c r="I53" s="51"/>
      <c r="J53" s="51"/>
      <c r="K53" s="51"/>
      <c r="L53" s="51"/>
    </row>
    <row r="54" spans="2:12">
      <c r="B54" s="52" t="s">
        <v>194</v>
      </c>
      <c r="C54" s="52" t="s">
        <v>195</v>
      </c>
      <c r="D54" s="53"/>
      <c r="E54" s="54"/>
      <c r="F54" s="53"/>
      <c r="G54" s="51"/>
      <c r="H54" s="51"/>
      <c r="I54" s="51"/>
      <c r="J54" s="51"/>
      <c r="K54" s="51"/>
      <c r="L54" s="51"/>
    </row>
    <row r="55" spans="2:12">
      <c r="B55" s="51" t="s">
        <v>196</v>
      </c>
      <c r="C55" s="51" t="str">
        <f>CONCATENATE("Anak Timbangan ",'FORM '!B8)</f>
        <v>Anak Timbangan F1</v>
      </c>
      <c r="D55" s="51"/>
      <c r="E55" s="55"/>
      <c r="F55" s="51"/>
      <c r="G55" s="51"/>
      <c r="H55" s="51"/>
      <c r="I55" s="51"/>
      <c r="J55" s="51"/>
      <c r="K55" s="81"/>
      <c r="L55" s="82"/>
    </row>
    <row r="56" spans="2:12">
      <c r="B56" s="51" t="s">
        <v>197</v>
      </c>
      <c r="C56" s="51" t="str">
        <f>CONCATENATE("Anak Timbangan ",C14)</f>
        <v xml:space="preserve">Anak Timbangan F1 </v>
      </c>
      <c r="D56" s="51"/>
      <c r="E56" s="55"/>
      <c r="F56" s="51"/>
      <c r="G56" s="51"/>
      <c r="H56" s="51"/>
      <c r="I56" s="51"/>
      <c r="J56" s="51"/>
      <c r="K56" s="81"/>
      <c r="L56" s="82"/>
    </row>
    <row r="57" spans="2:12" ht="16.2">
      <c r="B57" s="51" t="s">
        <v>198</v>
      </c>
      <c r="C57" s="51" cm="1">
        <f t="array" ref="C57">IF(ISNUMBER(C11),C11,_xlfn.TEXTJOIN("",TRUE,IFERROR(MID(C11,_xlfn.SEQUENCE(LEN(C11)),1)*1,""))*1)</f>
        <v>5000</v>
      </c>
      <c r="D57" s="52" t="s">
        <v>154</v>
      </c>
      <c r="E57" s="137"/>
      <c r="F57" s="136" t="str">
        <f>CONCATENATE("MPE ",C57," g")</f>
        <v>MPE 5000 g</v>
      </c>
      <c r="G57" s="51">
        <f>IFERROR(VLOOKUP(CONCATENATE(IF(ISNUMBER(C11),C11,LEFT(C11,LEN(C11)-1))," g"),Database!AI2:AP26,IF(LEFT(C14,2)="E2",3,IF(LEFT(C14,2)="F1",4,IF(LEFT(C14,2)="M1",6))),FALSE),0)</f>
        <v>25</v>
      </c>
      <c r="H57" s="51" t="s">
        <v>161</v>
      </c>
      <c r="I57" s="51"/>
      <c r="J57" s="51"/>
      <c r="K57" s="51"/>
      <c r="L57" s="51"/>
    </row>
    <row r="58" spans="2:12">
      <c r="B58" s="51" t="s">
        <v>199</v>
      </c>
      <c r="C58" s="51"/>
      <c r="D58" s="51"/>
      <c r="E58" s="55"/>
      <c r="F58" s="51"/>
      <c r="G58" s="51"/>
      <c r="H58" s="51"/>
      <c r="I58" s="51"/>
      <c r="J58" s="51"/>
      <c r="K58" s="51"/>
      <c r="L58" s="51"/>
    </row>
    <row r="59" spans="2:12" ht="24" customHeight="1">
      <c r="B59" s="148"/>
      <c r="C59" s="51"/>
      <c r="D59" s="51"/>
      <c r="E59" s="55"/>
      <c r="F59" s="51"/>
      <c r="G59" s="51"/>
      <c r="H59" s="51"/>
      <c r="I59" s="51"/>
      <c r="J59" s="51"/>
      <c r="K59" s="51"/>
      <c r="L59" s="51"/>
    </row>
    <row r="60" spans="2:12" ht="16.2">
      <c r="B60" s="56" t="s">
        <v>200</v>
      </c>
      <c r="C60" s="56" t="s">
        <v>124</v>
      </c>
      <c r="D60" s="56" t="s">
        <v>201</v>
      </c>
      <c r="E60" s="56" t="s">
        <v>202</v>
      </c>
      <c r="F60" s="56" t="s">
        <v>203</v>
      </c>
      <c r="G60" s="56" t="s">
        <v>204</v>
      </c>
      <c r="H60" s="57" t="s">
        <v>205</v>
      </c>
      <c r="I60" s="56" t="s">
        <v>206</v>
      </c>
      <c r="J60" s="57" t="s">
        <v>207</v>
      </c>
      <c r="K60" s="57" t="s">
        <v>208</v>
      </c>
      <c r="L60" s="56" t="s">
        <v>209</v>
      </c>
    </row>
    <row r="61" spans="2:12">
      <c r="B61" s="58">
        <v>1</v>
      </c>
      <c r="C61" s="58">
        <v>2</v>
      </c>
      <c r="D61" s="58">
        <v>3</v>
      </c>
      <c r="E61" s="58">
        <v>4</v>
      </c>
      <c r="F61" s="58">
        <v>5</v>
      </c>
      <c r="G61" s="58">
        <v>6</v>
      </c>
      <c r="H61" s="58">
        <v>7</v>
      </c>
      <c r="I61" s="58">
        <v>8</v>
      </c>
      <c r="J61" s="58">
        <v>9</v>
      </c>
      <c r="K61" s="58">
        <v>10</v>
      </c>
      <c r="L61" s="58">
        <v>11</v>
      </c>
    </row>
    <row r="62" spans="2:12">
      <c r="B62" s="59" t="s">
        <v>210</v>
      </c>
      <c r="C62" s="60" t="s">
        <v>161</v>
      </c>
      <c r="D62" s="60" t="s">
        <v>211</v>
      </c>
      <c r="E62" s="60">
        <f>$C$18</f>
        <v>2.6</v>
      </c>
      <c r="F62" s="60">
        <v>2</v>
      </c>
      <c r="G62" s="60">
        <v>60</v>
      </c>
      <c r="H62" s="60">
        <f>E62/F62</f>
        <v>1.3</v>
      </c>
      <c r="I62" s="60">
        <v>1</v>
      </c>
      <c r="J62" s="60">
        <f>H62*I62</f>
        <v>1.3</v>
      </c>
      <c r="K62" s="60">
        <f>J62^2</f>
        <v>1.6900000000000002</v>
      </c>
      <c r="L62" s="60">
        <f>J62^4/G62</f>
        <v>4.7601666666666674E-2</v>
      </c>
    </row>
    <row r="63" spans="2:12">
      <c r="B63" s="61" t="s">
        <v>212</v>
      </c>
      <c r="C63" s="60" t="s">
        <v>161</v>
      </c>
      <c r="D63" s="62" t="s">
        <v>213</v>
      </c>
      <c r="E63" s="63">
        <f>($G$51*1000)/SQRT(10)</f>
        <v>2.4698178070885572</v>
      </c>
      <c r="F63" s="62">
        <v>1</v>
      </c>
      <c r="G63" s="62">
        <f>IF($G$45&gt;$G$47,9,1000)</f>
        <v>9</v>
      </c>
      <c r="H63" s="62">
        <f>E63/F63</f>
        <v>2.4698178070885572</v>
      </c>
      <c r="I63" s="62">
        <v>1</v>
      </c>
      <c r="J63" s="62">
        <f>H63*I63</f>
        <v>2.4698178070885572</v>
      </c>
      <c r="K63" s="62">
        <f>J63^2</f>
        <v>6.1000000002117298</v>
      </c>
      <c r="L63" s="62">
        <f>J63^4/G63</f>
        <v>4.1344444447314554</v>
      </c>
    </row>
    <row r="64" spans="2:12">
      <c r="B64" s="64" t="s">
        <v>215</v>
      </c>
      <c r="C64" s="60" t="s">
        <v>161</v>
      </c>
      <c r="D64" s="65" t="s">
        <v>211</v>
      </c>
      <c r="E64" s="65">
        <f>0.08*$G$57</f>
        <v>2</v>
      </c>
      <c r="F64" s="65">
        <v>1</v>
      </c>
      <c r="G64" s="65">
        <v>4</v>
      </c>
      <c r="H64" s="65">
        <f>E64/F64</f>
        <v>2</v>
      </c>
      <c r="I64" s="65">
        <v>1</v>
      </c>
      <c r="J64" s="65">
        <f>H64*I64</f>
        <v>2</v>
      </c>
      <c r="K64" s="65">
        <f>J64^2</f>
        <v>4</v>
      </c>
      <c r="L64" s="65">
        <f>J64^4/G64</f>
        <v>4</v>
      </c>
    </row>
    <row r="65" spans="2:12">
      <c r="B65" s="66" t="s">
        <v>216</v>
      </c>
      <c r="C65" s="60" t="s">
        <v>161</v>
      </c>
      <c r="D65" s="67" t="s">
        <v>213</v>
      </c>
      <c r="E65" s="67">
        <f>4.5*10^-9*8000*0.114*$C$57</f>
        <v>2.0520000000000004E-2</v>
      </c>
      <c r="F65" s="67">
        <v>1</v>
      </c>
      <c r="G65" s="67">
        <v>1000</v>
      </c>
      <c r="H65" s="67">
        <f>E65/F65</f>
        <v>2.0520000000000004E-2</v>
      </c>
      <c r="I65" s="67">
        <v>1</v>
      </c>
      <c r="J65" s="67">
        <f>H65*I65</f>
        <v>2.0520000000000004E-2</v>
      </c>
      <c r="K65" s="67">
        <f>J65^2</f>
        <v>4.2107040000000014E-4</v>
      </c>
      <c r="L65" s="67">
        <f>J65^4/G65</f>
        <v>1.7730028175616012E-10</v>
      </c>
    </row>
    <row r="66" spans="2:12">
      <c r="B66" s="64" t="s">
        <v>214</v>
      </c>
      <c r="C66" s="60" t="s">
        <v>161</v>
      </c>
      <c r="D66" s="65" t="s">
        <v>213</v>
      </c>
      <c r="E66" s="65">
        <f>IF($K$75&gt;=1,0.1/2,IF(AND($K$75&lt;1,$K$75&gt;=0.1),0.01/2,IF(AND($K$75&lt;0.1,$K$75&gt;=0.01),0.001/2,IF(AND($K$75&lt;0.01,$K$75&gt;=0.001),0.0001/2,0))))</f>
        <v>0.05</v>
      </c>
      <c r="F66" s="65">
        <f>SQRT(3)</f>
        <v>1.7320508075688772</v>
      </c>
      <c r="G66" s="65">
        <v>1000</v>
      </c>
      <c r="H66" s="65">
        <f>E66/F66</f>
        <v>2.8867513459481291E-2</v>
      </c>
      <c r="I66" s="65">
        <v>1</v>
      </c>
      <c r="J66" s="65">
        <f>H66*I66</f>
        <v>2.8867513459481291E-2</v>
      </c>
      <c r="K66" s="65">
        <f>J66^2</f>
        <v>8.333333333333335E-4</v>
      </c>
      <c r="L66" s="65">
        <f>J66^4/G66</f>
        <v>6.944444444444447E-10</v>
      </c>
    </row>
    <row r="67" spans="2:12">
      <c r="B67" s="77" t="s">
        <v>217</v>
      </c>
      <c r="C67" s="158"/>
      <c r="D67" s="158"/>
      <c r="E67" s="159"/>
      <c r="F67" s="158"/>
      <c r="G67" s="158"/>
      <c r="H67" s="158"/>
      <c r="I67" s="160"/>
      <c r="J67" s="161"/>
      <c r="K67" s="162">
        <f>SUM(K62:K65)</f>
        <v>11.79042107061173</v>
      </c>
      <c r="L67" s="163">
        <f>SUM(L62:L65)</f>
        <v>8.1820461115754224</v>
      </c>
    </row>
    <row r="68" spans="2:12">
      <c r="B68" s="68" t="s">
        <v>217</v>
      </c>
      <c r="C68" s="69"/>
      <c r="D68" s="69"/>
      <c r="E68" s="70"/>
      <c r="F68" s="69"/>
      <c r="G68" s="69"/>
      <c r="H68" s="69"/>
      <c r="I68" s="83"/>
      <c r="J68" s="84"/>
      <c r="K68" s="85">
        <f>SUM(K62:K66)</f>
        <v>11.791254403945063</v>
      </c>
      <c r="L68" s="60">
        <f>SUM(L62:L66)</f>
        <v>8.182046112269866</v>
      </c>
    </row>
    <row r="69" spans="2:12">
      <c r="B69" s="151" t="s">
        <v>218</v>
      </c>
      <c r="C69" s="152"/>
      <c r="D69" s="152"/>
      <c r="E69" s="153"/>
      <c r="F69" s="152"/>
      <c r="G69" s="152"/>
      <c r="H69" s="152"/>
      <c r="I69" s="154"/>
      <c r="J69" s="155"/>
      <c r="K69" s="156">
        <f>SQRT(K67)</f>
        <v>3.4337182573140344</v>
      </c>
      <c r="L69" s="157"/>
    </row>
    <row r="70" spans="2:12">
      <c r="B70" s="71" t="s">
        <v>218</v>
      </c>
      <c r="C70" s="72"/>
      <c r="D70" s="72"/>
      <c r="E70" s="73"/>
      <c r="F70" s="72"/>
      <c r="G70" s="72"/>
      <c r="H70" s="72"/>
      <c r="I70" s="86"/>
      <c r="J70" s="87"/>
      <c r="K70" s="88">
        <f>SQRT(K68)</f>
        <v>3.4338396007887528</v>
      </c>
      <c r="L70" s="65"/>
    </row>
    <row r="71" spans="2:12">
      <c r="B71" s="71" t="s">
        <v>219</v>
      </c>
      <c r="C71" s="72"/>
      <c r="D71" s="72"/>
      <c r="E71" s="73"/>
      <c r="F71" s="72"/>
      <c r="G71" s="72"/>
      <c r="H71" s="72"/>
      <c r="I71" s="86"/>
      <c r="J71" s="87"/>
      <c r="K71" s="88">
        <f>(K69^4)/L67</f>
        <v>16.990130234741294</v>
      </c>
      <c r="L71" s="65"/>
    </row>
    <row r="72" spans="2:12">
      <c r="B72" s="71" t="s">
        <v>219</v>
      </c>
      <c r="C72" s="72"/>
      <c r="D72" s="72"/>
      <c r="E72" s="73"/>
      <c r="F72" s="72"/>
      <c r="G72" s="72"/>
      <c r="H72" s="72"/>
      <c r="I72" s="86"/>
      <c r="J72" s="87"/>
      <c r="K72" s="88">
        <f>(K70^4)/L68</f>
        <v>16.992532003707201</v>
      </c>
      <c r="L72" s="65"/>
    </row>
    <row r="73" spans="2:12">
      <c r="B73" s="71" t="s">
        <v>220</v>
      </c>
      <c r="C73" s="72"/>
      <c r="D73" s="72"/>
      <c r="E73" s="73"/>
      <c r="F73" s="72"/>
      <c r="G73" s="72"/>
      <c r="H73" s="72"/>
      <c r="I73" s="86"/>
      <c r="J73" s="87"/>
      <c r="K73" s="89">
        <f>TINV(0.05,K71)</f>
        <v>2.119905299221255</v>
      </c>
      <c r="L73" s="65"/>
    </row>
    <row r="74" spans="2:12" ht="15.6" customHeight="1">
      <c r="B74" s="71" t="s">
        <v>220</v>
      </c>
      <c r="C74" s="72"/>
      <c r="D74" s="72"/>
      <c r="E74" s="73"/>
      <c r="F74" s="72"/>
      <c r="G74" s="72"/>
      <c r="H74" s="72"/>
      <c r="I74" s="86"/>
      <c r="J74" s="87"/>
      <c r="K74" s="89">
        <f>TINV(0.05,K72)</f>
        <v>2.119905299221255</v>
      </c>
      <c r="L74" s="65"/>
    </row>
    <row r="75" spans="2:12">
      <c r="B75" s="71" t="s">
        <v>221</v>
      </c>
      <c r="C75" s="72"/>
      <c r="D75" s="72"/>
      <c r="E75" s="73"/>
      <c r="F75" s="72"/>
      <c r="G75" s="72"/>
      <c r="H75" s="72"/>
      <c r="I75" s="86"/>
      <c r="J75" s="87"/>
      <c r="K75" s="190">
        <f>K73*K69</f>
        <v>7.2791575297127942</v>
      </c>
      <c r="L75" s="65"/>
    </row>
    <row r="76" spans="2:12">
      <c r="B76" s="74" t="s">
        <v>264</v>
      </c>
      <c r="C76" s="75"/>
      <c r="D76" s="75"/>
      <c r="E76" s="76"/>
      <c r="F76" s="75"/>
      <c r="G76" s="75"/>
      <c r="H76" s="75"/>
      <c r="I76" s="90"/>
      <c r="J76" s="91"/>
      <c r="K76" s="189">
        <f>K74*K70</f>
        <v>7.2794147663878759</v>
      </c>
      <c r="L76" s="67"/>
    </row>
    <row r="77" spans="2:12">
      <c r="B77" s="77" t="s">
        <v>222</v>
      </c>
      <c r="C77" s="78"/>
      <c r="D77" s="78"/>
      <c r="E77" s="78"/>
      <c r="F77" s="78"/>
      <c r="G77" s="78"/>
      <c r="H77" s="78"/>
      <c r="I77" s="78"/>
      <c r="J77" s="78"/>
      <c r="K77" s="92">
        <f>VLOOKUP(C57,Database!K3:L26,2,FALSE)</f>
        <v>2.6</v>
      </c>
      <c r="L77" s="93"/>
    </row>
    <row r="79" spans="2:12" ht="22.8">
      <c r="B79" s="148"/>
      <c r="C79" s="51"/>
      <c r="D79" s="51"/>
      <c r="K79" s="80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showInputMessage="1" showErrorMessage="1" errorTitle="Need Input " xr:uid="{E4594074-82DC-4F7B-9F9E-C8E745DA9020}">
          <x14:formula1>
            <xm:f>Database!$A$4:$A$33</xm:f>
          </x14:formula1>
          <xm:sqref>C11</xm:sqref>
        </x14:dataValidation>
        <x14:dataValidation type="list" allowBlank="1" showInputMessage="1" showErrorMessage="1" xr:uid="{CF9BCEB8-A4C9-4479-84BF-A23F1D3569BB}">
          <x14:formula1>
            <xm:f>Database!$H$4:$H$7</xm:f>
          </x14:formula1>
          <xm:sqref>C13</xm:sqref>
        </x14:dataValidation>
        <x14:dataValidation type="list" allowBlank="1" showInputMessage="1" showErrorMessage="1" xr:uid="{D61D07B1-96AE-4562-97EB-C107D14DBE57}">
          <x14:formula1>
            <xm:f>Database!$G$4:$G$6</xm:f>
          </x14:formula1>
          <xm:sqref>C12:C13</xm:sqref>
        </x14:dataValidation>
        <x14:dataValidation type="list" allowBlank="1" showInputMessage="1" showErrorMessage="1" xr:uid="{7A589435-E902-4623-86CA-FC689F8447F0}">
          <x14:formula1>
            <xm:f>Database!$C$4:$C$7</xm:f>
          </x14:formula1>
          <xm:sqref>C14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K10"/>
  <sheetViews>
    <sheetView topLeftCell="A13" workbookViewId="0">
      <selection activeCell="F40" sqref="F40"/>
    </sheetView>
  </sheetViews>
  <sheetFormatPr defaultColWidth="9" defaultRowHeight="14.4"/>
  <cols>
    <col min="1" max="1" width="1.88671875" style="1" customWidth="1"/>
    <col min="2" max="2" width="12.77734375" style="1" customWidth="1"/>
    <col min="3" max="4" width="10.88671875" style="1" customWidth="1"/>
    <col min="5" max="16384" width="9" style="1"/>
  </cols>
  <sheetData>
    <row r="2" spans="2:11">
      <c r="B2" s="2"/>
      <c r="C2" s="3" t="s">
        <v>223</v>
      </c>
      <c r="D2" s="4" t="s">
        <v>144</v>
      </c>
      <c r="F2" s="5" t="s">
        <v>224</v>
      </c>
      <c r="G2" s="6"/>
      <c r="H2" s="6"/>
      <c r="I2" s="6"/>
      <c r="J2" s="12"/>
      <c r="K2" s="12"/>
    </row>
    <row r="3" spans="2:11">
      <c r="B3" s="4" t="s">
        <v>225</v>
      </c>
      <c r="C3" s="4">
        <f>'0,001'!C2</f>
        <v>20.399999999999999</v>
      </c>
      <c r="D3" s="4">
        <f>'0,001'!C5</f>
        <v>64.3</v>
      </c>
      <c r="F3" s="7" t="s">
        <v>226</v>
      </c>
      <c r="G3" s="6"/>
      <c r="H3" s="6"/>
      <c r="I3" s="7" t="s">
        <v>227</v>
      </c>
      <c r="J3" s="6"/>
      <c r="K3" s="12"/>
    </row>
    <row r="4" spans="2:11">
      <c r="B4" s="4" t="s">
        <v>228</v>
      </c>
      <c r="C4" s="4">
        <f>'0,001'!C3</f>
        <v>20.9</v>
      </c>
      <c r="D4" s="4">
        <f>'0,001'!C6</f>
        <v>62.8</v>
      </c>
      <c r="F4" s="8" t="s">
        <v>229</v>
      </c>
      <c r="G4" s="8" t="s">
        <v>230</v>
      </c>
      <c r="H4" s="3" t="s">
        <v>231</v>
      </c>
      <c r="I4" s="8" t="s">
        <v>232</v>
      </c>
      <c r="J4" s="8" t="s">
        <v>230</v>
      </c>
      <c r="K4" s="4" t="s">
        <v>231</v>
      </c>
    </row>
    <row r="5" spans="2:11">
      <c r="B5" s="4" t="s">
        <v>233</v>
      </c>
      <c r="C5" s="9">
        <f>AVERAGE(C3:C4)</f>
        <v>20.65</v>
      </c>
      <c r="D5" s="4">
        <f>AVERAGE(D3:D4)</f>
        <v>63.55</v>
      </c>
      <c r="F5" s="3">
        <v>20</v>
      </c>
      <c r="G5" s="3">
        <v>0.1</v>
      </c>
      <c r="H5" s="3">
        <v>2</v>
      </c>
      <c r="I5" s="3">
        <v>40</v>
      </c>
      <c r="J5" s="3">
        <v>0.2</v>
      </c>
      <c r="K5" s="4">
        <v>2.5</v>
      </c>
    </row>
    <row r="6" spans="2:11">
      <c r="B6" s="3" t="s">
        <v>234</v>
      </c>
      <c r="C6" s="10">
        <f>C5+FORECAST(C5,G5:G9,F5:F9)</f>
        <v>20.683999999999997</v>
      </c>
      <c r="D6" s="9">
        <f>D5+FORECAST(D5,J5:J9,I5:I9)</f>
        <v>63.280299999999997</v>
      </c>
      <c r="F6" s="3">
        <v>25</v>
      </c>
      <c r="G6" s="3">
        <v>-0.2</v>
      </c>
      <c r="H6" s="2">
        <v>2</v>
      </c>
      <c r="I6" s="3">
        <v>50</v>
      </c>
      <c r="J6" s="3">
        <v>-0.3</v>
      </c>
      <c r="K6" s="4">
        <v>2.8</v>
      </c>
    </row>
    <row r="7" spans="2:11">
      <c r="B7" s="4" t="s">
        <v>231</v>
      </c>
      <c r="C7" s="10">
        <v>2</v>
      </c>
      <c r="D7" s="10">
        <f>FORECAST(D6,K5:K9,I5:I9)</f>
        <v>2.6003182000000002</v>
      </c>
      <c r="F7" s="3">
        <v>30</v>
      </c>
      <c r="G7" s="3">
        <v>-0.3</v>
      </c>
      <c r="H7" s="2">
        <v>2</v>
      </c>
      <c r="I7" s="3">
        <v>60</v>
      </c>
      <c r="J7" s="3">
        <v>-0.3</v>
      </c>
      <c r="K7" s="4">
        <v>3.2</v>
      </c>
    </row>
    <row r="8" spans="2:11">
      <c r="B8" s="4" t="s">
        <v>235</v>
      </c>
      <c r="C8" s="10">
        <f>(MAX(C3:C4)-C5+C5-MIN(C3:C4))/2</f>
        <v>0.25</v>
      </c>
      <c r="D8" s="10">
        <f>(MAX(D3:D4)-D5+D5-MIN(D3:D4))/2</f>
        <v>0.75</v>
      </c>
      <c r="F8" s="3">
        <v>35</v>
      </c>
      <c r="G8" s="3">
        <v>-0.6</v>
      </c>
      <c r="H8" s="2">
        <v>2</v>
      </c>
      <c r="I8" s="3">
        <v>70</v>
      </c>
      <c r="J8" s="3">
        <v>-0.1</v>
      </c>
      <c r="K8" s="4">
        <v>2</v>
      </c>
    </row>
    <row r="9" spans="2:11">
      <c r="B9" s="4" t="s">
        <v>236</v>
      </c>
      <c r="C9" s="10">
        <f>C7+C8</f>
        <v>2.25</v>
      </c>
      <c r="D9" s="10">
        <f>D7+D8</f>
        <v>3.3503182000000002</v>
      </c>
      <c r="F9" s="3">
        <v>40</v>
      </c>
      <c r="G9" s="3">
        <v>-0.7</v>
      </c>
      <c r="H9" s="2">
        <v>2</v>
      </c>
      <c r="I9" s="3">
        <v>80</v>
      </c>
      <c r="J9" s="3">
        <v>-0.6</v>
      </c>
      <c r="K9" s="4">
        <v>2.6</v>
      </c>
    </row>
    <row r="10" spans="2:11">
      <c r="B10" s="11" t="s">
        <v>237</v>
      </c>
      <c r="C10" s="4" t="str">
        <f>FIXED(C6,1)&amp;" ± "&amp;FIXED(C8,1)</f>
        <v>20,7 ± 0,3</v>
      </c>
      <c r="D10" s="4" t="str">
        <f>FIXED(D6,1)&amp;" ± "&amp;FIXED(D8,1)</f>
        <v>63,3 ± 0,8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C000"/>
  </sheetPr>
  <dimension ref="A7:K199"/>
  <sheetViews>
    <sheetView view="pageBreakPreview" topLeftCell="A106" zoomScaleNormal="100" zoomScaleSheetLayoutView="100" workbookViewId="0">
      <selection activeCell="C86" sqref="C86"/>
    </sheetView>
  </sheetViews>
  <sheetFormatPr defaultColWidth="9" defaultRowHeight="14.4"/>
  <cols>
    <col min="1" max="1" width="10.33203125" style="1" customWidth="1"/>
    <col min="2" max="2" width="8.44140625" style="1" customWidth="1"/>
    <col min="3" max="3" width="11" style="1" customWidth="1"/>
    <col min="4" max="4" width="9" style="1" customWidth="1"/>
    <col min="5" max="5" width="13" style="1" customWidth="1"/>
    <col min="6" max="6" width="9" style="1"/>
    <col min="7" max="7" width="9.5546875" style="1" customWidth="1"/>
    <col min="8" max="9" width="9" style="1"/>
    <col min="10" max="10" width="8.21875" style="1" customWidth="1"/>
    <col min="11" max="16384" width="9" style="1"/>
  </cols>
  <sheetData>
    <row r="7" spans="1:11" ht="22.8">
      <c r="A7" s="266" t="s">
        <v>43</v>
      </c>
      <c r="B7" s="266"/>
      <c r="C7" s="266"/>
      <c r="D7" s="266"/>
      <c r="E7" s="266"/>
      <c r="F7" s="266"/>
      <c r="G7" s="266"/>
      <c r="H7" s="266"/>
      <c r="I7" s="266"/>
      <c r="J7" s="266"/>
      <c r="K7" s="266"/>
    </row>
    <row r="8" spans="1:11" ht="18">
      <c r="A8" s="267" t="s">
        <v>44</v>
      </c>
      <c r="B8" s="267"/>
      <c r="C8" s="267"/>
      <c r="D8" s="267"/>
      <c r="E8" s="267"/>
      <c r="F8" s="267"/>
      <c r="G8" s="267"/>
      <c r="H8" s="267"/>
      <c r="I8" s="267"/>
      <c r="J8" s="267"/>
      <c r="K8" s="267"/>
    </row>
    <row r="9" spans="1:11">
      <c r="A9" s="268" t="s">
        <v>300</v>
      </c>
      <c r="B9" s="268"/>
      <c r="C9" s="268"/>
      <c r="D9" s="268"/>
      <c r="E9" s="268"/>
      <c r="F9" s="268"/>
      <c r="G9" s="268"/>
      <c r="H9" s="268"/>
      <c r="I9" s="268"/>
      <c r="J9" s="268"/>
      <c r="K9" s="268"/>
    </row>
    <row r="14" spans="1:11">
      <c r="B14" s="96" t="s">
        <v>45</v>
      </c>
      <c r="C14" s="97"/>
      <c r="D14" s="97"/>
    </row>
    <row r="15" spans="1:11">
      <c r="B15" s="98" t="s">
        <v>46</v>
      </c>
    </row>
    <row r="17" spans="2:7">
      <c r="B17" s="94" t="s">
        <v>47</v>
      </c>
      <c r="D17" s="191" t="s">
        <v>305</v>
      </c>
      <c r="E17" s="94" t="s">
        <v>238</v>
      </c>
    </row>
    <row r="18" spans="2:7">
      <c r="B18" s="99" t="s">
        <v>48</v>
      </c>
      <c r="D18" s="94"/>
      <c r="E18" s="94"/>
    </row>
    <row r="19" spans="2:7">
      <c r="B19" s="100" t="s">
        <v>49</v>
      </c>
      <c r="D19" s="191" t="s">
        <v>305</v>
      </c>
      <c r="E19" s="94" t="str">
        <f>CONCATENATE(,'FORM '!B7)</f>
        <v>-</v>
      </c>
    </row>
    <row r="20" spans="2:7">
      <c r="B20" s="101" t="s">
        <v>50</v>
      </c>
      <c r="D20" s="94"/>
      <c r="E20" s="94"/>
    </row>
    <row r="21" spans="2:7">
      <c r="B21" s="100" t="s">
        <v>51</v>
      </c>
      <c r="D21" s="191" t="s">
        <v>305</v>
      </c>
      <c r="E21" s="94" t="str">
        <f>CONCATENATE('FORM '!B8)</f>
        <v>F1</v>
      </c>
    </row>
    <row r="22" spans="2:7">
      <c r="B22" s="101" t="s">
        <v>52</v>
      </c>
      <c r="D22" s="94"/>
      <c r="E22" s="94"/>
    </row>
    <row r="23" spans="2:7">
      <c r="B23" s="94" t="s">
        <v>53</v>
      </c>
      <c r="D23" s="191" t="s">
        <v>305</v>
      </c>
      <c r="E23" s="94" t="str">
        <f>CONCATENATE('FORM '!B12)</f>
        <v>FALSE</v>
      </c>
    </row>
    <row r="24" spans="2:7">
      <c r="B24" s="99" t="s">
        <v>54</v>
      </c>
      <c r="D24" s="94"/>
      <c r="E24" s="94"/>
    </row>
    <row r="25" spans="2:7">
      <c r="B25" s="94" t="s">
        <v>55</v>
      </c>
      <c r="D25" s="191" t="s">
        <v>305</v>
      </c>
      <c r="E25" s="94" t="str">
        <f>CONCATENATE('FORM '!B9)</f>
        <v>YCS-01-653-00</v>
      </c>
    </row>
    <row r="26" spans="2:7">
      <c r="B26" s="99" t="s">
        <v>56</v>
      </c>
      <c r="D26" s="94"/>
      <c r="E26" s="94"/>
    </row>
    <row r="27" spans="2:7">
      <c r="B27" s="94" t="s">
        <v>57</v>
      </c>
      <c r="D27" s="191" t="s">
        <v>305</v>
      </c>
      <c r="E27" s="94" t="s">
        <v>75</v>
      </c>
      <c r="F27" s="191" t="s">
        <v>305</v>
      </c>
      <c r="G27" s="1" t="str">
        <f>CONCATENATE('FORM '!B10)</f>
        <v>0,001-5000 g</v>
      </c>
    </row>
    <row r="28" spans="2:7">
      <c r="B28" s="101" t="s">
        <v>58</v>
      </c>
      <c r="D28" s="94"/>
      <c r="E28" s="94" t="s">
        <v>307</v>
      </c>
      <c r="F28" s="191" t="s">
        <v>305</v>
      </c>
      <c r="G28" s="1" t="s">
        <v>306</v>
      </c>
    </row>
    <row r="30" spans="2:7" ht="14.25" customHeight="1">
      <c r="B30" s="102" t="s">
        <v>59</v>
      </c>
      <c r="C30" s="102"/>
      <c r="D30" s="102"/>
    </row>
    <row r="31" spans="2:7" ht="14.25" customHeight="1">
      <c r="B31" s="103" t="s">
        <v>60</v>
      </c>
      <c r="C31" s="103"/>
      <c r="D31" s="103"/>
    </row>
    <row r="32" spans="2:7">
      <c r="B32" s="104"/>
      <c r="C32" s="104"/>
      <c r="D32" s="104"/>
    </row>
    <row r="33" spans="2:11" ht="15.45" customHeight="1">
      <c r="B33" s="94" t="s">
        <v>61</v>
      </c>
      <c r="D33" s="193" t="s">
        <v>305</v>
      </c>
      <c r="E33" s="192" t="str">
        <f>CONCATENATE('FORM '!B3)</f>
        <v>Internal BBLM</v>
      </c>
      <c r="F33" s="192"/>
      <c r="G33" s="192"/>
      <c r="H33" s="192"/>
      <c r="I33" s="192"/>
      <c r="J33" s="192"/>
      <c r="K33" s="192"/>
    </row>
    <row r="34" spans="2:11" ht="14.25" customHeight="1">
      <c r="B34" s="99" t="s">
        <v>62</v>
      </c>
      <c r="D34" s="192"/>
      <c r="E34" s="192"/>
      <c r="F34" s="192"/>
      <c r="G34" s="192"/>
      <c r="H34" s="192"/>
      <c r="I34" s="192"/>
      <c r="J34" s="192"/>
      <c r="K34" s="192"/>
    </row>
    <row r="35" spans="2:11" ht="15.45" customHeight="1">
      <c r="B35" s="94" t="s">
        <v>63</v>
      </c>
      <c r="D35" s="193" t="s">
        <v>305</v>
      </c>
      <c r="E35" s="265" t="str">
        <f>CONCATENATE('FORM '!B4)</f>
        <v>jjajsdfds jajsdjf jasdjfasdjf jadsfjadsj asdjfajdsf jasdjfajdsf asdfjasd asjdfasd j</v>
      </c>
      <c r="F35" s="265"/>
      <c r="G35" s="265"/>
      <c r="H35" s="265"/>
      <c r="I35" s="265"/>
      <c r="J35" s="265"/>
      <c r="K35" s="134"/>
    </row>
    <row r="36" spans="2:11" ht="14.25" customHeight="1">
      <c r="B36" s="99" t="s">
        <v>64</v>
      </c>
      <c r="D36" s="192"/>
      <c r="E36" s="265"/>
      <c r="F36" s="265"/>
      <c r="G36" s="265"/>
      <c r="H36" s="265"/>
      <c r="I36" s="265"/>
      <c r="J36" s="265"/>
      <c r="K36" s="134"/>
    </row>
    <row r="37" spans="2:11">
      <c r="E37" s="265"/>
      <c r="F37" s="265"/>
      <c r="G37" s="265"/>
      <c r="H37" s="265"/>
      <c r="I37" s="265"/>
      <c r="J37" s="265"/>
    </row>
    <row r="40" spans="2:11">
      <c r="H40" s="95" t="str">
        <f>"Halaman 1 dari 3 halaman"</f>
        <v>Halaman 1 dari 3 halaman</v>
      </c>
    </row>
    <row r="41" spans="2:11">
      <c r="H41" s="110" t="s">
        <v>65</v>
      </c>
    </row>
    <row r="42" spans="2:11">
      <c r="B42"/>
      <c r="H42" s="111"/>
    </row>
    <row r="43" spans="2:11">
      <c r="H43" s="112" t="s">
        <v>302</v>
      </c>
    </row>
    <row r="44" spans="2:11">
      <c r="C44"/>
      <c r="H44" s="110" t="s">
        <v>66</v>
      </c>
    </row>
    <row r="45" spans="2:11">
      <c r="B45"/>
      <c r="C45"/>
      <c r="E45" s="105" t="s">
        <v>294</v>
      </c>
    </row>
    <row r="46" spans="2:11">
      <c r="B46"/>
      <c r="C46"/>
      <c r="E46" s="132" t="s">
        <v>295</v>
      </c>
    </row>
    <row r="47" spans="2:11">
      <c r="E47" s="133" t="s">
        <v>296</v>
      </c>
      <c r="G47" s="108"/>
    </row>
    <row r="48" spans="2:11">
      <c r="G48" s="108"/>
    </row>
    <row r="63" spans="5:6">
      <c r="E63" s="109" t="s">
        <v>67</v>
      </c>
      <c r="F63" s="109" t="str">
        <f>CONCATENATE(": ",MID(A9,18,33))</f>
        <v xml:space="preserve">: </v>
      </c>
    </row>
    <row r="64" spans="5:6">
      <c r="E64" s="109" t="s">
        <v>68</v>
      </c>
      <c r="F64" s="109" t="str">
        <f>CONCATENATE(": ",'FORM '!B2)</f>
        <v xml:space="preserve">: </v>
      </c>
    </row>
    <row r="65" spans="2:9">
      <c r="E65" s="109" t="s">
        <v>69</v>
      </c>
      <c r="F65" s="109" t="s">
        <v>303</v>
      </c>
    </row>
    <row r="66" spans="2:9" ht="7.5" customHeight="1"/>
    <row r="67" spans="2:9">
      <c r="B67" s="269" t="s">
        <v>70</v>
      </c>
      <c r="C67" s="269"/>
      <c r="D67" s="269"/>
      <c r="E67" s="269"/>
      <c r="F67" s="269"/>
    </row>
    <row r="68" spans="2:9">
      <c r="B68" s="94" t="s">
        <v>71</v>
      </c>
      <c r="D68" s="94" t="str">
        <f>D17</f>
        <v>:</v>
      </c>
      <c r="E68" s="94"/>
      <c r="F68" s="94"/>
      <c r="G68" s="94"/>
    </row>
    <row r="69" spans="2:9">
      <c r="B69" s="94" t="s">
        <v>72</v>
      </c>
      <c r="D69" s="94" t="str">
        <f>CONCATENATE(":"," ",'FORM '!B7," ","/"," ",'FORM '!B8)</f>
        <v>: - / F1</v>
      </c>
      <c r="E69" s="94"/>
      <c r="F69" s="94"/>
      <c r="G69" s="94"/>
    </row>
    <row r="70" spans="2:9">
      <c r="B70" s="94" t="s">
        <v>73</v>
      </c>
      <c r="D70" s="94" t="str">
        <f>D23</f>
        <v>:</v>
      </c>
      <c r="E70" s="94"/>
      <c r="F70" s="94"/>
      <c r="G70" s="94"/>
    </row>
    <row r="71" spans="2:9">
      <c r="B71" s="94" t="s">
        <v>74</v>
      </c>
      <c r="D71" s="94" t="str">
        <f>D25</f>
        <v>:</v>
      </c>
      <c r="E71" s="94"/>
      <c r="F71" s="94"/>
      <c r="G71" s="94"/>
    </row>
    <row r="72" spans="2:9">
      <c r="B72" s="94" t="s">
        <v>75</v>
      </c>
      <c r="D72" s="94" t="str">
        <f>F27</f>
        <v>:</v>
      </c>
      <c r="E72" s="94"/>
    </row>
    <row r="73" spans="2:9">
      <c r="B73" s="94" t="s">
        <v>76</v>
      </c>
      <c r="D73" s="94" t="str">
        <f>F28</f>
        <v>:</v>
      </c>
      <c r="E73" s="94"/>
      <c r="G73" s="94" t="s">
        <v>77</v>
      </c>
      <c r="I73" s="106"/>
    </row>
    <row r="74" spans="2:9">
      <c r="B74" s="94" t="s">
        <v>78</v>
      </c>
      <c r="D74" s="94" t="s">
        <v>79</v>
      </c>
      <c r="E74" s="94"/>
      <c r="G74" s="94" t="s">
        <v>80</v>
      </c>
      <c r="I74" s="94" t="str">
        <f>CONCATENATE(":"," ","(",'Koreksi themohygro rotronic 202'!C10,")"," ºC")</f>
        <v>: (20,7 ± 0,3) ºC</v>
      </c>
    </row>
    <row r="75" spans="2:9">
      <c r="B75" s="94" t="s">
        <v>81</v>
      </c>
      <c r="D75" s="94" t="str">
        <f>CONCATENATE(":"," ",'FORM '!B13)</f>
        <v>: 29 Desember 2025</v>
      </c>
      <c r="E75" s="94"/>
      <c r="G75" s="135" t="s">
        <v>239</v>
      </c>
      <c r="I75" s="94" t="str">
        <f>CONCATENATE(":"," ","(",'Koreksi themohygro rotronic 202'!D10,")"," %RH")</f>
        <v>: (63,3 ± 0,8) %RH</v>
      </c>
    </row>
    <row r="76" spans="2:9">
      <c r="B76" s="94" t="s">
        <v>82</v>
      </c>
      <c r="D76" s="94" t="str">
        <f>CONCATENATE(":"," ",'FORM '!B14)</f>
        <v>: 29 Desember 2025</v>
      </c>
      <c r="E76" s="113"/>
      <c r="G76" s="94" t="s">
        <v>83</v>
      </c>
      <c r="I76" s="94" t="str">
        <f>CONCATENATE(":"," ","(",FIXED('0,001'!E10,0)," ","± 1",")"," mmHg")</f>
        <v>: (693 ± 1) mmHg</v>
      </c>
    </row>
    <row r="77" spans="2:9">
      <c r="B77" s="94" t="s">
        <v>84</v>
      </c>
      <c r="D77" s="94" t="str">
        <f>CONCATENATE(":"," ",'FORM '!B5)</f>
        <v>: BBLM</v>
      </c>
      <c r="E77" s="94"/>
    </row>
    <row r="78" spans="2:9">
      <c r="B78" s="94"/>
      <c r="D78" s="94"/>
      <c r="E78" s="94"/>
      <c r="F78" s="94"/>
      <c r="G78" s="94"/>
    </row>
    <row r="79" spans="2:9">
      <c r="E79" s="114" t="s">
        <v>85</v>
      </c>
    </row>
    <row r="80" spans="2:9" ht="7.5" customHeight="1"/>
    <row r="81" spans="2:9" ht="27.75" customHeight="1">
      <c r="B81" s="270" t="s">
        <v>86</v>
      </c>
      <c r="C81" s="271" t="s">
        <v>87</v>
      </c>
      <c r="D81" s="272"/>
      <c r="E81" s="273" t="s">
        <v>88</v>
      </c>
      <c r="F81" s="273"/>
      <c r="G81" s="271" t="s">
        <v>89</v>
      </c>
      <c r="H81" s="274"/>
      <c r="I81" s="272"/>
    </row>
    <row r="82" spans="2:9" ht="14.7" customHeight="1">
      <c r="B82" s="270"/>
      <c r="C82" s="275" t="s">
        <v>90</v>
      </c>
      <c r="D82" s="276"/>
      <c r="E82" s="277" t="s">
        <v>90</v>
      </c>
      <c r="F82" s="277"/>
      <c r="G82" s="278" t="s">
        <v>91</v>
      </c>
      <c r="H82" s="279"/>
      <c r="I82" s="280"/>
    </row>
    <row r="83" spans="2:9" ht="19.5" customHeight="1">
      <c r="B83" s="239">
        <v>1</v>
      </c>
      <c r="C83" s="258">
        <v>1E-3</v>
      </c>
      <c r="D83" s="258"/>
      <c r="E83" s="262">
        <f>'0,001'!G50</f>
        <v>4998.9692799999993</v>
      </c>
      <c r="F83" s="263"/>
      <c r="G83" s="262">
        <f>IF(MAX('0,001'!K76,'0,001'!K77)=0,0,ROUND(MAX('0,001'!K76,'0,001'!K77),2-INT(LOG10(ABS(MAX('0,001'!K76,'0,001'!K77))))-1))</f>
        <v>7.3</v>
      </c>
      <c r="H83" s="264"/>
      <c r="I83" s="263"/>
    </row>
    <row r="84" spans="2:9" ht="19.5" customHeight="1">
      <c r="B84" s="249">
        <v>2</v>
      </c>
      <c r="C84" s="249"/>
      <c r="D84" s="249"/>
      <c r="E84" s="249"/>
      <c r="F84" s="249"/>
      <c r="G84" s="249"/>
      <c r="H84" s="249"/>
      <c r="I84" s="249"/>
    </row>
    <row r="85" spans="2:9" ht="19.5" customHeight="1">
      <c r="B85" s="250"/>
      <c r="C85" s="259"/>
      <c r="D85" s="260"/>
      <c r="E85" s="259"/>
      <c r="F85" s="260"/>
      <c r="G85" s="259"/>
      <c r="H85" s="261"/>
      <c r="I85" s="260"/>
    </row>
    <row r="86" spans="2:9" ht="19.5" customHeight="1">
      <c r="B86" s="1">
        <v>4</v>
      </c>
    </row>
    <row r="87" spans="2:9" ht="19.5" customHeight="1">
      <c r="B87" s="1">
        <v>5</v>
      </c>
    </row>
    <row r="88" spans="2:9" ht="19.5" customHeight="1">
      <c r="B88" s="1">
        <v>6</v>
      </c>
    </row>
    <row r="89" spans="2:9" ht="19.5" customHeight="1">
      <c r="B89" s="1">
        <v>7</v>
      </c>
    </row>
    <row r="90" spans="2:9" ht="19.5" customHeight="1">
      <c r="B90" s="1">
        <v>8</v>
      </c>
    </row>
    <row r="91" spans="2:9" ht="19.5" customHeight="1">
      <c r="B91" s="1">
        <v>9</v>
      </c>
    </row>
    <row r="92" spans="2:9" ht="19.5" customHeight="1">
      <c r="B92" s="1">
        <v>10</v>
      </c>
    </row>
    <row r="93" spans="2:9" ht="19.5" customHeight="1">
      <c r="B93" s="1">
        <v>11</v>
      </c>
    </row>
    <row r="94" spans="2:9" ht="19.5" customHeight="1">
      <c r="B94" s="1">
        <v>12</v>
      </c>
    </row>
    <row r="95" spans="2:9" ht="19.5" customHeight="1">
      <c r="B95" s="1">
        <v>13</v>
      </c>
    </row>
    <row r="96" spans="2:9" ht="19.5" customHeight="1"/>
    <row r="97" spans="2:9" ht="19.5" customHeight="1"/>
    <row r="98" spans="2:9" ht="19.5" customHeight="1"/>
    <row r="99" spans="2:9" ht="19.5" customHeight="1">
      <c r="B99" s="107" t="s">
        <v>92</v>
      </c>
      <c r="C99" s="109"/>
      <c r="D99" s="109"/>
      <c r="E99" s="115"/>
      <c r="F99" s="109"/>
      <c r="G99" s="109"/>
      <c r="H99" s="109"/>
      <c r="I99" s="109"/>
    </row>
    <row r="100" spans="2:9" ht="19.5" customHeight="1">
      <c r="B100" s="107" t="str">
        <f>CONCATENATE("Alat ini dikalibrasi dengan Massa Standar"," ",'FORM '!B18," dengan ns ",": ",'FORM '!B20)</f>
        <v>Alat ini dikalibrasi dengan Massa Standar E2  dengan ns : G982106</v>
      </c>
      <c r="C100" s="109"/>
      <c r="D100" s="109"/>
      <c r="E100" s="115"/>
      <c r="F100" s="109"/>
      <c r="G100" s="109"/>
      <c r="H100" s="109"/>
      <c r="I100" s="109"/>
    </row>
    <row r="101" spans="2:9" ht="19.5" customHeight="1">
      <c r="B101" s="107" t="str">
        <f>CONCATENATE("yang tertelusur ke SI melalui LK-001-IDN"," dan ","Mass Comparator ns : ",'FORM '!B17)</f>
        <v>yang tertelusur ke SI melalui LK-001-IDN dan Mass Comparator ns : 90803270</v>
      </c>
      <c r="C101" s="109"/>
      <c r="D101" s="109"/>
      <c r="E101" s="115"/>
      <c r="F101" s="109"/>
      <c r="G101" s="109"/>
      <c r="H101" s="109"/>
      <c r="I101" s="109"/>
    </row>
    <row r="102" spans="2:9" ht="19.5" customHeight="1">
      <c r="B102" s="116" t="s">
        <v>93</v>
      </c>
      <c r="C102" s="117"/>
      <c r="D102" s="118"/>
      <c r="E102" s="118"/>
      <c r="F102" s="118"/>
      <c r="G102" s="118"/>
      <c r="H102" s="118"/>
    </row>
    <row r="103" spans="2:9" ht="19.5" customHeight="1"/>
    <row r="104" spans="2:9" ht="19.5" customHeight="1"/>
    <row r="105" spans="2:9" ht="19.5" customHeight="1"/>
    <row r="106" spans="2:9" ht="19.5" customHeight="1"/>
    <row r="107" spans="2:9" ht="19.5" customHeight="1"/>
    <row r="108" spans="2:9" ht="19.5" customHeight="1"/>
    <row r="109" spans="2:9" ht="19.5" customHeight="1">
      <c r="B109" s="95"/>
      <c r="C109" s="95"/>
      <c r="D109" s="95"/>
      <c r="E109" s="112"/>
      <c r="F109" s="112"/>
      <c r="G109" s="188"/>
      <c r="H109" s="188"/>
      <c r="I109" s="188"/>
    </row>
    <row r="110" spans="2:9" ht="19.5" customHeight="1">
      <c r="B110" s="95"/>
      <c r="C110" s="95"/>
      <c r="D110" s="95"/>
      <c r="E110" s="112"/>
      <c r="F110" s="112"/>
      <c r="G110" s="188"/>
      <c r="H110" s="188"/>
      <c r="I110" s="188"/>
    </row>
    <row r="111" spans="2:9" ht="19.5" customHeight="1">
      <c r="B111" s="95"/>
      <c r="C111" s="95"/>
      <c r="D111" s="95"/>
      <c r="E111" s="112"/>
      <c r="F111" s="112"/>
      <c r="G111" s="188"/>
      <c r="H111" s="188"/>
      <c r="I111" s="188"/>
    </row>
    <row r="112" spans="2:9" ht="19.5" customHeight="1">
      <c r="B112" s="95"/>
      <c r="C112" s="95"/>
      <c r="D112" s="95"/>
      <c r="E112" s="112"/>
      <c r="F112" s="112"/>
      <c r="G112" s="188"/>
      <c r="H112" s="188"/>
      <c r="I112" s="188"/>
    </row>
    <row r="113" spans="2:9" ht="19.5" customHeight="1">
      <c r="B113" s="95"/>
      <c r="C113" s="95"/>
      <c r="D113" s="95"/>
      <c r="E113" s="112"/>
      <c r="F113" s="112"/>
      <c r="G113" s="188"/>
      <c r="H113" s="188"/>
      <c r="I113" s="188"/>
    </row>
    <row r="114" spans="2:9" ht="19.5" customHeight="1">
      <c r="B114" s="95"/>
      <c r="C114" s="95"/>
      <c r="D114" s="95"/>
      <c r="E114" s="112"/>
      <c r="F114" s="112"/>
      <c r="G114" s="188"/>
      <c r="H114" s="188"/>
      <c r="I114" s="188"/>
    </row>
    <row r="115" spans="2:9" ht="19.5" customHeight="1">
      <c r="B115" s="95"/>
      <c r="C115" s="95"/>
      <c r="D115" s="95"/>
      <c r="E115" s="112"/>
      <c r="F115" s="112"/>
      <c r="G115" s="188"/>
      <c r="H115" s="188"/>
      <c r="I115" s="188"/>
    </row>
    <row r="116" spans="2:9" ht="19.5" customHeight="1">
      <c r="B116" s="95"/>
      <c r="C116" s="95"/>
      <c r="D116" s="95"/>
      <c r="E116" s="112"/>
      <c r="F116" s="112"/>
      <c r="G116" s="188"/>
      <c r="H116" s="188"/>
      <c r="I116" s="188"/>
    </row>
    <row r="117" spans="2:9" ht="19.5" customHeight="1">
      <c r="B117" s="95"/>
      <c r="C117" s="95"/>
      <c r="D117" s="95"/>
      <c r="E117" s="112"/>
      <c r="F117" s="112"/>
      <c r="G117" s="188"/>
      <c r="H117" s="188"/>
      <c r="I117" s="188"/>
    </row>
    <row r="118" spans="2:9" ht="19.5" customHeight="1">
      <c r="B118" s="95"/>
      <c r="C118" s="95"/>
      <c r="D118" s="95"/>
      <c r="E118" s="112"/>
      <c r="F118" s="112"/>
      <c r="G118" s="188"/>
      <c r="H118" s="188"/>
      <c r="I118" s="188"/>
    </row>
    <row r="119" spans="2:9" ht="19.5" customHeight="1">
      <c r="B119" s="95"/>
      <c r="C119" s="95"/>
      <c r="D119" s="95"/>
      <c r="E119" s="112"/>
      <c r="F119" s="112"/>
      <c r="G119" s="188"/>
      <c r="H119" s="188"/>
      <c r="I119" s="188"/>
    </row>
    <row r="120" spans="2:9" ht="19.5" customHeight="1"/>
    <row r="121" spans="2:9" ht="19.5" customHeight="1"/>
    <row r="122" spans="2:9" ht="19.5" customHeight="1"/>
    <row r="123" spans="2:9" ht="19.5" customHeight="1"/>
    <row r="124" spans="2:9" ht="19.5" customHeight="1"/>
    <row r="125" spans="2:9" ht="27.6" customHeight="1"/>
    <row r="126" spans="2:9" ht="19.5" customHeight="1"/>
    <row r="127" spans="2:9" ht="19.5" customHeight="1"/>
    <row r="128" spans="2:9" ht="19.5" customHeight="1"/>
    <row r="129" spans="2:9" ht="19.5" customHeight="1"/>
    <row r="130" spans="2:9" ht="19.5" customHeight="1"/>
    <row r="131" spans="2:9" ht="19.5" customHeight="1"/>
    <row r="132" spans="2:9" ht="19.5" customHeight="1"/>
    <row r="133" spans="2:9" ht="19.5" customHeight="1"/>
    <row r="134" spans="2:9" ht="19.5" customHeight="1"/>
    <row r="135" spans="2:9" ht="19.5" customHeight="1"/>
    <row r="136" spans="2:9" ht="19.5" customHeight="1"/>
    <row r="137" spans="2:9" ht="19.5" customHeight="1"/>
    <row r="138" spans="2:9" ht="19.5" customHeight="1"/>
    <row r="139" spans="2:9" ht="19.5" customHeight="1"/>
    <row r="140" spans="2:9" ht="19.5" customHeight="1"/>
    <row r="141" spans="2:9" ht="19.5" customHeight="1">
      <c r="B141" s="95"/>
      <c r="C141" s="109"/>
      <c r="D141" s="109"/>
      <c r="E141" s="115"/>
      <c r="F141" s="109"/>
      <c r="G141" s="109"/>
      <c r="H141" s="109"/>
      <c r="I141" s="109"/>
    </row>
    <row r="142" spans="2:9" ht="19.5" customHeight="1"/>
    <row r="143" spans="2:9" ht="19.5" customHeight="1"/>
    <row r="144" spans="2:9" ht="19.5" customHeight="1"/>
    <row r="145" spans="2:8" ht="19.2" customHeight="1"/>
    <row r="146" spans="2:8">
      <c r="B146" s="119"/>
      <c r="C146" s="117"/>
      <c r="D146" s="118"/>
      <c r="E146" s="118"/>
      <c r="F146" s="118"/>
      <c r="G146" s="118"/>
      <c r="H146" s="118"/>
    </row>
    <row r="147" spans="2:8" ht="18" customHeight="1">
      <c r="B147" s="120"/>
      <c r="C147" s="121"/>
      <c r="D147" s="122"/>
      <c r="E147" s="122"/>
      <c r="F147" s="115"/>
      <c r="G147" s="115"/>
      <c r="H147" s="115"/>
    </row>
    <row r="148" spans="2:8" ht="18" customHeight="1">
      <c r="B148" s="120"/>
      <c r="C148" s="121"/>
      <c r="D148" s="122"/>
      <c r="E148" s="122"/>
      <c r="F148" s="115"/>
      <c r="G148" s="115"/>
      <c r="H148" s="115"/>
    </row>
    <row r="149" spans="2:8" ht="18" customHeight="1">
      <c r="B149" s="120"/>
      <c r="C149" s="121"/>
      <c r="D149" s="122"/>
      <c r="E149" s="122"/>
      <c r="F149" s="115"/>
      <c r="G149" s="115"/>
      <c r="H149" s="115"/>
    </row>
    <row r="150" spans="2:8" ht="18" customHeight="1">
      <c r="B150" s="120"/>
      <c r="C150" s="121"/>
      <c r="D150" s="122"/>
      <c r="E150" s="122"/>
      <c r="F150" s="115"/>
      <c r="G150" s="115"/>
      <c r="H150" s="115"/>
    </row>
    <row r="151" spans="2:8" ht="18" customHeight="1">
      <c r="B151" s="120"/>
      <c r="C151" s="121"/>
      <c r="D151" s="122"/>
      <c r="E151" s="122"/>
      <c r="F151" s="115"/>
      <c r="G151" s="115"/>
      <c r="H151" s="115"/>
    </row>
    <row r="152" spans="2:8" ht="18" customHeight="1">
      <c r="B152" s="120"/>
      <c r="C152" s="121"/>
      <c r="D152" s="122"/>
      <c r="E152" s="122"/>
      <c r="F152" s="115"/>
      <c r="G152" s="115"/>
      <c r="H152" s="115"/>
    </row>
    <row r="153" spans="2:8" ht="18" customHeight="1">
      <c r="B153" s="120"/>
      <c r="C153" s="121"/>
      <c r="D153" s="122"/>
      <c r="E153" s="122"/>
      <c r="F153" s="115"/>
      <c r="G153" s="115"/>
      <c r="H153" s="115"/>
    </row>
    <row r="154" spans="2:8" ht="18" customHeight="1">
      <c r="B154" s="120"/>
      <c r="C154" s="121"/>
      <c r="D154" s="122"/>
      <c r="E154" s="122"/>
      <c r="F154" s="115"/>
      <c r="G154" s="115"/>
      <c r="H154" s="115"/>
    </row>
    <row r="155" spans="2:8" ht="18" customHeight="1">
      <c r="B155" s="120"/>
      <c r="C155" s="121"/>
      <c r="D155" s="122"/>
      <c r="E155" s="122"/>
      <c r="F155" s="115"/>
      <c r="G155" s="115"/>
      <c r="H155" s="115"/>
    </row>
    <row r="156" spans="2:8" ht="16.95" customHeight="1">
      <c r="B156" s="120"/>
      <c r="C156" s="121"/>
      <c r="D156" s="122"/>
      <c r="E156" s="122"/>
      <c r="F156" s="115"/>
      <c r="G156" s="115"/>
      <c r="H156" s="115"/>
    </row>
    <row r="157" spans="2:8" ht="16.95" customHeight="1"/>
    <row r="165" spans="2:6" ht="23.7" customHeight="1">
      <c r="E165" s="123"/>
      <c r="F165" s="123"/>
    </row>
    <row r="166" spans="2:6">
      <c r="E166" s="109"/>
      <c r="F166" s="109"/>
    </row>
    <row r="167" spans="2:6">
      <c r="E167" s="109"/>
      <c r="F167" s="109"/>
    </row>
    <row r="168" spans="2:6">
      <c r="E168" s="109"/>
      <c r="F168" s="109"/>
    </row>
    <row r="169" spans="2:6">
      <c r="E169" s="109"/>
      <c r="F169" s="109"/>
    </row>
    <row r="171" spans="2:6">
      <c r="E171" s="109"/>
      <c r="F171" s="109"/>
    </row>
    <row r="172" spans="2:6">
      <c r="B172" s="118"/>
    </row>
    <row r="174" spans="2:6">
      <c r="B174" s="94"/>
    </row>
    <row r="175" spans="2:6">
      <c r="B175" s="109"/>
    </row>
    <row r="176" spans="2:6">
      <c r="B176" s="109"/>
    </row>
    <row r="177" spans="2:9">
      <c r="B177" s="109"/>
    </row>
    <row r="179" spans="2:9">
      <c r="B179" s="118"/>
      <c r="C179" s="118"/>
      <c r="D179" s="118"/>
      <c r="E179" s="118"/>
      <c r="F179" s="118"/>
      <c r="G179" s="118"/>
      <c r="H179" s="118"/>
      <c r="I179" s="118"/>
    </row>
    <row r="180" spans="2:9">
      <c r="B180" s="118"/>
      <c r="C180" s="118"/>
      <c r="D180" s="118"/>
      <c r="E180" s="118"/>
      <c r="F180" s="118"/>
      <c r="G180" s="118"/>
      <c r="H180" s="118"/>
      <c r="I180" s="118"/>
    </row>
    <row r="181" spans="2:9">
      <c r="B181" s="118"/>
      <c r="C181" s="118"/>
      <c r="D181" s="118"/>
      <c r="E181" s="118"/>
      <c r="F181" s="118"/>
      <c r="G181" s="118"/>
      <c r="H181" s="118"/>
      <c r="I181" s="118"/>
    </row>
    <row r="182" spans="2:9" ht="18.45" customHeight="1">
      <c r="B182" s="112"/>
      <c r="C182" s="122"/>
      <c r="D182" s="122"/>
      <c r="E182" s="122"/>
      <c r="F182" s="122"/>
      <c r="G182" s="122"/>
      <c r="H182" s="109"/>
      <c r="I182" s="109"/>
    </row>
    <row r="183" spans="2:9" ht="18.45" customHeight="1">
      <c r="B183" s="112"/>
      <c r="C183" s="122"/>
      <c r="D183" s="122"/>
      <c r="E183" s="122"/>
      <c r="F183" s="122"/>
      <c r="G183" s="122"/>
      <c r="H183" s="109"/>
      <c r="I183" s="109"/>
    </row>
    <row r="184" spans="2:9" ht="18.45" customHeight="1">
      <c r="B184" s="112"/>
      <c r="C184" s="122"/>
      <c r="D184" s="122"/>
      <c r="E184" s="122"/>
      <c r="F184" s="122"/>
      <c r="G184" s="122"/>
      <c r="H184" s="109"/>
      <c r="I184" s="109"/>
    </row>
    <row r="185" spans="2:9" ht="18.45" customHeight="1">
      <c r="B185" s="112"/>
      <c r="C185" s="122"/>
      <c r="D185" s="122"/>
      <c r="E185" s="122"/>
      <c r="F185" s="122"/>
      <c r="G185" s="122"/>
      <c r="H185" s="109"/>
      <c r="I185" s="109"/>
    </row>
    <row r="186" spans="2:9" ht="18.45" customHeight="1">
      <c r="B186" s="112"/>
      <c r="C186" s="122"/>
      <c r="D186" s="122"/>
      <c r="E186" s="122"/>
      <c r="F186" s="122"/>
      <c r="G186" s="122"/>
      <c r="H186" s="109"/>
      <c r="I186" s="109"/>
    </row>
    <row r="188" spans="2:9">
      <c r="B188" s="106"/>
    </row>
    <row r="190" spans="2:9">
      <c r="B190" s="118"/>
      <c r="C190" s="118"/>
      <c r="D190" s="118"/>
      <c r="E190" s="118"/>
    </row>
    <row r="191" spans="2:9">
      <c r="B191" s="118"/>
      <c r="C191" s="118"/>
      <c r="D191" s="118"/>
      <c r="E191" s="118"/>
    </row>
    <row r="192" spans="2:9">
      <c r="B192" s="124"/>
      <c r="C192" s="124"/>
      <c r="D192" s="122"/>
      <c r="E192" s="122"/>
    </row>
    <row r="193" spans="2:5">
      <c r="B193" s="124"/>
      <c r="C193" s="124"/>
      <c r="D193" s="122"/>
      <c r="E193" s="122"/>
    </row>
    <row r="195" spans="2:5">
      <c r="B195" s="109"/>
    </row>
    <row r="196" spans="2:5">
      <c r="B196" s="109"/>
    </row>
    <row r="197" spans="2:5">
      <c r="B197" s="109"/>
    </row>
    <row r="198" spans="2:5">
      <c r="B198" s="109"/>
    </row>
    <row r="199" spans="2:5">
      <c r="B199" s="109"/>
    </row>
  </sheetData>
  <mergeCells count="18">
    <mergeCell ref="B81:B82"/>
    <mergeCell ref="C81:D81"/>
    <mergeCell ref="E81:F81"/>
    <mergeCell ref="G81:I81"/>
    <mergeCell ref="C82:D82"/>
    <mergeCell ref="E82:F82"/>
    <mergeCell ref="G82:I82"/>
    <mergeCell ref="E35:J37"/>
    <mergeCell ref="A7:K7"/>
    <mergeCell ref="A8:K8"/>
    <mergeCell ref="A9:K9"/>
    <mergeCell ref="B67:F67"/>
    <mergeCell ref="C83:D83"/>
    <mergeCell ref="C85:D85"/>
    <mergeCell ref="E85:F85"/>
    <mergeCell ref="G85:I85"/>
    <mergeCell ref="E83:F83"/>
    <mergeCell ref="G83:I83"/>
  </mergeCells>
  <pageMargins left="0" right="0" top="0.35433070866141703" bottom="3.9370078740157501E-2" header="0" footer="0"/>
  <pageSetup paperSize="9" scale="97" orientation="portrait" horizontalDpi="360" verticalDpi="360" r:id="rId1"/>
  <colBreaks count="1" manualBreakCount="1">
    <brk id="11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FA42A-2409-4B97-ADC2-B152401D5329}">
  <sheetPr codeName="Sheet7"/>
  <dimension ref="A1:AP33"/>
  <sheetViews>
    <sheetView workbookViewId="0">
      <selection activeCell="F4" sqref="F4:H7"/>
    </sheetView>
  </sheetViews>
  <sheetFormatPr defaultRowHeight="14.4"/>
  <cols>
    <col min="2" max="2" width="10.88671875" customWidth="1"/>
    <col min="3" max="3" width="25.6640625" customWidth="1"/>
    <col min="4" max="4" width="17" customWidth="1"/>
    <col min="5" max="5" width="13.88671875" customWidth="1"/>
    <col min="6" max="6" width="21.21875" customWidth="1"/>
    <col min="7" max="7" width="17.88671875" customWidth="1"/>
    <col min="8" max="9" width="16.77734375" customWidth="1"/>
    <col min="11" max="11" width="9.21875" bestFit="1" customWidth="1"/>
    <col min="12" max="12" width="19" bestFit="1" customWidth="1"/>
    <col min="14" max="14" width="19.21875" customWidth="1"/>
    <col min="15" max="15" width="13.5546875" customWidth="1"/>
    <col min="16" max="16" width="13.109375" bestFit="1" customWidth="1"/>
    <col min="17" max="17" width="10.33203125" bestFit="1" customWidth="1"/>
    <col min="19" max="19" width="8.109375" bestFit="1" customWidth="1"/>
    <col min="20" max="20" width="11" bestFit="1" customWidth="1"/>
    <col min="24" max="24" width="10.44140625" bestFit="1" customWidth="1"/>
    <col min="27" max="27" width="10.21875" customWidth="1"/>
    <col min="28" max="28" width="11" bestFit="1" customWidth="1"/>
    <col min="32" max="32" width="11" bestFit="1" customWidth="1"/>
    <col min="35" max="35" width="18.21875" customWidth="1"/>
    <col min="36" max="39" width="10.33203125" customWidth="1"/>
    <col min="40" max="42" width="10.6640625" customWidth="1"/>
  </cols>
  <sheetData>
    <row r="1" spans="1:42" ht="18">
      <c r="S1" s="14" t="s">
        <v>243</v>
      </c>
      <c r="T1" s="13"/>
      <c r="U1" s="13"/>
      <c r="V1" s="13"/>
      <c r="W1" s="15" t="s">
        <v>262</v>
      </c>
      <c r="X1" s="16"/>
      <c r="Y1" s="16"/>
      <c r="Z1" s="13"/>
      <c r="AA1" s="15" t="s">
        <v>94</v>
      </c>
      <c r="AB1" s="47"/>
      <c r="AC1" s="47"/>
      <c r="AD1" s="13"/>
      <c r="AE1" s="14" t="s">
        <v>244</v>
      </c>
      <c r="AF1" s="13"/>
      <c r="AG1" s="13"/>
      <c r="AH1" s="13"/>
      <c r="AI1" s="14" t="s">
        <v>95</v>
      </c>
      <c r="AJ1" s="13"/>
      <c r="AK1" s="13"/>
      <c r="AL1" s="13"/>
      <c r="AM1" s="13"/>
      <c r="AN1" s="13"/>
      <c r="AO1" s="13"/>
      <c r="AP1" s="13"/>
    </row>
    <row r="2" spans="1:42" ht="26.4" customHeight="1">
      <c r="S2" s="202" t="s">
        <v>33</v>
      </c>
      <c r="T2" s="203" t="s">
        <v>96</v>
      </c>
      <c r="U2" s="204" t="s">
        <v>97</v>
      </c>
      <c r="W2" s="209" t="s">
        <v>33</v>
      </c>
      <c r="X2" s="210" t="s">
        <v>96</v>
      </c>
      <c r="Y2" s="211" t="s">
        <v>97</v>
      </c>
      <c r="AA2" s="214" t="s">
        <v>98</v>
      </c>
      <c r="AB2" s="215" t="s">
        <v>96</v>
      </c>
      <c r="AC2" s="216" t="s">
        <v>97</v>
      </c>
      <c r="AE2" s="202" t="s">
        <v>33</v>
      </c>
      <c r="AF2" s="203" t="s">
        <v>96</v>
      </c>
      <c r="AG2" s="204" t="s">
        <v>97</v>
      </c>
      <c r="AI2" s="223" t="s">
        <v>245</v>
      </c>
      <c r="AJ2" s="224" t="s">
        <v>99</v>
      </c>
      <c r="AK2" s="224" t="s">
        <v>100</v>
      </c>
      <c r="AL2" s="224" t="s">
        <v>3</v>
      </c>
      <c r="AM2" s="224" t="s">
        <v>4</v>
      </c>
      <c r="AN2" s="224" t="s">
        <v>5</v>
      </c>
      <c r="AO2" s="224" t="s">
        <v>6</v>
      </c>
      <c r="AP2" s="225" t="s">
        <v>7</v>
      </c>
    </row>
    <row r="3" spans="1:42">
      <c r="A3" s="149" t="s">
        <v>240</v>
      </c>
      <c r="C3" s="149" t="s">
        <v>241</v>
      </c>
      <c r="D3" s="235" t="s">
        <v>318</v>
      </c>
      <c r="F3" s="185" t="s">
        <v>290</v>
      </c>
      <c r="G3" s="149" t="s">
        <v>242</v>
      </c>
      <c r="H3" s="30" t="s">
        <v>263</v>
      </c>
      <c r="I3" s="235" t="s">
        <v>318</v>
      </c>
      <c r="K3" s="219" t="s">
        <v>265</v>
      </c>
      <c r="L3" s="220" t="s">
        <v>275</v>
      </c>
      <c r="N3" s="176" t="s">
        <v>241</v>
      </c>
      <c r="O3" s="176" t="s">
        <v>278</v>
      </c>
      <c r="P3" s="176" t="s">
        <v>55</v>
      </c>
      <c r="Q3" s="185" t="s">
        <v>289</v>
      </c>
      <c r="S3" s="197">
        <v>2000</v>
      </c>
      <c r="T3" s="18">
        <v>1999.9985200000001</v>
      </c>
      <c r="U3" s="200">
        <v>0.32</v>
      </c>
      <c r="W3" s="199">
        <v>20000</v>
      </c>
      <c r="X3" s="19">
        <v>20000.022000000001</v>
      </c>
      <c r="Y3" s="201">
        <v>13</v>
      </c>
      <c r="AA3" s="199" t="s">
        <v>94</v>
      </c>
      <c r="AB3" s="19">
        <v>19999.414000000001</v>
      </c>
      <c r="AC3" s="201">
        <v>45</v>
      </c>
      <c r="AE3" s="197">
        <v>5000</v>
      </c>
      <c r="AF3" s="18">
        <v>4999.9985800000004</v>
      </c>
      <c r="AG3" s="200">
        <v>0.72</v>
      </c>
      <c r="AI3" s="221" t="s">
        <v>246</v>
      </c>
      <c r="AJ3" s="48">
        <v>25</v>
      </c>
      <c r="AK3" s="48">
        <v>75</v>
      </c>
      <c r="AL3" s="48">
        <v>250</v>
      </c>
      <c r="AM3" s="48">
        <v>750</v>
      </c>
      <c r="AN3" s="48">
        <v>2500</v>
      </c>
      <c r="AO3" s="48">
        <v>7500</v>
      </c>
      <c r="AP3" s="222">
        <v>25000</v>
      </c>
    </row>
    <row r="4" spans="1:42">
      <c r="A4" s="19">
        <v>20000</v>
      </c>
      <c r="C4" s="139" t="s">
        <v>243</v>
      </c>
      <c r="F4" s="229" t="s">
        <v>291</v>
      </c>
      <c r="G4" s="230">
        <v>90803270</v>
      </c>
      <c r="H4" s="230">
        <v>1.0000000000000001E-5</v>
      </c>
      <c r="I4" s="236"/>
      <c r="K4" s="138">
        <v>20000</v>
      </c>
      <c r="L4" s="30">
        <v>45</v>
      </c>
      <c r="N4" s="178" t="s">
        <v>243</v>
      </c>
      <c r="O4" s="176" t="s">
        <v>279</v>
      </c>
      <c r="P4" s="30" t="s">
        <v>276</v>
      </c>
      <c r="Q4" s="30"/>
      <c r="S4" s="197">
        <v>1000</v>
      </c>
      <c r="T4" s="18">
        <v>1000.00055</v>
      </c>
      <c r="U4" s="200">
        <v>0.14000000000000001</v>
      </c>
      <c r="W4" s="199">
        <v>10000</v>
      </c>
      <c r="X4" s="20">
        <v>10000.040999999999</v>
      </c>
      <c r="Y4" s="201">
        <v>4.5999999999999996</v>
      </c>
      <c r="AA4" s="199" t="s">
        <v>101</v>
      </c>
      <c r="AB4" s="19">
        <v>19999.234</v>
      </c>
      <c r="AC4" s="201">
        <v>45</v>
      </c>
      <c r="AE4" s="197">
        <v>1000</v>
      </c>
      <c r="AF4" s="18">
        <v>1000.0005</v>
      </c>
      <c r="AG4" s="200">
        <v>3.1E-4</v>
      </c>
      <c r="AI4" s="221" t="s">
        <v>247</v>
      </c>
      <c r="AJ4" s="48">
        <v>10</v>
      </c>
      <c r="AK4" s="48">
        <v>30</v>
      </c>
      <c r="AL4" s="48">
        <v>100</v>
      </c>
      <c r="AM4" s="48">
        <v>300</v>
      </c>
      <c r="AN4" s="48">
        <v>1000</v>
      </c>
      <c r="AO4" s="48">
        <v>3000</v>
      </c>
      <c r="AP4" s="222">
        <v>10000</v>
      </c>
    </row>
    <row r="5" spans="1:42">
      <c r="A5" s="19">
        <v>10000</v>
      </c>
      <c r="C5" s="150" t="s">
        <v>262</v>
      </c>
      <c r="D5" s="233" t="s">
        <v>319</v>
      </c>
      <c r="F5" s="230" t="s">
        <v>292</v>
      </c>
      <c r="G5" s="230">
        <v>90602105</v>
      </c>
      <c r="H5" s="230">
        <v>1E-3</v>
      </c>
      <c r="I5" s="236"/>
      <c r="K5" s="138">
        <v>10000</v>
      </c>
      <c r="L5" s="30">
        <v>26</v>
      </c>
      <c r="N5" s="176" t="s">
        <v>262</v>
      </c>
      <c r="O5" s="30" t="s">
        <v>280</v>
      </c>
      <c r="P5" s="30" t="s">
        <v>281</v>
      </c>
      <c r="Q5" s="30"/>
      <c r="S5" s="197">
        <v>500</v>
      </c>
      <c r="T5" s="21">
        <v>500.00000999999997</v>
      </c>
      <c r="U5" s="200">
        <v>0.08</v>
      </c>
      <c r="W5" s="199">
        <v>5000</v>
      </c>
      <c r="X5" s="183">
        <v>5000.0162799999998</v>
      </c>
      <c r="Y5" s="201">
        <v>2.6</v>
      </c>
      <c r="AA5" s="199" t="s">
        <v>102</v>
      </c>
      <c r="AB5" s="19">
        <v>19999.627</v>
      </c>
      <c r="AC5" s="201">
        <v>45</v>
      </c>
      <c r="AE5" s="197">
        <v>500</v>
      </c>
      <c r="AF5" s="21">
        <v>500.00060000000002</v>
      </c>
      <c r="AG5" s="200">
        <v>1.6000000000000001E-4</v>
      </c>
      <c r="AI5" s="221" t="s">
        <v>248</v>
      </c>
      <c r="AJ5" s="48">
        <v>5</v>
      </c>
      <c r="AK5" s="48">
        <v>15</v>
      </c>
      <c r="AL5" s="48">
        <v>50</v>
      </c>
      <c r="AM5" s="48">
        <v>150</v>
      </c>
      <c r="AN5" s="48">
        <v>500</v>
      </c>
      <c r="AO5" s="48">
        <v>1500</v>
      </c>
      <c r="AP5" s="222">
        <v>5000</v>
      </c>
    </row>
    <row r="6" spans="1:42">
      <c r="A6" s="19">
        <v>5000</v>
      </c>
      <c r="C6" s="30" t="s">
        <v>94</v>
      </c>
      <c r="F6" s="30" t="s">
        <v>293</v>
      </c>
      <c r="G6" s="141">
        <v>14904962</v>
      </c>
      <c r="H6" s="30">
        <v>0.01</v>
      </c>
      <c r="K6" s="138">
        <v>5000</v>
      </c>
      <c r="L6" s="30">
        <v>2.6</v>
      </c>
      <c r="N6" s="30" t="s">
        <v>94</v>
      </c>
      <c r="O6" s="30" t="s">
        <v>24</v>
      </c>
      <c r="P6" s="30" t="s">
        <v>24</v>
      </c>
      <c r="Q6" s="30"/>
      <c r="S6" s="197">
        <v>200</v>
      </c>
      <c r="T6" s="21">
        <v>200.00001</v>
      </c>
      <c r="U6" s="200">
        <v>0.04</v>
      </c>
      <c r="W6" s="199" t="s">
        <v>266</v>
      </c>
      <c r="X6" s="22">
        <v>2000.00152</v>
      </c>
      <c r="Y6" s="201">
        <v>1.4</v>
      </c>
      <c r="AA6" s="199" t="s">
        <v>103</v>
      </c>
      <c r="AB6" s="19">
        <v>20000.346000000001</v>
      </c>
      <c r="AC6" s="201">
        <v>45</v>
      </c>
      <c r="AE6" s="197">
        <v>200</v>
      </c>
      <c r="AF6" s="21">
        <v>200.00020000000001</v>
      </c>
      <c r="AG6" s="200">
        <v>6.0000000000000002E-5</v>
      </c>
      <c r="AI6" s="221" t="s">
        <v>249</v>
      </c>
      <c r="AJ6" s="48">
        <v>2.5</v>
      </c>
      <c r="AK6" s="48">
        <v>7.5</v>
      </c>
      <c r="AL6" s="48">
        <v>25</v>
      </c>
      <c r="AM6" s="48">
        <v>75</v>
      </c>
      <c r="AN6" s="48">
        <v>250</v>
      </c>
      <c r="AO6" s="48">
        <v>750</v>
      </c>
      <c r="AP6" s="222">
        <v>2500</v>
      </c>
    </row>
    <row r="7" spans="1:42">
      <c r="A7" s="19" t="s">
        <v>266</v>
      </c>
      <c r="C7" s="150" t="s">
        <v>244</v>
      </c>
      <c r="D7" s="234"/>
      <c r="F7" s="186" t="s">
        <v>291</v>
      </c>
      <c r="G7" s="30">
        <v>90803270</v>
      </c>
      <c r="H7" s="30">
        <v>5.0000000000000002E-5</v>
      </c>
      <c r="K7" s="138">
        <v>2000</v>
      </c>
      <c r="L7" s="30">
        <v>1.4</v>
      </c>
      <c r="N7" s="176" t="s">
        <v>244</v>
      </c>
      <c r="O7" s="176" t="s">
        <v>282</v>
      </c>
      <c r="P7" s="30">
        <v>158856</v>
      </c>
      <c r="Q7" s="30"/>
      <c r="S7" s="198" t="s">
        <v>267</v>
      </c>
      <c r="T7" s="21">
        <v>200.00004999999999</v>
      </c>
      <c r="U7" s="200">
        <v>0.04</v>
      </c>
      <c r="W7" s="197">
        <v>2000</v>
      </c>
      <c r="X7" s="24">
        <v>1999.9994200000001</v>
      </c>
      <c r="Y7" s="200">
        <v>1.4</v>
      </c>
      <c r="AA7" s="199" t="s">
        <v>104</v>
      </c>
      <c r="AB7" s="19">
        <v>20000.124</v>
      </c>
      <c r="AC7" s="201">
        <v>45</v>
      </c>
      <c r="AE7" s="198" t="s">
        <v>267</v>
      </c>
      <c r="AF7" s="21">
        <v>200.00020000000001</v>
      </c>
      <c r="AG7" s="200">
        <v>7.2000000000000002E-5</v>
      </c>
      <c r="AI7" s="221" t="s">
        <v>250</v>
      </c>
      <c r="AJ7" s="48">
        <v>1</v>
      </c>
      <c r="AK7" s="48">
        <v>3</v>
      </c>
      <c r="AL7" s="48">
        <v>10</v>
      </c>
      <c r="AM7" s="48">
        <v>30</v>
      </c>
      <c r="AN7" s="48">
        <v>100</v>
      </c>
      <c r="AO7" s="48">
        <v>300</v>
      </c>
      <c r="AP7" s="222">
        <v>1000</v>
      </c>
    </row>
    <row r="8" spans="1:42">
      <c r="A8" s="17">
        <v>2000</v>
      </c>
      <c r="C8" s="17"/>
      <c r="D8" s="184"/>
      <c r="E8" s="184"/>
      <c r="K8" s="138">
        <v>1000</v>
      </c>
      <c r="L8" s="30">
        <v>1.1000000000000001</v>
      </c>
      <c r="S8" s="197">
        <v>100</v>
      </c>
      <c r="T8" s="21">
        <v>100.00008</v>
      </c>
      <c r="U8" s="200">
        <v>0.03</v>
      </c>
      <c r="W8" s="197">
        <v>1000</v>
      </c>
      <c r="X8" s="24">
        <v>1000.00105</v>
      </c>
      <c r="Y8" s="200">
        <v>1.1000000000000001</v>
      </c>
      <c r="AA8" s="199" t="s">
        <v>105</v>
      </c>
      <c r="AB8" s="19">
        <v>20000.153999999999</v>
      </c>
      <c r="AC8" s="201">
        <v>45</v>
      </c>
      <c r="AE8" s="197">
        <v>100</v>
      </c>
      <c r="AF8" s="21">
        <v>100.00001</v>
      </c>
      <c r="AG8" s="200">
        <v>3.6000000000000001E-5</v>
      </c>
      <c r="AI8" s="221" t="s">
        <v>251</v>
      </c>
      <c r="AJ8" s="48">
        <v>0.5</v>
      </c>
      <c r="AK8" s="48">
        <v>1.5</v>
      </c>
      <c r="AL8" s="48">
        <v>5</v>
      </c>
      <c r="AM8" s="48">
        <v>15</v>
      </c>
      <c r="AN8" s="48">
        <v>50</v>
      </c>
      <c r="AO8" s="48">
        <v>150</v>
      </c>
      <c r="AP8" s="222">
        <v>500</v>
      </c>
    </row>
    <row r="9" spans="1:42">
      <c r="A9" s="17">
        <v>1000</v>
      </c>
      <c r="K9" s="138">
        <v>500</v>
      </c>
      <c r="L9" s="30">
        <v>1</v>
      </c>
      <c r="S9" s="197">
        <v>50</v>
      </c>
      <c r="T9" s="21">
        <v>50.000019999999999</v>
      </c>
      <c r="U9" s="200">
        <v>0.02</v>
      </c>
      <c r="W9" s="197">
        <v>500</v>
      </c>
      <c r="X9" s="24">
        <v>499.99860999999999</v>
      </c>
      <c r="Y9" s="200">
        <v>1</v>
      </c>
      <c r="AA9" s="199" t="s">
        <v>106</v>
      </c>
      <c r="AB9" s="19">
        <v>19999.125</v>
      </c>
      <c r="AC9" s="201">
        <v>45</v>
      </c>
      <c r="AE9" s="197">
        <v>50</v>
      </c>
      <c r="AF9" s="21">
        <v>50.000019999999999</v>
      </c>
      <c r="AG9" s="200">
        <v>2.0999999999999999E-5</v>
      </c>
      <c r="AI9" s="221" t="s">
        <v>14</v>
      </c>
      <c r="AJ9" s="48">
        <v>0.25</v>
      </c>
      <c r="AK9" s="48">
        <v>0.75</v>
      </c>
      <c r="AL9" s="48">
        <v>2.5</v>
      </c>
      <c r="AM9" s="48">
        <v>7.5</v>
      </c>
      <c r="AN9" s="48">
        <v>25</v>
      </c>
      <c r="AO9" s="48">
        <v>75</v>
      </c>
      <c r="AP9" s="222">
        <v>250</v>
      </c>
    </row>
    <row r="10" spans="1:42">
      <c r="A10" s="17">
        <v>500</v>
      </c>
      <c r="K10" s="138">
        <v>200</v>
      </c>
      <c r="L10" s="30">
        <v>0.11</v>
      </c>
      <c r="S10" s="197">
        <v>20</v>
      </c>
      <c r="T10" s="23">
        <v>19.999977999999999</v>
      </c>
      <c r="U10" s="200">
        <v>8.9999999999999993E-3</v>
      </c>
      <c r="W10" s="197">
        <v>200</v>
      </c>
      <c r="X10" s="24">
        <v>199.99968000000001</v>
      </c>
      <c r="Y10" s="200">
        <v>0.11</v>
      </c>
      <c r="AA10" s="199" t="s">
        <v>107</v>
      </c>
      <c r="AB10" s="19">
        <v>19999.806</v>
      </c>
      <c r="AC10" s="201">
        <v>45</v>
      </c>
      <c r="AE10" s="197">
        <v>20</v>
      </c>
      <c r="AF10" s="23">
        <v>20.000029999999999</v>
      </c>
      <c r="AG10" s="200">
        <v>1.5999999999999999E-5</v>
      </c>
      <c r="AI10" s="221" t="s">
        <v>15</v>
      </c>
      <c r="AJ10" s="48">
        <v>0.01</v>
      </c>
      <c r="AK10" s="48">
        <v>0.3</v>
      </c>
      <c r="AL10" s="48">
        <v>1</v>
      </c>
      <c r="AM10" s="48">
        <v>3</v>
      </c>
      <c r="AN10" s="48">
        <v>10</v>
      </c>
      <c r="AO10" s="48">
        <v>30</v>
      </c>
      <c r="AP10" s="222">
        <v>100</v>
      </c>
    </row>
    <row r="11" spans="1:42">
      <c r="A11" s="17">
        <v>200</v>
      </c>
      <c r="K11" s="138">
        <v>100</v>
      </c>
      <c r="L11" s="30">
        <v>6.7000000000000004E-2</v>
      </c>
      <c r="S11" s="198" t="s">
        <v>268</v>
      </c>
      <c r="T11" s="23">
        <v>19.999977000000001</v>
      </c>
      <c r="U11" s="200">
        <v>8.9999999999999993E-3</v>
      </c>
      <c r="W11" s="197" t="s">
        <v>267</v>
      </c>
      <c r="X11" s="24">
        <v>199.99881999999999</v>
      </c>
      <c r="Y11" s="200">
        <v>0.11</v>
      </c>
      <c r="AA11" s="199" t="s">
        <v>108</v>
      </c>
      <c r="AB11" s="19">
        <v>20000.237000000001</v>
      </c>
      <c r="AC11" s="201">
        <v>45</v>
      </c>
      <c r="AE11" s="198" t="s">
        <v>268</v>
      </c>
      <c r="AF11" s="23">
        <v>20.00001</v>
      </c>
      <c r="AG11" s="200">
        <v>1.5999999999999999E-5</v>
      </c>
      <c r="AI11" s="221" t="s">
        <v>16</v>
      </c>
      <c r="AJ11" s="48">
        <v>0.05</v>
      </c>
      <c r="AK11" s="48">
        <v>0.15</v>
      </c>
      <c r="AL11" s="48">
        <v>0.5</v>
      </c>
      <c r="AM11" s="48">
        <v>1.5</v>
      </c>
      <c r="AN11" s="48">
        <v>5</v>
      </c>
      <c r="AO11" s="48">
        <v>15</v>
      </c>
      <c r="AP11" s="222">
        <v>50</v>
      </c>
    </row>
    <row r="12" spans="1:42">
      <c r="A12" s="166" t="s">
        <v>267</v>
      </c>
      <c r="K12" s="138">
        <v>50</v>
      </c>
      <c r="L12" s="30">
        <v>4.2000000000000003E-2</v>
      </c>
      <c r="S12" s="197">
        <v>10</v>
      </c>
      <c r="T12" s="21">
        <v>9.9999760000000002</v>
      </c>
      <c r="U12" s="200">
        <v>8.0000000000000002E-3</v>
      </c>
      <c r="W12" s="197">
        <v>100</v>
      </c>
      <c r="X12" s="24">
        <v>99.999763000000002</v>
      </c>
      <c r="Y12" s="200">
        <v>6.7000000000000004E-2</v>
      </c>
      <c r="AA12" s="199" t="s">
        <v>109</v>
      </c>
      <c r="AB12" s="19">
        <v>19999.831999999999</v>
      </c>
      <c r="AC12" s="201">
        <v>45</v>
      </c>
      <c r="AE12" s="197">
        <v>10</v>
      </c>
      <c r="AF12" s="21">
        <v>10.000023000000001</v>
      </c>
      <c r="AG12" s="200">
        <v>1.4E-5</v>
      </c>
      <c r="AI12" s="221" t="s">
        <v>17</v>
      </c>
      <c r="AJ12" s="48">
        <v>0.03</v>
      </c>
      <c r="AK12" s="48">
        <v>0.1</v>
      </c>
      <c r="AL12" s="48">
        <v>0.3</v>
      </c>
      <c r="AM12" s="48">
        <v>1</v>
      </c>
      <c r="AN12" s="48">
        <v>3</v>
      </c>
      <c r="AO12" s="48">
        <v>10</v>
      </c>
      <c r="AP12" s="222">
        <v>30</v>
      </c>
    </row>
    <row r="13" spans="1:42">
      <c r="A13" s="17">
        <v>100</v>
      </c>
      <c r="K13" s="138">
        <v>20</v>
      </c>
      <c r="L13" s="30">
        <v>3.5999999999999997E-2</v>
      </c>
      <c r="S13" s="197">
        <v>5</v>
      </c>
      <c r="T13" s="25">
        <v>5.000006</v>
      </c>
      <c r="U13" s="200">
        <v>7.0000000000000001E-3</v>
      </c>
      <c r="W13" s="197">
        <v>50</v>
      </c>
      <c r="X13" s="24">
        <v>49.999814000000001</v>
      </c>
      <c r="Y13" s="200">
        <v>4.2000000000000003E-2</v>
      </c>
      <c r="AA13" s="199" t="s">
        <v>110</v>
      </c>
      <c r="AB13" s="19">
        <v>19999.934000000001</v>
      </c>
      <c r="AC13" s="201">
        <v>45</v>
      </c>
      <c r="AE13" s="197">
        <v>5</v>
      </c>
      <c r="AF13" s="25">
        <v>5.0000030000000004</v>
      </c>
      <c r="AG13" s="200">
        <v>8.8999999999999995E-6</v>
      </c>
      <c r="AI13" s="221" t="s">
        <v>18</v>
      </c>
      <c r="AJ13" s="48">
        <v>2.5000000000000001E-2</v>
      </c>
      <c r="AK13" s="48">
        <v>0.08</v>
      </c>
      <c r="AL13" s="48">
        <v>0.25</v>
      </c>
      <c r="AM13" s="48">
        <v>0.8</v>
      </c>
      <c r="AN13" s="48">
        <v>2.5</v>
      </c>
      <c r="AO13" s="48">
        <v>8</v>
      </c>
      <c r="AP13" s="222">
        <v>25</v>
      </c>
    </row>
    <row r="14" spans="1:42">
      <c r="A14" s="17">
        <v>50</v>
      </c>
      <c r="K14" s="138">
        <v>10</v>
      </c>
      <c r="L14" s="30">
        <v>3.2000000000000001E-2</v>
      </c>
      <c r="S14" s="197">
        <v>2</v>
      </c>
      <c r="T14" s="18">
        <v>2.000013</v>
      </c>
      <c r="U14" s="200">
        <v>5.0000000000000001E-3</v>
      </c>
      <c r="W14" s="197">
        <v>20</v>
      </c>
      <c r="X14" s="26">
        <v>20.000008999999999</v>
      </c>
      <c r="Y14" s="200">
        <v>3.5999999999999997E-2</v>
      </c>
      <c r="AA14" s="199" t="s">
        <v>111</v>
      </c>
      <c r="AB14" s="19">
        <v>19999.845000000001</v>
      </c>
      <c r="AC14" s="201">
        <v>45</v>
      </c>
      <c r="AE14" s="197">
        <v>2</v>
      </c>
      <c r="AF14" s="18">
        <v>2.0000149999999999</v>
      </c>
      <c r="AG14" s="200">
        <v>7.0999999999999998E-6</v>
      </c>
      <c r="AI14" s="221" t="s">
        <v>252</v>
      </c>
      <c r="AJ14" s="48">
        <v>0.02</v>
      </c>
      <c r="AK14" s="48">
        <v>0.06</v>
      </c>
      <c r="AL14" s="48">
        <v>0.2</v>
      </c>
      <c r="AM14" s="48">
        <v>0.6</v>
      </c>
      <c r="AN14" s="48">
        <v>2</v>
      </c>
      <c r="AO14" s="48">
        <v>6</v>
      </c>
      <c r="AP14" s="222">
        <v>20</v>
      </c>
    </row>
    <row r="15" spans="1:42">
      <c r="A15" s="17">
        <v>20</v>
      </c>
      <c r="K15" s="138">
        <v>5</v>
      </c>
      <c r="L15" s="30">
        <v>2.9000000000000001E-2</v>
      </c>
      <c r="S15" s="198" t="s">
        <v>269</v>
      </c>
      <c r="T15" s="18">
        <v>2.0000149999999999</v>
      </c>
      <c r="U15" s="200">
        <v>5.0000000000000001E-3</v>
      </c>
      <c r="W15" s="197" t="s">
        <v>268</v>
      </c>
      <c r="X15" s="26">
        <v>20.000048</v>
      </c>
      <c r="Y15" s="200">
        <v>3.5999999999999997E-2</v>
      </c>
      <c r="AA15" s="199" t="s">
        <v>112</v>
      </c>
      <c r="AB15" s="19">
        <v>20000.802</v>
      </c>
      <c r="AC15" s="201">
        <v>45</v>
      </c>
      <c r="AE15" s="198" t="s">
        <v>269</v>
      </c>
      <c r="AF15" s="18">
        <v>2.000003</v>
      </c>
      <c r="AG15" s="200">
        <v>7.0999999999999998E-6</v>
      </c>
      <c r="AI15" s="221" t="s">
        <v>20</v>
      </c>
      <c r="AJ15" s="48">
        <v>1.4999999999999999E-2</v>
      </c>
      <c r="AK15" s="48">
        <v>0.05</v>
      </c>
      <c r="AL15" s="48">
        <v>0.15</v>
      </c>
      <c r="AM15" s="48">
        <v>0.5</v>
      </c>
      <c r="AN15" s="48">
        <v>1.5</v>
      </c>
      <c r="AO15" s="48">
        <v>5</v>
      </c>
      <c r="AP15" s="222">
        <v>15</v>
      </c>
    </row>
    <row r="16" spans="1:42">
      <c r="A16" s="166" t="s">
        <v>268</v>
      </c>
      <c r="K16" s="138">
        <v>2</v>
      </c>
      <c r="L16" s="30">
        <v>2.8000000000000001E-2</v>
      </c>
      <c r="S16" s="197">
        <v>1</v>
      </c>
      <c r="T16" s="18">
        <v>0.99999700000000002</v>
      </c>
      <c r="U16" s="200">
        <v>5.0000000000000001E-3</v>
      </c>
      <c r="W16" s="197">
        <v>10</v>
      </c>
      <c r="X16" s="24">
        <v>10.000017</v>
      </c>
      <c r="Y16" s="200">
        <v>3.2000000000000001E-2</v>
      </c>
      <c r="AA16" s="199" t="s">
        <v>113</v>
      </c>
      <c r="AB16" s="19">
        <v>19999.575000000001</v>
      </c>
      <c r="AC16" s="201">
        <v>45</v>
      </c>
      <c r="AE16" s="197">
        <v>1</v>
      </c>
      <c r="AF16" s="18">
        <v>1.000013</v>
      </c>
      <c r="AG16" s="200">
        <v>6.8000000000000001E-6</v>
      </c>
      <c r="AI16" s="221" t="s">
        <v>21</v>
      </c>
      <c r="AJ16" s="48">
        <v>1.2E-2</v>
      </c>
      <c r="AK16" s="48">
        <v>0.04</v>
      </c>
      <c r="AL16" s="48">
        <v>0.12</v>
      </c>
      <c r="AM16" s="48">
        <v>0.4</v>
      </c>
      <c r="AN16" s="48">
        <v>1.2</v>
      </c>
      <c r="AO16" s="48">
        <v>4</v>
      </c>
      <c r="AP16" s="222">
        <v>12</v>
      </c>
    </row>
    <row r="17" spans="1:42">
      <c r="A17" s="17">
        <v>10</v>
      </c>
      <c r="K17" s="138">
        <v>1</v>
      </c>
      <c r="L17" s="30">
        <v>2.7E-2</v>
      </c>
      <c r="S17" s="197">
        <v>0.5</v>
      </c>
      <c r="T17" s="19">
        <v>0.50001799999999996</v>
      </c>
      <c r="U17" s="201">
        <v>4.0000000000000001E-3</v>
      </c>
      <c r="W17" s="197">
        <v>5</v>
      </c>
      <c r="X17" s="24">
        <v>4.9999399999999996</v>
      </c>
      <c r="Y17" s="200">
        <v>0.05</v>
      </c>
      <c r="AA17" s="199" t="s">
        <v>114</v>
      </c>
      <c r="AB17" s="19">
        <v>20000.329000000002</v>
      </c>
      <c r="AC17" s="201">
        <v>45</v>
      </c>
      <c r="AE17" s="197">
        <v>0.5</v>
      </c>
      <c r="AF17" s="19">
        <f>500.011/1000</f>
        <v>0.50001099999999998</v>
      </c>
      <c r="AG17" s="201">
        <v>5.1000000000000004E-3</v>
      </c>
      <c r="AI17" s="221" t="s">
        <v>22</v>
      </c>
      <c r="AJ17" s="48">
        <v>0.01</v>
      </c>
      <c r="AK17" s="48">
        <v>0.03</v>
      </c>
      <c r="AL17" s="48">
        <v>0.1</v>
      </c>
      <c r="AM17" s="48">
        <v>0.3</v>
      </c>
      <c r="AN17" s="48">
        <v>1</v>
      </c>
      <c r="AO17" s="48">
        <v>3</v>
      </c>
      <c r="AP17" s="222">
        <v>10</v>
      </c>
    </row>
    <row r="18" spans="1:42">
      <c r="A18" s="17">
        <v>5</v>
      </c>
      <c r="K18" s="138">
        <v>0.5</v>
      </c>
      <c r="L18" s="30">
        <v>2.7E-2</v>
      </c>
      <c r="S18" s="197">
        <v>0.2</v>
      </c>
      <c r="T18" s="19">
        <v>0.200013</v>
      </c>
      <c r="U18" s="201">
        <v>3.0000000000000001E-3</v>
      </c>
      <c r="W18" s="197">
        <v>2</v>
      </c>
      <c r="X18" s="24">
        <v>2</v>
      </c>
      <c r="Y18" s="200">
        <v>0.04</v>
      </c>
      <c r="AA18" s="199" t="s">
        <v>115</v>
      </c>
      <c r="AB18" s="19">
        <v>20000.932000000001</v>
      </c>
      <c r="AC18" s="201">
        <v>45</v>
      </c>
      <c r="AE18" s="197">
        <v>0.2</v>
      </c>
      <c r="AF18" s="19">
        <f>200.001/1000</f>
        <v>0.20000100000000001</v>
      </c>
      <c r="AG18" s="201">
        <v>3.0999999999999999E-3</v>
      </c>
      <c r="AI18" s="221" t="s">
        <v>253</v>
      </c>
      <c r="AJ18" s="48">
        <v>8.0000000000000002E-3</v>
      </c>
      <c r="AK18" s="48">
        <v>2.5000000000000001E-2</v>
      </c>
      <c r="AL18" s="48">
        <v>0.08</v>
      </c>
      <c r="AM18" s="48">
        <v>0.25</v>
      </c>
      <c r="AN18" s="48">
        <v>0.8</v>
      </c>
      <c r="AO18" s="48">
        <v>2.5</v>
      </c>
      <c r="AP18" s="222" t="s">
        <v>24</v>
      </c>
    </row>
    <row r="19" spans="1:42">
      <c r="A19" s="17">
        <v>2</v>
      </c>
      <c r="K19" s="138">
        <v>0.2</v>
      </c>
      <c r="L19" s="30">
        <v>2.5999999999999999E-2</v>
      </c>
      <c r="S19" s="199" t="s">
        <v>277</v>
      </c>
      <c r="T19" s="19">
        <v>0.200015</v>
      </c>
      <c r="U19" s="201">
        <v>3.0000000000000001E-3</v>
      </c>
      <c r="W19" s="197" t="s">
        <v>269</v>
      </c>
      <c r="X19" s="27">
        <v>1.9999800000000001</v>
      </c>
      <c r="Y19" s="200">
        <v>0.04</v>
      </c>
      <c r="AA19" s="199" t="s">
        <v>116</v>
      </c>
      <c r="AB19" s="19">
        <v>20001.683000000001</v>
      </c>
      <c r="AC19" s="201">
        <v>45</v>
      </c>
      <c r="AE19" s="199" t="s">
        <v>277</v>
      </c>
      <c r="AF19" s="19">
        <f>199.999/1000</f>
        <v>0.19999899999999998</v>
      </c>
      <c r="AG19" s="201">
        <v>3.5999999999999999E-3</v>
      </c>
      <c r="AI19" s="221" t="s">
        <v>254</v>
      </c>
      <c r="AJ19" s="48">
        <v>6.0000000000000001E-3</v>
      </c>
      <c r="AK19" s="48">
        <v>0.02</v>
      </c>
      <c r="AL19" s="48">
        <v>0.06</v>
      </c>
      <c r="AM19" s="48">
        <v>0.2</v>
      </c>
      <c r="AN19" s="48">
        <v>0.6</v>
      </c>
      <c r="AO19" s="48">
        <v>2</v>
      </c>
      <c r="AP19" s="222" t="s">
        <v>24</v>
      </c>
    </row>
    <row r="20" spans="1:42">
      <c r="A20" s="166" t="s">
        <v>269</v>
      </c>
      <c r="K20" s="138">
        <v>0.1</v>
      </c>
      <c r="L20" s="30">
        <v>2.5999999999999999E-2</v>
      </c>
      <c r="S20" s="205">
        <v>0.1</v>
      </c>
      <c r="T20" s="206">
        <v>0.10000299999999999</v>
      </c>
      <c r="U20" s="207">
        <v>2E-3</v>
      </c>
      <c r="W20" s="205">
        <v>1</v>
      </c>
      <c r="X20" s="212">
        <v>1</v>
      </c>
      <c r="Y20" s="213">
        <v>0.03</v>
      </c>
      <c r="AA20" s="199" t="s">
        <v>117</v>
      </c>
      <c r="AB20" s="19">
        <v>10001.616900000001</v>
      </c>
      <c r="AC20" s="201">
        <v>26</v>
      </c>
      <c r="AE20" s="197">
        <v>0.1</v>
      </c>
      <c r="AF20" s="19">
        <f>100.009/1000</f>
        <v>0.100009</v>
      </c>
      <c r="AG20" s="201">
        <v>3.0999999999999999E-3</v>
      </c>
      <c r="AI20" s="221" t="s">
        <v>255</v>
      </c>
      <c r="AJ20" s="48">
        <v>5.0000000000000001E-3</v>
      </c>
      <c r="AK20" s="48">
        <v>1.4999999999999999E-2</v>
      </c>
      <c r="AL20" s="48">
        <v>0.05</v>
      </c>
      <c r="AM20" s="48">
        <v>0.15</v>
      </c>
      <c r="AN20" s="48">
        <v>0.5</v>
      </c>
      <c r="AO20" s="48">
        <v>1.5</v>
      </c>
      <c r="AP20" s="222" t="s">
        <v>24</v>
      </c>
    </row>
    <row r="21" spans="1:42">
      <c r="A21" s="17">
        <v>1</v>
      </c>
      <c r="K21" s="138">
        <v>0.05</v>
      </c>
      <c r="L21" s="30">
        <v>2.5999999999999999E-2</v>
      </c>
      <c r="AA21" s="199" t="s">
        <v>118</v>
      </c>
      <c r="AB21" s="19">
        <v>4998.9960000000001</v>
      </c>
      <c r="AC21" s="201">
        <v>5.7</v>
      </c>
      <c r="AE21" s="197">
        <v>0.05</v>
      </c>
      <c r="AF21" s="30">
        <f>50.005/1000</f>
        <v>5.0005000000000001E-2</v>
      </c>
      <c r="AG21" s="201">
        <v>2.3999999999999998E-3</v>
      </c>
      <c r="AI21" s="221" t="s">
        <v>256</v>
      </c>
      <c r="AJ21" s="48">
        <v>4.0000000000000001E-3</v>
      </c>
      <c r="AK21" s="48">
        <v>1.2E-2</v>
      </c>
      <c r="AL21" s="48">
        <v>0.04</v>
      </c>
      <c r="AM21" s="48">
        <v>0.12</v>
      </c>
      <c r="AN21" s="48">
        <v>0.4</v>
      </c>
      <c r="AO21" s="48" t="s">
        <v>24</v>
      </c>
      <c r="AP21" s="222" t="s">
        <v>24</v>
      </c>
    </row>
    <row r="22" spans="1:42">
      <c r="A22" s="17">
        <v>0.5</v>
      </c>
      <c r="K22" s="138">
        <v>0.02</v>
      </c>
      <c r="L22" s="30">
        <v>2.5999999999999999E-2</v>
      </c>
      <c r="AA22" s="199" t="s">
        <v>119</v>
      </c>
      <c r="AB22" s="19">
        <v>9999.5660000000007</v>
      </c>
      <c r="AC22" s="201">
        <v>26</v>
      </c>
      <c r="AE22" s="197">
        <v>0.02</v>
      </c>
      <c r="AF22" s="30">
        <f>20.003/1000</f>
        <v>2.0003E-2</v>
      </c>
      <c r="AG22" s="201">
        <v>2.2000000000000001E-3</v>
      </c>
      <c r="AI22" s="221" t="s">
        <v>257</v>
      </c>
      <c r="AJ22" s="48">
        <v>3.0000000000000001E-3</v>
      </c>
      <c r="AK22" s="48">
        <v>0.01</v>
      </c>
      <c r="AL22" s="48">
        <v>0.03</v>
      </c>
      <c r="AM22" s="48">
        <v>0.1</v>
      </c>
      <c r="AN22" s="48">
        <v>0.3</v>
      </c>
      <c r="AO22" s="48" t="s">
        <v>24</v>
      </c>
      <c r="AP22" s="222" t="s">
        <v>24</v>
      </c>
    </row>
    <row r="23" spans="1:42">
      <c r="A23" s="17">
        <v>0.2</v>
      </c>
      <c r="K23" s="138">
        <v>0.01</v>
      </c>
      <c r="L23" s="30">
        <v>2.5999999999999999E-2</v>
      </c>
      <c r="T23" s="28"/>
      <c r="AA23" s="199" t="s">
        <v>121</v>
      </c>
      <c r="AB23" s="22">
        <v>19999.312000000002</v>
      </c>
      <c r="AC23" s="201">
        <v>45</v>
      </c>
      <c r="AE23" s="93" t="s">
        <v>270</v>
      </c>
      <c r="AF23" s="30">
        <f>20.001/1000</f>
        <v>2.0001000000000001E-2</v>
      </c>
      <c r="AG23" s="201">
        <v>2E-3</v>
      </c>
      <c r="AI23" s="221" t="s">
        <v>258</v>
      </c>
      <c r="AJ23" s="48">
        <v>2E-3</v>
      </c>
      <c r="AK23" s="48">
        <v>8.0000000000000002E-3</v>
      </c>
      <c r="AL23" s="48">
        <v>2.5000000000000001E-2</v>
      </c>
      <c r="AM23" s="48">
        <v>0.08</v>
      </c>
      <c r="AN23" s="48">
        <v>0.25</v>
      </c>
      <c r="AO23" s="48" t="s">
        <v>24</v>
      </c>
      <c r="AP23" s="222" t="s">
        <v>24</v>
      </c>
    </row>
    <row r="24" spans="1:42">
      <c r="A24" s="19" t="s">
        <v>277</v>
      </c>
      <c r="K24" s="138">
        <v>5.0000000000000001E-3</v>
      </c>
      <c r="L24" s="30">
        <v>2.5999999999999999E-2</v>
      </c>
      <c r="AA24" s="199" t="s">
        <v>125</v>
      </c>
      <c r="AB24" s="22">
        <v>19999.189999999999</v>
      </c>
      <c r="AC24" s="201">
        <v>45</v>
      </c>
      <c r="AE24" s="93">
        <v>0.01</v>
      </c>
      <c r="AF24" s="30">
        <f>10.002/1000</f>
        <v>1.0002E-2</v>
      </c>
      <c r="AG24" s="201">
        <v>1.6000000000000001E-3</v>
      </c>
      <c r="AI24" s="221" t="s">
        <v>259</v>
      </c>
      <c r="AJ24" s="48">
        <v>2E-3</v>
      </c>
      <c r="AK24" s="48">
        <v>6.0000000000000001E-3</v>
      </c>
      <c r="AL24" s="48">
        <v>0.02</v>
      </c>
      <c r="AM24" s="48">
        <v>0.06</v>
      </c>
      <c r="AN24" s="48">
        <v>0.2</v>
      </c>
      <c r="AO24" s="48" t="s">
        <v>24</v>
      </c>
      <c r="AP24" s="222" t="s">
        <v>24</v>
      </c>
    </row>
    <row r="25" spans="1:42">
      <c r="A25" s="17">
        <v>0.1</v>
      </c>
      <c r="K25" s="138">
        <v>2E-3</v>
      </c>
      <c r="L25" s="30">
        <v>2.5999999999999999E-2</v>
      </c>
      <c r="AA25" s="199" t="s">
        <v>127</v>
      </c>
      <c r="AB25" s="22">
        <v>19999.069</v>
      </c>
      <c r="AC25" s="201">
        <v>45</v>
      </c>
      <c r="AE25" s="93">
        <v>5.0000000000000001E-3</v>
      </c>
      <c r="AF25" s="30">
        <f>5.002/1000</f>
        <v>5.0019999999999995E-3</v>
      </c>
      <c r="AG25" s="201">
        <v>1.8E-3</v>
      </c>
      <c r="AI25" s="221" t="s">
        <v>260</v>
      </c>
      <c r="AJ25" s="48">
        <v>2E-3</v>
      </c>
      <c r="AK25" s="48">
        <v>6.0000000000000001E-3</v>
      </c>
      <c r="AL25" s="48">
        <v>0.02</v>
      </c>
      <c r="AM25" s="48">
        <v>0.06</v>
      </c>
      <c r="AN25" s="48">
        <v>0.2</v>
      </c>
      <c r="AO25" s="48" t="s">
        <v>24</v>
      </c>
      <c r="AP25" s="222" t="s">
        <v>24</v>
      </c>
    </row>
    <row r="26" spans="1:42">
      <c r="A26" s="165">
        <v>0.05</v>
      </c>
      <c r="K26" s="138">
        <v>1E-3</v>
      </c>
      <c r="L26" s="30">
        <v>2.5999999999999999E-2</v>
      </c>
      <c r="AA26" s="199" t="s">
        <v>129</v>
      </c>
      <c r="AB26" s="22">
        <v>19999.281999999999</v>
      </c>
      <c r="AC26" s="201">
        <v>45</v>
      </c>
      <c r="AE26" s="93">
        <v>2E-3</v>
      </c>
      <c r="AF26" s="30">
        <f>2.002/1000</f>
        <v>2.0019999999999999E-3</v>
      </c>
      <c r="AG26" s="201">
        <v>1.4E-3</v>
      </c>
      <c r="AI26" s="226" t="s">
        <v>261</v>
      </c>
      <c r="AJ26" s="227">
        <v>2E-3</v>
      </c>
      <c r="AK26" s="227">
        <v>6.0000000000000001E-3</v>
      </c>
      <c r="AL26" s="227">
        <v>0.02</v>
      </c>
      <c r="AM26" s="227">
        <v>0.06</v>
      </c>
      <c r="AN26" s="227">
        <v>0.2</v>
      </c>
      <c r="AO26" s="227" t="s">
        <v>24</v>
      </c>
      <c r="AP26" s="228" t="s">
        <v>24</v>
      </c>
    </row>
    <row r="27" spans="1:42">
      <c r="A27" s="165">
        <v>0.02</v>
      </c>
      <c r="K27" s="138"/>
      <c r="L27" s="30"/>
      <c r="AA27" s="199" t="s">
        <v>131</v>
      </c>
      <c r="AB27" s="22">
        <v>19999.268</v>
      </c>
      <c r="AC27" s="201">
        <v>45</v>
      </c>
      <c r="AE27" s="93" t="s">
        <v>271</v>
      </c>
      <c r="AF27" s="187">
        <f>2/1000</f>
        <v>2E-3</v>
      </c>
      <c r="AG27" s="201">
        <v>1.4E-3</v>
      </c>
    </row>
    <row r="28" spans="1:42">
      <c r="A28" s="165" t="s">
        <v>270</v>
      </c>
      <c r="AA28" s="199" t="s">
        <v>132</v>
      </c>
      <c r="AB28" s="22">
        <v>19999.330000000002</v>
      </c>
      <c r="AC28" s="201">
        <v>45</v>
      </c>
      <c r="AE28" s="208">
        <v>1E-3</v>
      </c>
      <c r="AF28" s="37">
        <f>1.001/1000</f>
        <v>1.0009999999999999E-3</v>
      </c>
      <c r="AG28" s="207">
        <v>1.4E-3</v>
      </c>
    </row>
    <row r="29" spans="1:42">
      <c r="A29" s="165">
        <v>0.01</v>
      </c>
      <c r="AA29" s="199" t="s">
        <v>134</v>
      </c>
      <c r="AB29" s="22">
        <v>19999.21</v>
      </c>
      <c r="AC29" s="201">
        <v>45</v>
      </c>
    </row>
    <row r="30" spans="1:42">
      <c r="A30" s="165">
        <v>5.0000000000000001E-3</v>
      </c>
      <c r="AA30" s="199" t="s">
        <v>136</v>
      </c>
      <c r="AB30" s="22">
        <v>20000.486000000001</v>
      </c>
      <c r="AC30" s="201">
        <v>45</v>
      </c>
    </row>
    <row r="31" spans="1:42">
      <c r="A31" s="165">
        <v>2E-3</v>
      </c>
      <c r="AA31" s="217" t="s">
        <v>137</v>
      </c>
      <c r="AB31" s="218">
        <v>19999.254000000001</v>
      </c>
      <c r="AC31" s="207">
        <v>45</v>
      </c>
    </row>
    <row r="32" spans="1:42">
      <c r="A32" s="165" t="s">
        <v>271</v>
      </c>
    </row>
    <row r="33" spans="1:1">
      <c r="A33" s="165">
        <v>1E-3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MPE</vt:lpstr>
      <vt:lpstr>E2</vt:lpstr>
      <vt:lpstr>FORM Baru</vt:lpstr>
      <vt:lpstr>FORM </vt:lpstr>
      <vt:lpstr>Sheet1</vt:lpstr>
      <vt:lpstr>0,001</vt:lpstr>
      <vt:lpstr>Koreksi themohygro rotronic 202</vt:lpstr>
      <vt:lpstr>Sertifikat</vt:lpstr>
      <vt:lpstr>Database</vt:lpstr>
      <vt:lpstr>Sertifikat!Print_Area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drw1770</dc:creator>
  <cp:lastModifiedBy>Athalla Abhiyoga</cp:lastModifiedBy>
  <cp:lastPrinted>2026-01-25T13:38:48Z</cp:lastPrinted>
  <dcterms:created xsi:type="dcterms:W3CDTF">2022-04-27T09:33:00Z</dcterms:created>
  <dcterms:modified xsi:type="dcterms:W3CDTF">2026-01-26T08:51:49Z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47232675569D4D7DA5E853AA895FF55A_12</vt:lpwstr>
  </property>
  <property fmtid="{D5CDD505-2E9C-101B-9397-08002B2CF9AE}" pid="3" name="KSOProductBuildVer">
    <vt:lpwstr>1033-12.2.0.21546</vt:lpwstr>
  </property>
</Properties>
</file>