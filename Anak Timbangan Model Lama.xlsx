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e65d6d73070849b/Desktop/"/>
    </mc:Choice>
  </mc:AlternateContent>
  <xr:revisionPtr revIDLastSave="927" documentId="8_{4D1FEEBD-103C-4006-8EB4-F9D490520641}" xr6:coauthVersionLast="47" xr6:coauthVersionMax="47" xr10:uidLastSave="{F7905910-613B-404E-BAFC-6D93A0506A04}"/>
  <bookViews>
    <workbookView xWindow="-108" yWindow="-108" windowWidth="23256" windowHeight="12456" firstSheet="1" activeTab="1" xr2:uid="{00000000-000D-0000-FFFF-FFFF00000000}"/>
  </bookViews>
  <sheets>
    <sheet name="E2" sheetId="2" state="hidden" r:id="rId1"/>
    <sheet name="U95" sheetId="3" r:id="rId2"/>
    <sheet name="Koreksi themohygro rotronic 202" sheetId="5" r:id="rId3"/>
    <sheet name="Sertifikat" sheetId="4" r:id="rId4"/>
    <sheet name="0,001" sheetId="7" r:id="rId5"/>
    <sheet name="0,002" sheetId="8" r:id="rId6"/>
    <sheet name="0,002t" sheetId="9" r:id="rId7"/>
    <sheet name="0,005" sheetId="10" r:id="rId8"/>
    <sheet name="0,01" sheetId="11" r:id="rId9"/>
    <sheet name="0,02" sheetId="12" r:id="rId10"/>
    <sheet name="0,02t" sheetId="13" r:id="rId11"/>
    <sheet name="0,05" sheetId="14" r:id="rId12"/>
    <sheet name="0,1" sheetId="15" r:id="rId13"/>
    <sheet name="0,2" sheetId="16" r:id="rId14"/>
    <sheet name="0,2t" sheetId="17" r:id="rId15"/>
    <sheet name="0,5" sheetId="18" r:id="rId16"/>
    <sheet name="1" sheetId="19" r:id="rId17"/>
    <sheet name="2" sheetId="20" r:id="rId18"/>
    <sheet name="2t" sheetId="21" r:id="rId19"/>
    <sheet name="5" sheetId="22" r:id="rId20"/>
    <sheet name="10" sheetId="23" r:id="rId21"/>
    <sheet name="20" sheetId="24" r:id="rId22"/>
    <sheet name="20t" sheetId="25" r:id="rId23"/>
    <sheet name="50" sheetId="26" r:id="rId24"/>
    <sheet name="100" sheetId="27" r:id="rId25"/>
    <sheet name="200" sheetId="28" r:id="rId26"/>
    <sheet name="200t" sheetId="29" r:id="rId27"/>
    <sheet name="500" sheetId="30" r:id="rId28"/>
    <sheet name="1000" sheetId="31" r:id="rId29"/>
    <sheet name="2000" sheetId="32" r:id="rId30"/>
    <sheet name="2000t" sheetId="33" r:id="rId31"/>
  </sheets>
  <definedNames>
    <definedName name="_xlnm.Print_Area" localSheetId="3">Sertifikat!$A$1:$L$158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2" roundtripDataChecksum="y3wGe1djRfikFjQ6SUIgrvB6eP4yxitwOvjRuiJY5gI="/>
    </ext>
  </extLst>
</workbook>
</file>

<file path=xl/calcChain.xml><?xml version="1.0" encoding="utf-8"?>
<calcChain xmlns="http://schemas.openxmlformats.org/spreadsheetml/2006/main">
  <c r="H131" i="4" l="1"/>
  <c r="H132" i="4"/>
  <c r="H130" i="4"/>
  <c r="H129" i="4"/>
  <c r="H128" i="4"/>
  <c r="H127" i="4"/>
  <c r="H126" i="4"/>
  <c r="H125" i="4"/>
  <c r="H124" i="4"/>
  <c r="H123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G118" i="4"/>
  <c r="F132" i="4"/>
  <c r="F131" i="4"/>
  <c r="F130" i="4"/>
  <c r="F129" i="4"/>
  <c r="F128" i="4"/>
  <c r="F127" i="4"/>
  <c r="F126" i="4"/>
  <c r="F125" i="4"/>
  <c r="F124" i="4"/>
  <c r="F123" i="4"/>
  <c r="F103" i="4"/>
  <c r="F102" i="4"/>
  <c r="C52" i="22"/>
  <c r="F101" i="4"/>
  <c r="F100" i="4"/>
  <c r="F99" i="4"/>
  <c r="F98" i="4"/>
  <c r="F97" i="4"/>
  <c r="C52" i="16"/>
  <c r="C53" i="16"/>
  <c r="G84" i="16"/>
  <c r="F95" i="4"/>
  <c r="F94" i="4"/>
  <c r="F93" i="4"/>
  <c r="F92" i="4"/>
  <c r="F91" i="4"/>
  <c r="F90" i="4"/>
  <c r="F89" i="4"/>
  <c r="F88" i="4"/>
  <c r="F87" i="4"/>
  <c r="G117" i="4"/>
  <c r="H27" i="4"/>
  <c r="G85" i="33"/>
  <c r="G92" i="14"/>
  <c r="E97" i="13"/>
  <c r="E100" i="13"/>
  <c r="G92" i="13"/>
  <c r="G92" i="12"/>
  <c r="E99" i="11"/>
  <c r="G92" i="11"/>
  <c r="E99" i="10"/>
  <c r="G92" i="10"/>
  <c r="G92" i="9"/>
  <c r="E101" i="8"/>
  <c r="G92" i="8"/>
  <c r="G92" i="7"/>
  <c r="E101" i="33" l="1"/>
  <c r="G92" i="33"/>
  <c r="E98" i="33"/>
  <c r="E101" i="32"/>
  <c r="G92" i="32"/>
  <c r="E101" i="31"/>
  <c r="G92" i="31"/>
  <c r="E101" i="30"/>
  <c r="G92" i="30"/>
  <c r="E100" i="29"/>
  <c r="G92" i="29"/>
  <c r="E101" i="29"/>
  <c r="E101" i="28"/>
  <c r="G92" i="28"/>
  <c r="G92" i="27"/>
  <c r="E101" i="27"/>
  <c r="E101" i="26"/>
  <c r="G92" i="26"/>
  <c r="E101" i="25"/>
  <c r="G92" i="25"/>
  <c r="E99" i="24"/>
  <c r="E101" i="24"/>
  <c r="G92" i="24"/>
  <c r="E101" i="23"/>
  <c r="G92" i="23"/>
  <c r="E99" i="22"/>
  <c r="E101" i="22"/>
  <c r="G92" i="22"/>
  <c r="E99" i="21"/>
  <c r="G92" i="21"/>
  <c r="E101" i="21"/>
  <c r="E101" i="20"/>
  <c r="G92" i="20"/>
  <c r="E99" i="19"/>
  <c r="E101" i="19"/>
  <c r="G92" i="19"/>
  <c r="E101" i="18"/>
  <c r="G92" i="18"/>
  <c r="E101" i="17"/>
  <c r="G92" i="17"/>
  <c r="E101" i="16"/>
  <c r="G92" i="16"/>
  <c r="E98" i="14"/>
  <c r="E101" i="15"/>
  <c r="G92" i="15"/>
  <c r="E101" i="14"/>
  <c r="E101" i="13"/>
  <c r="C92" i="13"/>
  <c r="E101" i="12"/>
  <c r="E101" i="11"/>
  <c r="E98" i="10"/>
  <c r="E101" i="10"/>
  <c r="E98" i="9"/>
  <c r="E101" i="9"/>
  <c r="E97" i="8"/>
  <c r="E98" i="8"/>
  <c r="E100" i="8"/>
  <c r="C92" i="8"/>
  <c r="E101" i="7"/>
  <c r="E100" i="7"/>
  <c r="C92" i="7"/>
  <c r="E97" i="7" l="1"/>
  <c r="C53" i="33"/>
  <c r="C52" i="33"/>
  <c r="C53" i="32"/>
  <c r="C52" i="32"/>
  <c r="C53" i="31"/>
  <c r="C52" i="31"/>
  <c r="C53" i="30"/>
  <c r="C52" i="30"/>
  <c r="C53" i="29"/>
  <c r="C52" i="29"/>
  <c r="C53" i="28"/>
  <c r="C52" i="28"/>
  <c r="C53" i="27"/>
  <c r="C52" i="27"/>
  <c r="C53" i="26"/>
  <c r="C52" i="26"/>
  <c r="C53" i="25"/>
  <c r="C52" i="25"/>
  <c r="C53" i="24"/>
  <c r="C52" i="24"/>
  <c r="C53" i="23"/>
  <c r="C52" i="23"/>
  <c r="C53" i="22"/>
  <c r="C53" i="21"/>
  <c r="C52" i="21"/>
  <c r="C53" i="20"/>
  <c r="C52" i="20"/>
  <c r="C53" i="19"/>
  <c r="C52" i="19"/>
  <c r="C53" i="18"/>
  <c r="C52" i="18"/>
  <c r="C53" i="17"/>
  <c r="C52" i="17"/>
  <c r="C53" i="15"/>
  <c r="C52" i="15"/>
  <c r="C53" i="14"/>
  <c r="C52" i="14"/>
  <c r="C53" i="13"/>
  <c r="C52" i="13"/>
  <c r="C53" i="12"/>
  <c r="C52" i="12"/>
  <c r="C53" i="11"/>
  <c r="C52" i="11"/>
  <c r="C53" i="10"/>
  <c r="C52" i="10"/>
  <c r="C53" i="9"/>
  <c r="C52" i="9"/>
  <c r="C53" i="8"/>
  <c r="C52" i="8"/>
  <c r="C53" i="7"/>
  <c r="C52" i="7"/>
  <c r="E100" i="33" l="1"/>
  <c r="H100" i="33" s="1"/>
  <c r="J100" i="33" s="1"/>
  <c r="F99" i="33"/>
  <c r="H99" i="33"/>
  <c r="J99" i="33" s="1"/>
  <c r="E97" i="33"/>
  <c r="H97" i="33" s="1"/>
  <c r="J97" i="33" s="1"/>
  <c r="L97" i="33" s="1"/>
  <c r="C92" i="33"/>
  <c r="H101" i="33" s="1"/>
  <c r="J101" i="33" s="1"/>
  <c r="G82" i="33"/>
  <c r="G76" i="33"/>
  <c r="G74" i="33"/>
  <c r="G72" i="33"/>
  <c r="G70" i="33"/>
  <c r="G68" i="33"/>
  <c r="G66" i="33"/>
  <c r="G64" i="33"/>
  <c r="G62" i="33"/>
  <c r="G60" i="33"/>
  <c r="G58" i="33"/>
  <c r="C42" i="33"/>
  <c r="E42" i="33" s="1"/>
  <c r="E41" i="33"/>
  <c r="E40" i="33"/>
  <c r="C39" i="33"/>
  <c r="C36" i="33"/>
  <c r="H100" i="32"/>
  <c r="J100" i="32" s="1"/>
  <c r="E100" i="32"/>
  <c r="F99" i="32"/>
  <c r="H99" i="32"/>
  <c r="J99" i="32" s="1"/>
  <c r="E97" i="32"/>
  <c r="H97" i="32" s="1"/>
  <c r="J97" i="32" s="1"/>
  <c r="C92" i="32"/>
  <c r="H101" i="32" s="1"/>
  <c r="J101" i="32" s="1"/>
  <c r="G82" i="32"/>
  <c r="G76" i="32"/>
  <c r="G74" i="32"/>
  <c r="G72" i="32"/>
  <c r="G70" i="32"/>
  <c r="G68" i="32"/>
  <c r="G66" i="32"/>
  <c r="G64" i="32"/>
  <c r="G62" i="32"/>
  <c r="G60" i="32"/>
  <c r="G58" i="32"/>
  <c r="C42" i="32"/>
  <c r="E42" i="32" s="1"/>
  <c r="E41" i="32"/>
  <c r="E40" i="32"/>
  <c r="C39" i="32"/>
  <c r="C36" i="32"/>
  <c r="E100" i="31"/>
  <c r="H100" i="31" s="1"/>
  <c r="J100" i="31" s="1"/>
  <c r="F99" i="31"/>
  <c r="H99" i="31"/>
  <c r="J99" i="31" s="1"/>
  <c r="E97" i="31"/>
  <c r="H97" i="31" s="1"/>
  <c r="J97" i="31" s="1"/>
  <c r="C92" i="31"/>
  <c r="H101" i="31" s="1"/>
  <c r="J101" i="31" s="1"/>
  <c r="G82" i="31"/>
  <c r="G76" i="31"/>
  <c r="G74" i="31"/>
  <c r="G72" i="31"/>
  <c r="G70" i="31"/>
  <c r="G68" i="31"/>
  <c r="G66" i="31"/>
  <c r="G64" i="31"/>
  <c r="G62" i="31"/>
  <c r="G60" i="31"/>
  <c r="G58" i="31"/>
  <c r="E42" i="31"/>
  <c r="C42" i="31"/>
  <c r="E41" i="31"/>
  <c r="E40" i="31"/>
  <c r="C39" i="31"/>
  <c r="C36" i="31"/>
  <c r="E100" i="30"/>
  <c r="H100" i="30" s="1"/>
  <c r="J100" i="30" s="1"/>
  <c r="F99" i="30"/>
  <c r="H99" i="30"/>
  <c r="J99" i="30" s="1"/>
  <c r="E97" i="30"/>
  <c r="H97" i="30" s="1"/>
  <c r="J97" i="30" s="1"/>
  <c r="C92" i="30"/>
  <c r="H101" i="30" s="1"/>
  <c r="J101" i="30" s="1"/>
  <c r="G82" i="30"/>
  <c r="G76" i="30"/>
  <c r="G74" i="30"/>
  <c r="G72" i="30"/>
  <c r="G70" i="30"/>
  <c r="G68" i="30"/>
  <c r="G66" i="30"/>
  <c r="G64" i="30"/>
  <c r="G62" i="30"/>
  <c r="G60" i="30"/>
  <c r="G58" i="30"/>
  <c r="C42" i="30"/>
  <c r="E42" i="30" s="1"/>
  <c r="E41" i="30"/>
  <c r="E40" i="30"/>
  <c r="C39" i="30"/>
  <c r="C36" i="30"/>
  <c r="H100" i="29"/>
  <c r="J100" i="29" s="1"/>
  <c r="F99" i="29"/>
  <c r="H99" i="29"/>
  <c r="J99" i="29" s="1"/>
  <c r="E97" i="29"/>
  <c r="H97" i="29" s="1"/>
  <c r="J97" i="29" s="1"/>
  <c r="C92" i="29"/>
  <c r="H101" i="29" s="1"/>
  <c r="J101" i="29" s="1"/>
  <c r="G82" i="29"/>
  <c r="G76" i="29"/>
  <c r="G74" i="29"/>
  <c r="G72" i="29"/>
  <c r="G70" i="29"/>
  <c r="G68" i="29"/>
  <c r="G66" i="29"/>
  <c r="G64" i="29"/>
  <c r="G62" i="29"/>
  <c r="G60" i="29"/>
  <c r="G58" i="29"/>
  <c r="C42" i="29"/>
  <c r="E42" i="29" s="1"/>
  <c r="E41" i="29"/>
  <c r="E40" i="29"/>
  <c r="C39" i="29"/>
  <c r="C36" i="29"/>
  <c r="H100" i="28"/>
  <c r="J100" i="28" s="1"/>
  <c r="E100" i="28"/>
  <c r="F99" i="28"/>
  <c r="H99" i="28"/>
  <c r="J99" i="28" s="1"/>
  <c r="E97" i="28"/>
  <c r="H97" i="28" s="1"/>
  <c r="J97" i="28" s="1"/>
  <c r="L97" i="28" s="1"/>
  <c r="C92" i="28"/>
  <c r="H101" i="28" s="1"/>
  <c r="J101" i="28" s="1"/>
  <c r="G82" i="28"/>
  <c r="G76" i="28"/>
  <c r="G74" i="28"/>
  <c r="G72" i="28"/>
  <c r="G70" i="28"/>
  <c r="G68" i="28"/>
  <c r="G66" i="28"/>
  <c r="G64" i="28"/>
  <c r="G62" i="28"/>
  <c r="G60" i="28"/>
  <c r="G58" i="28"/>
  <c r="C42" i="28"/>
  <c r="E42" i="28" s="1"/>
  <c r="E41" i="28"/>
  <c r="E40" i="28"/>
  <c r="C39" i="28"/>
  <c r="C36" i="28"/>
  <c r="H101" i="27"/>
  <c r="J101" i="27" s="1"/>
  <c r="E100" i="27"/>
  <c r="H100" i="27" s="1"/>
  <c r="J100" i="27" s="1"/>
  <c r="F99" i="27"/>
  <c r="H99" i="27"/>
  <c r="J99" i="27" s="1"/>
  <c r="E97" i="27"/>
  <c r="H97" i="27" s="1"/>
  <c r="J97" i="27" s="1"/>
  <c r="C92" i="27"/>
  <c r="G82" i="27"/>
  <c r="G76" i="27"/>
  <c r="G74" i="27"/>
  <c r="G72" i="27"/>
  <c r="G70" i="27"/>
  <c r="G68" i="27"/>
  <c r="G66" i="27"/>
  <c r="G64" i="27"/>
  <c r="G62" i="27"/>
  <c r="G60" i="27"/>
  <c r="G58" i="27"/>
  <c r="C42" i="27"/>
  <c r="E42" i="27" s="1"/>
  <c r="E41" i="27"/>
  <c r="E40" i="27"/>
  <c r="C39" i="27"/>
  <c r="C36" i="27"/>
  <c r="E100" i="26"/>
  <c r="H100" i="26" s="1"/>
  <c r="J100" i="26" s="1"/>
  <c r="F99" i="26"/>
  <c r="H99" i="26"/>
  <c r="J99" i="26" s="1"/>
  <c r="E97" i="26"/>
  <c r="H97" i="26" s="1"/>
  <c r="J97" i="26" s="1"/>
  <c r="C92" i="26"/>
  <c r="H101" i="26" s="1"/>
  <c r="J101" i="26" s="1"/>
  <c r="G82" i="26"/>
  <c r="G76" i="26"/>
  <c r="G74" i="26"/>
  <c r="G72" i="26"/>
  <c r="G70" i="26"/>
  <c r="G68" i="26"/>
  <c r="G66" i="26"/>
  <c r="G64" i="26"/>
  <c r="G62" i="26"/>
  <c r="G60" i="26"/>
  <c r="G58" i="26"/>
  <c r="C42" i="26"/>
  <c r="E42" i="26" s="1"/>
  <c r="E41" i="26"/>
  <c r="E40" i="26"/>
  <c r="C39" i="26"/>
  <c r="C36" i="26"/>
  <c r="H101" i="25"/>
  <c r="J101" i="25" s="1"/>
  <c r="E100" i="25"/>
  <c r="H100" i="25" s="1"/>
  <c r="J100" i="25" s="1"/>
  <c r="F99" i="25"/>
  <c r="H99" i="25"/>
  <c r="J99" i="25" s="1"/>
  <c r="E97" i="25"/>
  <c r="H97" i="25" s="1"/>
  <c r="J97" i="25" s="1"/>
  <c r="L97" i="25" s="1"/>
  <c r="C92" i="25"/>
  <c r="G82" i="25"/>
  <c r="G76" i="25"/>
  <c r="G74" i="25"/>
  <c r="G72" i="25"/>
  <c r="G70" i="25"/>
  <c r="G68" i="25"/>
  <c r="G66" i="25"/>
  <c r="G64" i="25"/>
  <c r="G62" i="25"/>
  <c r="G60" i="25"/>
  <c r="G58" i="25"/>
  <c r="C42" i="25"/>
  <c r="E42" i="25" s="1"/>
  <c r="E41" i="25"/>
  <c r="E40" i="25"/>
  <c r="C39" i="25"/>
  <c r="C36" i="25"/>
  <c r="E100" i="24"/>
  <c r="H100" i="24" s="1"/>
  <c r="J100" i="24" s="1"/>
  <c r="F99" i="24"/>
  <c r="H99" i="24"/>
  <c r="J99" i="24" s="1"/>
  <c r="E97" i="24"/>
  <c r="H97" i="24" s="1"/>
  <c r="J97" i="24" s="1"/>
  <c r="L97" i="24" s="1"/>
  <c r="C92" i="24"/>
  <c r="H101" i="24" s="1"/>
  <c r="J101" i="24" s="1"/>
  <c r="G82" i="24"/>
  <c r="G76" i="24"/>
  <c r="G74" i="24"/>
  <c r="G72" i="24"/>
  <c r="G70" i="24"/>
  <c r="G68" i="24"/>
  <c r="G66" i="24"/>
  <c r="G64" i="24"/>
  <c r="G62" i="24"/>
  <c r="G60" i="24"/>
  <c r="G58" i="24"/>
  <c r="C42" i="24"/>
  <c r="E42" i="24" s="1"/>
  <c r="E41" i="24"/>
  <c r="E40" i="24"/>
  <c r="C39" i="24"/>
  <c r="C36" i="24"/>
  <c r="H101" i="23"/>
  <c r="J101" i="23" s="1"/>
  <c r="E100" i="23"/>
  <c r="H100" i="23" s="1"/>
  <c r="J100" i="23" s="1"/>
  <c r="F99" i="23"/>
  <c r="H99" i="23"/>
  <c r="J99" i="23" s="1"/>
  <c r="E97" i="23"/>
  <c r="H97" i="23" s="1"/>
  <c r="J97" i="23" s="1"/>
  <c r="L97" i="23" s="1"/>
  <c r="C92" i="23"/>
  <c r="G82" i="23"/>
  <c r="G76" i="23"/>
  <c r="G74" i="23"/>
  <c r="G72" i="23"/>
  <c r="G70" i="23"/>
  <c r="G68" i="23"/>
  <c r="G66" i="23"/>
  <c r="G64" i="23"/>
  <c r="G62" i="23"/>
  <c r="G60" i="23"/>
  <c r="G58" i="23"/>
  <c r="C42" i="23"/>
  <c r="E42" i="23" s="1"/>
  <c r="E41" i="23"/>
  <c r="E40" i="23"/>
  <c r="C39" i="23"/>
  <c r="C36" i="23"/>
  <c r="H101" i="22"/>
  <c r="J101" i="22" s="1"/>
  <c r="E100" i="22"/>
  <c r="H100" i="22" s="1"/>
  <c r="J100" i="22" s="1"/>
  <c r="F99" i="22"/>
  <c r="H99" i="22"/>
  <c r="J99" i="22" s="1"/>
  <c r="E97" i="22"/>
  <c r="H97" i="22" s="1"/>
  <c r="J97" i="22" s="1"/>
  <c r="K97" i="22" s="1"/>
  <c r="C92" i="22"/>
  <c r="G82" i="22"/>
  <c r="G76" i="22"/>
  <c r="G74" i="22"/>
  <c r="G72" i="22"/>
  <c r="G70" i="22"/>
  <c r="G68" i="22"/>
  <c r="G66" i="22"/>
  <c r="G64" i="22"/>
  <c r="G62" i="22"/>
  <c r="G60" i="22"/>
  <c r="G58" i="22"/>
  <c r="C42" i="22"/>
  <c r="E42" i="22" s="1"/>
  <c r="E41" i="22"/>
  <c r="E40" i="22"/>
  <c r="C39" i="22"/>
  <c r="C36" i="22"/>
  <c r="E100" i="21"/>
  <c r="H100" i="21" s="1"/>
  <c r="J100" i="21" s="1"/>
  <c r="F99" i="21"/>
  <c r="H99" i="21"/>
  <c r="J99" i="21" s="1"/>
  <c r="E97" i="21"/>
  <c r="H97" i="21" s="1"/>
  <c r="J97" i="21" s="1"/>
  <c r="C92" i="21"/>
  <c r="H101" i="21" s="1"/>
  <c r="J101" i="21" s="1"/>
  <c r="G82" i="21"/>
  <c r="G76" i="21"/>
  <c r="G74" i="21"/>
  <c r="G72" i="21"/>
  <c r="G70" i="21"/>
  <c r="G68" i="21"/>
  <c r="G66" i="21"/>
  <c r="G64" i="21"/>
  <c r="G78" i="21" s="1"/>
  <c r="G84" i="21" s="1"/>
  <c r="G85" i="21" s="1"/>
  <c r="G62" i="21"/>
  <c r="G60" i="21"/>
  <c r="G58" i="21"/>
  <c r="C42" i="21"/>
  <c r="E42" i="21" s="1"/>
  <c r="E41" i="21"/>
  <c r="E40" i="21"/>
  <c r="C39" i="21"/>
  <c r="C36" i="21"/>
  <c r="H101" i="20"/>
  <c r="J101" i="20" s="1"/>
  <c r="E100" i="20"/>
  <c r="H100" i="20" s="1"/>
  <c r="J100" i="20" s="1"/>
  <c r="F99" i="20"/>
  <c r="H99" i="20"/>
  <c r="J99" i="20" s="1"/>
  <c r="E97" i="20"/>
  <c r="H97" i="20" s="1"/>
  <c r="J97" i="20" s="1"/>
  <c r="C92" i="20"/>
  <c r="G82" i="20"/>
  <c r="G76" i="20"/>
  <c r="G74" i="20"/>
  <c r="G72" i="20"/>
  <c r="G70" i="20"/>
  <c r="G68" i="20"/>
  <c r="G66" i="20"/>
  <c r="G64" i="20"/>
  <c r="G62" i="20"/>
  <c r="G60" i="20"/>
  <c r="G58" i="20"/>
  <c r="C42" i="20"/>
  <c r="E42" i="20" s="1"/>
  <c r="E41" i="20"/>
  <c r="E40" i="20"/>
  <c r="C39" i="20"/>
  <c r="C36" i="20"/>
  <c r="H101" i="19"/>
  <c r="J101" i="19" s="1"/>
  <c r="E100" i="19"/>
  <c r="H100" i="19" s="1"/>
  <c r="J100" i="19" s="1"/>
  <c r="F99" i="19"/>
  <c r="H99" i="19"/>
  <c r="J99" i="19" s="1"/>
  <c r="E97" i="19"/>
  <c r="H97" i="19" s="1"/>
  <c r="J97" i="19" s="1"/>
  <c r="C92" i="19"/>
  <c r="G82" i="19"/>
  <c r="G76" i="19"/>
  <c r="G74" i="19"/>
  <c r="G72" i="19"/>
  <c r="G70" i="19"/>
  <c r="G68" i="19"/>
  <c r="G66" i="19"/>
  <c r="G64" i="19"/>
  <c r="G62" i="19"/>
  <c r="G60" i="19"/>
  <c r="G58" i="19"/>
  <c r="C42" i="19"/>
  <c r="E42" i="19" s="1"/>
  <c r="E41" i="19"/>
  <c r="E40" i="19"/>
  <c r="C39" i="19"/>
  <c r="C36" i="19"/>
  <c r="E100" i="18"/>
  <c r="H100" i="18" s="1"/>
  <c r="J100" i="18" s="1"/>
  <c r="F99" i="18"/>
  <c r="H99" i="18"/>
  <c r="J99" i="18" s="1"/>
  <c r="E97" i="18"/>
  <c r="H97" i="18" s="1"/>
  <c r="J97" i="18" s="1"/>
  <c r="K97" i="18" s="1"/>
  <c r="C92" i="18"/>
  <c r="H101" i="18" s="1"/>
  <c r="J101" i="18" s="1"/>
  <c r="G82" i="18"/>
  <c r="G76" i="18"/>
  <c r="G74" i="18"/>
  <c r="G72" i="18"/>
  <c r="G70" i="18"/>
  <c r="G68" i="18"/>
  <c r="G66" i="18"/>
  <c r="G64" i="18"/>
  <c r="G62" i="18"/>
  <c r="G60" i="18"/>
  <c r="G58" i="18"/>
  <c r="C42" i="18"/>
  <c r="E42" i="18" s="1"/>
  <c r="E41" i="18"/>
  <c r="E40" i="18"/>
  <c r="C39" i="18"/>
  <c r="C36" i="18"/>
  <c r="E100" i="17"/>
  <c r="H100" i="17" s="1"/>
  <c r="J100" i="17" s="1"/>
  <c r="F99" i="17"/>
  <c r="H99" i="17"/>
  <c r="J99" i="17" s="1"/>
  <c r="E97" i="17"/>
  <c r="H97" i="17" s="1"/>
  <c r="J97" i="17" s="1"/>
  <c r="L97" i="17" s="1"/>
  <c r="C92" i="17"/>
  <c r="H101" i="17" s="1"/>
  <c r="J101" i="17" s="1"/>
  <c r="G82" i="17"/>
  <c r="G76" i="17"/>
  <c r="G74" i="17"/>
  <c r="G72" i="17"/>
  <c r="G70" i="17"/>
  <c r="G68" i="17"/>
  <c r="G66" i="17"/>
  <c r="G64" i="17"/>
  <c r="G62" i="17"/>
  <c r="G60" i="17"/>
  <c r="G58" i="17"/>
  <c r="C42" i="17"/>
  <c r="E42" i="17" s="1"/>
  <c r="E41" i="17"/>
  <c r="E40" i="17"/>
  <c r="C39" i="17"/>
  <c r="C36" i="17"/>
  <c r="H101" i="16"/>
  <c r="J101" i="16" s="1"/>
  <c r="H100" i="16"/>
  <c r="J100" i="16" s="1"/>
  <c r="E100" i="16"/>
  <c r="F99" i="16"/>
  <c r="H99" i="16"/>
  <c r="J99" i="16" s="1"/>
  <c r="E97" i="16"/>
  <c r="H97" i="16" s="1"/>
  <c r="J97" i="16" s="1"/>
  <c r="K97" i="16" s="1"/>
  <c r="C92" i="16"/>
  <c r="G82" i="16"/>
  <c r="G76" i="16"/>
  <c r="G74" i="16"/>
  <c r="G72" i="16"/>
  <c r="G70" i="16"/>
  <c r="G68" i="16"/>
  <c r="G66" i="16"/>
  <c r="G64" i="16"/>
  <c r="G62" i="16"/>
  <c r="G60" i="16"/>
  <c r="G58" i="16"/>
  <c r="C42" i="16"/>
  <c r="E42" i="16" s="1"/>
  <c r="E41" i="16"/>
  <c r="E40" i="16"/>
  <c r="C39" i="16"/>
  <c r="C36" i="16"/>
  <c r="E100" i="15"/>
  <c r="H100" i="15" s="1"/>
  <c r="J100" i="15" s="1"/>
  <c r="F99" i="15"/>
  <c r="H99" i="15"/>
  <c r="J99" i="15" s="1"/>
  <c r="E97" i="15"/>
  <c r="H97" i="15" s="1"/>
  <c r="J97" i="15" s="1"/>
  <c r="C92" i="15"/>
  <c r="H101" i="15" s="1"/>
  <c r="J101" i="15" s="1"/>
  <c r="G82" i="15"/>
  <c r="G76" i="15"/>
  <c r="G74" i="15"/>
  <c r="G72" i="15"/>
  <c r="G70" i="15"/>
  <c r="G68" i="15"/>
  <c r="G66" i="15"/>
  <c r="G64" i="15"/>
  <c r="G62" i="15"/>
  <c r="G60" i="15"/>
  <c r="G58" i="15"/>
  <c r="C42" i="15"/>
  <c r="E42" i="15" s="1"/>
  <c r="E41" i="15"/>
  <c r="E40" i="15"/>
  <c r="C39" i="15"/>
  <c r="C36" i="15"/>
  <c r="E100" i="14"/>
  <c r="H100" i="14" s="1"/>
  <c r="J100" i="14" s="1"/>
  <c r="F99" i="14"/>
  <c r="H99" i="14"/>
  <c r="J99" i="14" s="1"/>
  <c r="E97" i="14"/>
  <c r="H97" i="14" s="1"/>
  <c r="J97" i="14" s="1"/>
  <c r="C92" i="14"/>
  <c r="H101" i="14" s="1"/>
  <c r="J101" i="14" s="1"/>
  <c r="G82" i="14"/>
  <c r="G76" i="14"/>
  <c r="G74" i="14"/>
  <c r="G72" i="14"/>
  <c r="G70" i="14"/>
  <c r="G68" i="14"/>
  <c r="G66" i="14"/>
  <c r="G64" i="14"/>
  <c r="G62" i="14"/>
  <c r="G60" i="14"/>
  <c r="G58" i="14"/>
  <c r="C42" i="14"/>
  <c r="E42" i="14" s="1"/>
  <c r="E41" i="14"/>
  <c r="E40" i="14"/>
  <c r="C39" i="14"/>
  <c r="C36" i="14"/>
  <c r="H101" i="13"/>
  <c r="J101" i="13" s="1"/>
  <c r="H100" i="13"/>
  <c r="J100" i="13" s="1"/>
  <c r="F99" i="13"/>
  <c r="H99" i="13"/>
  <c r="J99" i="13" s="1"/>
  <c r="H97" i="13"/>
  <c r="J97" i="13" s="1"/>
  <c r="L97" i="13" s="1"/>
  <c r="G82" i="13"/>
  <c r="G76" i="13"/>
  <c r="G74" i="13"/>
  <c r="G72" i="13"/>
  <c r="G70" i="13"/>
  <c r="G68" i="13"/>
  <c r="G66" i="13"/>
  <c r="G64" i="13"/>
  <c r="G80" i="13" s="1"/>
  <c r="G62" i="13"/>
  <c r="G60" i="13"/>
  <c r="G58" i="13"/>
  <c r="C42" i="13"/>
  <c r="E42" i="13" s="1"/>
  <c r="E41" i="13"/>
  <c r="E40" i="13"/>
  <c r="C39" i="13"/>
  <c r="C36" i="13"/>
  <c r="E100" i="12"/>
  <c r="H100" i="12" s="1"/>
  <c r="J100" i="12" s="1"/>
  <c r="F99" i="12"/>
  <c r="H99" i="12"/>
  <c r="J99" i="12" s="1"/>
  <c r="E97" i="12"/>
  <c r="H97" i="12" s="1"/>
  <c r="J97" i="12" s="1"/>
  <c r="C92" i="12"/>
  <c r="H101" i="12" s="1"/>
  <c r="J101" i="12" s="1"/>
  <c r="G82" i="12"/>
  <c r="G76" i="12"/>
  <c r="G74" i="12"/>
  <c r="G72" i="12"/>
  <c r="G70" i="12"/>
  <c r="G68" i="12"/>
  <c r="G66" i="12"/>
  <c r="G64" i="12"/>
  <c r="G62" i="12"/>
  <c r="G60" i="12"/>
  <c r="G58" i="12"/>
  <c r="C42" i="12"/>
  <c r="E42" i="12" s="1"/>
  <c r="E41" i="12"/>
  <c r="E40" i="12"/>
  <c r="C39" i="12"/>
  <c r="C36" i="12"/>
  <c r="H101" i="11"/>
  <c r="J101" i="11" s="1"/>
  <c r="E100" i="11"/>
  <c r="H100" i="11" s="1"/>
  <c r="J100" i="11" s="1"/>
  <c r="L100" i="11" s="1"/>
  <c r="F99" i="11"/>
  <c r="H99" i="11"/>
  <c r="J99" i="11" s="1"/>
  <c r="E97" i="11"/>
  <c r="H97" i="11" s="1"/>
  <c r="J97" i="11" s="1"/>
  <c r="C92" i="11"/>
  <c r="G82" i="11"/>
  <c r="G76" i="11"/>
  <c r="G74" i="11"/>
  <c r="G72" i="11"/>
  <c r="G70" i="11"/>
  <c r="G68" i="11"/>
  <c r="G66" i="11"/>
  <c r="G64" i="11"/>
  <c r="G62" i="11"/>
  <c r="G60" i="11"/>
  <c r="G58" i="11"/>
  <c r="C42" i="11"/>
  <c r="E42" i="11" s="1"/>
  <c r="E41" i="11"/>
  <c r="E40" i="11"/>
  <c r="C39" i="11"/>
  <c r="C36" i="11"/>
  <c r="E100" i="10"/>
  <c r="H100" i="10" s="1"/>
  <c r="J100" i="10" s="1"/>
  <c r="F99" i="10"/>
  <c r="H99" i="10"/>
  <c r="J99" i="10" s="1"/>
  <c r="E97" i="10"/>
  <c r="H97" i="10" s="1"/>
  <c r="J97" i="10" s="1"/>
  <c r="L97" i="10" s="1"/>
  <c r="C92" i="10"/>
  <c r="H101" i="10" s="1"/>
  <c r="J101" i="10" s="1"/>
  <c r="G82" i="10"/>
  <c r="G76" i="10"/>
  <c r="G74" i="10"/>
  <c r="G72" i="10"/>
  <c r="G70" i="10"/>
  <c r="G68" i="10"/>
  <c r="G66" i="10"/>
  <c r="G64" i="10"/>
  <c r="G62" i="10"/>
  <c r="G60" i="10"/>
  <c r="G58" i="10"/>
  <c r="C42" i="10"/>
  <c r="E42" i="10" s="1"/>
  <c r="E41" i="10"/>
  <c r="E40" i="10"/>
  <c r="C39" i="10"/>
  <c r="C36" i="10"/>
  <c r="E100" i="9"/>
  <c r="H100" i="9" s="1"/>
  <c r="J100" i="9" s="1"/>
  <c r="F99" i="9"/>
  <c r="H99" i="9"/>
  <c r="J99" i="9" s="1"/>
  <c r="E97" i="9"/>
  <c r="H97" i="9" s="1"/>
  <c r="J97" i="9" s="1"/>
  <c r="C92" i="9"/>
  <c r="G82" i="9"/>
  <c r="G76" i="9"/>
  <c r="G74" i="9"/>
  <c r="G72" i="9"/>
  <c r="G70" i="9"/>
  <c r="G68" i="9"/>
  <c r="G66" i="9"/>
  <c r="G64" i="9"/>
  <c r="G62" i="9"/>
  <c r="G60" i="9"/>
  <c r="G58" i="9"/>
  <c r="C42" i="9"/>
  <c r="E42" i="9" s="1"/>
  <c r="E41" i="9"/>
  <c r="E40" i="9"/>
  <c r="C39" i="9"/>
  <c r="C36" i="9"/>
  <c r="H100" i="8"/>
  <c r="J100" i="8" s="1"/>
  <c r="F99" i="8"/>
  <c r="H99" i="8"/>
  <c r="J99" i="8" s="1"/>
  <c r="H97" i="8"/>
  <c r="J97" i="8" s="1"/>
  <c r="H101" i="8"/>
  <c r="J101" i="8" s="1"/>
  <c r="G82" i="8"/>
  <c r="G76" i="8"/>
  <c r="G74" i="8"/>
  <c r="G72" i="8"/>
  <c r="G70" i="8"/>
  <c r="G68" i="8"/>
  <c r="G66" i="8"/>
  <c r="G64" i="8"/>
  <c r="G62" i="8"/>
  <c r="G60" i="8"/>
  <c r="G58" i="8"/>
  <c r="C42" i="8"/>
  <c r="E42" i="8" s="1"/>
  <c r="E41" i="8"/>
  <c r="E40" i="8"/>
  <c r="C39" i="8"/>
  <c r="C36" i="8"/>
  <c r="H100" i="7"/>
  <c r="J100" i="7" s="1"/>
  <c r="F99" i="7"/>
  <c r="H99" i="7"/>
  <c r="J99" i="7" s="1"/>
  <c r="H97" i="7"/>
  <c r="J97" i="7" s="1"/>
  <c r="H101" i="7"/>
  <c r="J101" i="7" s="1"/>
  <c r="G82" i="7"/>
  <c r="G76" i="7"/>
  <c r="G74" i="7"/>
  <c r="G72" i="7"/>
  <c r="G70" i="7"/>
  <c r="G68" i="7"/>
  <c r="G66" i="7"/>
  <c r="G64" i="7"/>
  <c r="G62" i="7"/>
  <c r="G60" i="7"/>
  <c r="G58" i="7"/>
  <c r="C42" i="7"/>
  <c r="E42" i="7" s="1"/>
  <c r="E41" i="7"/>
  <c r="E40" i="7"/>
  <c r="C39" i="7"/>
  <c r="C36" i="7"/>
  <c r="H101" i="9" l="1"/>
  <c r="J101" i="9" s="1"/>
  <c r="G78" i="33"/>
  <c r="G84" i="33" s="1"/>
  <c r="G80" i="32"/>
  <c r="G80" i="31"/>
  <c r="G80" i="30"/>
  <c r="G80" i="29"/>
  <c r="G78" i="28"/>
  <c r="G84" i="28" s="1"/>
  <c r="G85" i="28" s="1"/>
  <c r="G78" i="27"/>
  <c r="G84" i="27" s="1"/>
  <c r="G85" i="27" s="1"/>
  <c r="G78" i="26"/>
  <c r="G84" i="26" s="1"/>
  <c r="G85" i="26" s="1"/>
  <c r="G78" i="25"/>
  <c r="G84" i="25" s="1"/>
  <c r="G85" i="25" s="1"/>
  <c r="G80" i="24"/>
  <c r="G78" i="23"/>
  <c r="G84" i="23" s="1"/>
  <c r="G85" i="23" s="1"/>
  <c r="G80" i="22"/>
  <c r="G80" i="20"/>
  <c r="G80" i="19"/>
  <c r="G78" i="18"/>
  <c r="G84" i="18" s="1"/>
  <c r="G85" i="18" s="1"/>
  <c r="G80" i="17"/>
  <c r="G78" i="17"/>
  <c r="G84" i="17" s="1"/>
  <c r="G85" i="17" s="1"/>
  <c r="G78" i="16"/>
  <c r="G85" i="16" s="1"/>
  <c r="F96" i="4" s="1"/>
  <c r="G80" i="15"/>
  <c r="G80" i="14"/>
  <c r="G80" i="12"/>
  <c r="G80" i="11"/>
  <c r="G80" i="10"/>
  <c r="G98" i="10" s="1"/>
  <c r="G80" i="9"/>
  <c r="G80" i="8"/>
  <c r="G80" i="7"/>
  <c r="L99" i="33"/>
  <c r="K99" i="33"/>
  <c r="L100" i="33"/>
  <c r="K100" i="33"/>
  <c r="L101" i="33"/>
  <c r="K101" i="33"/>
  <c r="G80" i="33"/>
  <c r="K97" i="33"/>
  <c r="K97" i="32"/>
  <c r="L97" i="32"/>
  <c r="L100" i="32"/>
  <c r="K100" i="32"/>
  <c r="G86" i="32"/>
  <c r="E98" i="32" s="1"/>
  <c r="H98" i="32" s="1"/>
  <c r="J98" i="32" s="1"/>
  <c r="G98" i="32"/>
  <c r="L99" i="32"/>
  <c r="K99" i="32"/>
  <c r="L101" i="32"/>
  <c r="K101" i="32"/>
  <c r="G78" i="32"/>
  <c r="G84" i="32" s="1"/>
  <c r="G85" i="32" s="1"/>
  <c r="L99" i="31"/>
  <c r="K99" i="31"/>
  <c r="G86" i="31"/>
  <c r="E98" i="31" s="1"/>
  <c r="H98" i="31" s="1"/>
  <c r="J98" i="31" s="1"/>
  <c r="G98" i="31"/>
  <c r="L97" i="31"/>
  <c r="K97" i="31"/>
  <c r="K100" i="31"/>
  <c r="L100" i="31"/>
  <c r="L101" i="31"/>
  <c r="K101" i="31"/>
  <c r="G78" i="31"/>
  <c r="G84" i="31" s="1"/>
  <c r="G85" i="31" s="1"/>
  <c r="L97" i="30"/>
  <c r="K97" i="30"/>
  <c r="G86" i="30"/>
  <c r="E98" i="30" s="1"/>
  <c r="H98" i="30" s="1"/>
  <c r="J98" i="30" s="1"/>
  <c r="G98" i="30"/>
  <c r="L99" i="30"/>
  <c r="K99" i="30"/>
  <c r="L100" i="30"/>
  <c r="K100" i="30"/>
  <c r="L101" i="30"/>
  <c r="K101" i="30"/>
  <c r="G78" i="30"/>
  <c r="G84" i="30" s="1"/>
  <c r="G85" i="30" s="1"/>
  <c r="G98" i="29"/>
  <c r="G86" i="29"/>
  <c r="E98" i="29" s="1"/>
  <c r="H98" i="29" s="1"/>
  <c r="J98" i="29" s="1"/>
  <c r="L97" i="29"/>
  <c r="K97" i="29"/>
  <c r="L99" i="29"/>
  <c r="K99" i="29"/>
  <c r="L100" i="29"/>
  <c r="K100" i="29"/>
  <c r="K101" i="29"/>
  <c r="L101" i="29"/>
  <c r="G78" i="29"/>
  <c r="G84" i="29" s="1"/>
  <c r="G85" i="29" s="1"/>
  <c r="L99" i="28"/>
  <c r="K99" i="28"/>
  <c r="L100" i="28"/>
  <c r="K100" i="28"/>
  <c r="K101" i="28"/>
  <c r="L101" i="28"/>
  <c r="K97" i="28"/>
  <c r="G80" i="28"/>
  <c r="L99" i="27"/>
  <c r="K99" i="27"/>
  <c r="K97" i="27"/>
  <c r="L97" i="27"/>
  <c r="K100" i="27"/>
  <c r="L100" i="27"/>
  <c r="K101" i="27"/>
  <c r="L101" i="27"/>
  <c r="G80" i="27"/>
  <c r="L99" i="26"/>
  <c r="K99" i="26"/>
  <c r="L100" i="26"/>
  <c r="K100" i="26"/>
  <c r="K97" i="26"/>
  <c r="L97" i="26"/>
  <c r="L101" i="26"/>
  <c r="K101" i="26"/>
  <c r="G80" i="26"/>
  <c r="L100" i="25"/>
  <c r="K100" i="25"/>
  <c r="L99" i="25"/>
  <c r="K99" i="25"/>
  <c r="L101" i="25"/>
  <c r="K101" i="25"/>
  <c r="K97" i="25"/>
  <c r="G80" i="25"/>
  <c r="L99" i="24"/>
  <c r="K99" i="24"/>
  <c r="L100" i="24"/>
  <c r="K100" i="24"/>
  <c r="G98" i="24"/>
  <c r="G86" i="24"/>
  <c r="E98" i="24" s="1"/>
  <c r="H98" i="24" s="1"/>
  <c r="J98" i="24" s="1"/>
  <c r="K101" i="24"/>
  <c r="L101" i="24"/>
  <c r="G78" i="24"/>
  <c r="G84" i="24" s="1"/>
  <c r="G85" i="24" s="1"/>
  <c r="K97" i="24"/>
  <c r="L99" i="23"/>
  <c r="K99" i="23"/>
  <c r="L100" i="23"/>
  <c r="K100" i="23"/>
  <c r="K101" i="23"/>
  <c r="L101" i="23"/>
  <c r="G80" i="23"/>
  <c r="K97" i="23"/>
  <c r="L100" i="22"/>
  <c r="K100" i="22"/>
  <c r="L99" i="22"/>
  <c r="K99" i="22"/>
  <c r="G98" i="22"/>
  <c r="G86" i="22"/>
  <c r="E98" i="22" s="1"/>
  <c r="H98" i="22" s="1"/>
  <c r="J98" i="22" s="1"/>
  <c r="L101" i="22"/>
  <c r="K101" i="22"/>
  <c r="G78" i="22"/>
  <c r="G84" i="22" s="1"/>
  <c r="G85" i="22" s="1"/>
  <c r="L97" i="22"/>
  <c r="K99" i="21"/>
  <c r="L99" i="21"/>
  <c r="L97" i="21"/>
  <c r="K97" i="21"/>
  <c r="L100" i="21"/>
  <c r="K100" i="21"/>
  <c r="K101" i="21"/>
  <c r="L101" i="21"/>
  <c r="G80" i="21"/>
  <c r="G86" i="20"/>
  <c r="E98" i="20" s="1"/>
  <c r="H98" i="20" s="1"/>
  <c r="J98" i="20" s="1"/>
  <c r="G98" i="20"/>
  <c r="L97" i="20"/>
  <c r="K97" i="20"/>
  <c r="L100" i="20"/>
  <c r="K100" i="20"/>
  <c r="L99" i="20"/>
  <c r="K99" i="20"/>
  <c r="L101" i="20"/>
  <c r="K101" i="20"/>
  <c r="G78" i="20"/>
  <c r="G84" i="20" s="1"/>
  <c r="G85" i="20" s="1"/>
  <c r="L97" i="19"/>
  <c r="K97" i="19"/>
  <c r="G98" i="19"/>
  <c r="G86" i="19"/>
  <c r="E98" i="19" s="1"/>
  <c r="H98" i="19" s="1"/>
  <c r="J98" i="19" s="1"/>
  <c r="L99" i="19"/>
  <c r="K99" i="19"/>
  <c r="K100" i="19"/>
  <c r="L100" i="19"/>
  <c r="L101" i="19"/>
  <c r="K101" i="19"/>
  <c r="G78" i="19"/>
  <c r="G84" i="19" s="1"/>
  <c r="G85" i="19" s="1"/>
  <c r="L99" i="18"/>
  <c r="K99" i="18"/>
  <c r="L100" i="18"/>
  <c r="K100" i="18"/>
  <c r="L101" i="18"/>
  <c r="K101" i="18"/>
  <c r="L97" i="18"/>
  <c r="G80" i="18"/>
  <c r="G86" i="17"/>
  <c r="E98" i="17" s="1"/>
  <c r="H98" i="17" s="1"/>
  <c r="J98" i="17" s="1"/>
  <c r="G98" i="17"/>
  <c r="K100" i="17"/>
  <c r="L100" i="17"/>
  <c r="L99" i="17"/>
  <c r="K99" i="17"/>
  <c r="L101" i="17"/>
  <c r="K101" i="17"/>
  <c r="K97" i="17"/>
  <c r="L99" i="16"/>
  <c r="K99" i="16"/>
  <c r="L100" i="16"/>
  <c r="K100" i="16"/>
  <c r="K101" i="16"/>
  <c r="L101" i="16"/>
  <c r="L97" i="16"/>
  <c r="G80" i="16"/>
  <c r="L99" i="15"/>
  <c r="K99" i="15"/>
  <c r="G86" i="15"/>
  <c r="E98" i="15" s="1"/>
  <c r="H98" i="15" s="1"/>
  <c r="J98" i="15" s="1"/>
  <c r="G98" i="15"/>
  <c r="L97" i="15"/>
  <c r="K97" i="15"/>
  <c r="L100" i="15"/>
  <c r="K100" i="15"/>
  <c r="K101" i="15"/>
  <c r="L101" i="15"/>
  <c r="G78" i="15"/>
  <c r="G84" i="15" s="1"/>
  <c r="G85" i="15" s="1"/>
  <c r="G86" i="14"/>
  <c r="H98" i="14" s="1"/>
  <c r="J98" i="14" s="1"/>
  <c r="G98" i="14"/>
  <c r="K99" i="14"/>
  <c r="L99" i="14"/>
  <c r="L100" i="14"/>
  <c r="K100" i="14"/>
  <c r="L97" i="14"/>
  <c r="K97" i="14"/>
  <c r="L101" i="14"/>
  <c r="K101" i="14"/>
  <c r="G78" i="14"/>
  <c r="G84" i="14" s="1"/>
  <c r="G85" i="14" s="1"/>
  <c r="L99" i="13"/>
  <c r="K99" i="13"/>
  <c r="K100" i="13"/>
  <c r="L100" i="13"/>
  <c r="G86" i="13"/>
  <c r="E98" i="13" s="1"/>
  <c r="H98" i="13" s="1"/>
  <c r="J98" i="13" s="1"/>
  <c r="G98" i="13"/>
  <c r="K101" i="13"/>
  <c r="L101" i="13"/>
  <c r="K97" i="13"/>
  <c r="G78" i="13"/>
  <c r="G84" i="13" s="1"/>
  <c r="G85" i="13" s="1"/>
  <c r="G86" i="12"/>
  <c r="E98" i="12" s="1"/>
  <c r="H98" i="12" s="1"/>
  <c r="J98" i="12" s="1"/>
  <c r="G98" i="12"/>
  <c r="K97" i="12"/>
  <c r="L97" i="12"/>
  <c r="L99" i="12"/>
  <c r="K99" i="12"/>
  <c r="L100" i="12"/>
  <c r="K100" i="12"/>
  <c r="K101" i="12"/>
  <c r="L101" i="12"/>
  <c r="G78" i="12"/>
  <c r="G84" i="12" s="1"/>
  <c r="G85" i="12" s="1"/>
  <c r="G98" i="11"/>
  <c r="G86" i="11"/>
  <c r="E98" i="11" s="1"/>
  <c r="H98" i="11" s="1"/>
  <c r="J98" i="11" s="1"/>
  <c r="K97" i="11"/>
  <c r="L97" i="11"/>
  <c r="L99" i="11"/>
  <c r="K99" i="11"/>
  <c r="K101" i="11"/>
  <c r="L101" i="11"/>
  <c r="K100" i="11"/>
  <c r="G78" i="11"/>
  <c r="G84" i="11" s="1"/>
  <c r="G85" i="11" s="1"/>
  <c r="L99" i="10"/>
  <c r="K99" i="10"/>
  <c r="K100" i="10"/>
  <c r="L100" i="10"/>
  <c r="L101" i="10"/>
  <c r="K101" i="10"/>
  <c r="G78" i="10"/>
  <c r="G84" i="10" s="1"/>
  <c r="G85" i="10" s="1"/>
  <c r="K97" i="10"/>
  <c r="G98" i="9"/>
  <c r="G86" i="9"/>
  <c r="H98" i="9" s="1"/>
  <c r="J98" i="9" s="1"/>
  <c r="L97" i="9"/>
  <c r="K97" i="9"/>
  <c r="L99" i="9"/>
  <c r="K99" i="9"/>
  <c r="L100" i="9"/>
  <c r="K100" i="9"/>
  <c r="G78" i="9"/>
  <c r="G84" i="9" s="1"/>
  <c r="G85" i="9" s="1"/>
  <c r="G86" i="8"/>
  <c r="H98" i="8" s="1"/>
  <c r="J98" i="8" s="1"/>
  <c r="G98" i="8"/>
  <c r="K99" i="8"/>
  <c r="L99" i="8"/>
  <c r="L100" i="8"/>
  <c r="K100" i="8"/>
  <c r="K97" i="8"/>
  <c r="L97" i="8"/>
  <c r="L101" i="8"/>
  <c r="K101" i="8"/>
  <c r="G78" i="8"/>
  <c r="G84" i="8" s="1"/>
  <c r="G85" i="8" s="1"/>
  <c r="G86" i="7"/>
  <c r="E98" i="7" s="1"/>
  <c r="H98" i="7" s="1"/>
  <c r="J98" i="7" s="1"/>
  <c r="G98" i="7"/>
  <c r="L97" i="7"/>
  <c r="K97" i="7"/>
  <c r="L99" i="7"/>
  <c r="K99" i="7"/>
  <c r="L100" i="7"/>
  <c r="K100" i="7"/>
  <c r="K101" i="7"/>
  <c r="L101" i="7"/>
  <c r="G78" i="7"/>
  <c r="G84" i="7" s="1"/>
  <c r="G85" i="7" s="1"/>
  <c r="C92" i="3"/>
  <c r="E101" i="3" s="1"/>
  <c r="H101" i="3" s="1"/>
  <c r="J101" i="3" s="1"/>
  <c r="D4" i="5"/>
  <c r="C4" i="5"/>
  <c r="D3" i="5"/>
  <c r="D5" i="5" s="1"/>
  <c r="C3" i="5"/>
  <c r="C5" i="5" s="1"/>
  <c r="E81" i="4"/>
  <c r="E80" i="4"/>
  <c r="E79" i="4"/>
  <c r="E77" i="4"/>
  <c r="E73" i="4"/>
  <c r="E72" i="4"/>
  <c r="G68" i="4"/>
  <c r="G67" i="4"/>
  <c r="D35" i="4"/>
  <c r="D33" i="4"/>
  <c r="E76" i="4"/>
  <c r="F25" i="4"/>
  <c r="E75" i="4" s="1"/>
  <c r="F23" i="4"/>
  <c r="E74" i="4" s="1"/>
  <c r="F21" i="4"/>
  <c r="F19" i="4"/>
  <c r="E100" i="3"/>
  <c r="H100" i="3" s="1"/>
  <c r="J100" i="3" s="1"/>
  <c r="F99" i="3"/>
  <c r="E99" i="3"/>
  <c r="H99" i="3" s="1"/>
  <c r="J99" i="3" s="1"/>
  <c r="G82" i="3"/>
  <c r="G76" i="3"/>
  <c r="G74" i="3"/>
  <c r="G72" i="3"/>
  <c r="G70" i="3"/>
  <c r="G68" i="3"/>
  <c r="G66" i="3"/>
  <c r="G64" i="3"/>
  <c r="G62" i="3"/>
  <c r="G60" i="3"/>
  <c r="G58" i="3"/>
  <c r="G80" i="3" s="1"/>
  <c r="E97" i="3"/>
  <c r="H97" i="3" s="1"/>
  <c r="J97" i="3" s="1"/>
  <c r="C42" i="3"/>
  <c r="E42" i="3" s="1"/>
  <c r="I80" i="4" s="1"/>
  <c r="E41" i="3"/>
  <c r="E40" i="3"/>
  <c r="C39" i="3"/>
  <c r="C36" i="3"/>
  <c r="N19" i="3"/>
  <c r="N18" i="3"/>
  <c r="N17" i="3"/>
  <c r="N16" i="3"/>
  <c r="L101" i="9" l="1"/>
  <c r="K101" i="9"/>
  <c r="G86" i="10"/>
  <c r="H98" i="10" s="1"/>
  <c r="J98" i="10" s="1"/>
  <c r="K98" i="10" s="1"/>
  <c r="K102" i="10" s="1"/>
  <c r="K103" i="10" s="1"/>
  <c r="G86" i="33"/>
  <c r="H98" i="33" s="1"/>
  <c r="J98" i="33" s="1"/>
  <c r="G98" i="33"/>
  <c r="K98" i="32"/>
  <c r="L98" i="32"/>
  <c r="L102" i="32" s="1"/>
  <c r="K102" i="32"/>
  <c r="K103" i="32" s="1"/>
  <c r="K98" i="31"/>
  <c r="K102" i="31" s="1"/>
  <c r="K103" i="31" s="1"/>
  <c r="L98" i="31"/>
  <c r="L102" i="31" s="1"/>
  <c r="K98" i="30"/>
  <c r="L98" i="30"/>
  <c r="K102" i="30"/>
  <c r="K103" i="30" s="1"/>
  <c r="L102" i="30"/>
  <c r="L98" i="29"/>
  <c r="L102" i="29" s="1"/>
  <c r="K98" i="29"/>
  <c r="K102" i="29" s="1"/>
  <c r="K103" i="29" s="1"/>
  <c r="K104" i="29" s="1"/>
  <c r="K105" i="29" s="1"/>
  <c r="G86" i="28"/>
  <c r="E98" i="28" s="1"/>
  <c r="H98" i="28" s="1"/>
  <c r="J98" i="28" s="1"/>
  <c r="G98" i="28"/>
  <c r="G86" i="27"/>
  <c r="E98" i="27" s="1"/>
  <c r="H98" i="27" s="1"/>
  <c r="J98" i="27" s="1"/>
  <c r="G98" i="27"/>
  <c r="G86" i="26"/>
  <c r="E98" i="26" s="1"/>
  <c r="H98" i="26" s="1"/>
  <c r="J98" i="26" s="1"/>
  <c r="G98" i="26"/>
  <c r="G86" i="25"/>
  <c r="E98" i="25" s="1"/>
  <c r="H98" i="25" s="1"/>
  <c r="J98" i="25" s="1"/>
  <c r="G98" i="25"/>
  <c r="L98" i="24"/>
  <c r="L102" i="24" s="1"/>
  <c r="K98" i="24"/>
  <c r="K102" i="24" s="1"/>
  <c r="K103" i="24" s="1"/>
  <c r="K104" i="24" s="1"/>
  <c r="K105" i="24" s="1"/>
  <c r="G98" i="23"/>
  <c r="G86" i="23"/>
  <c r="E98" i="23" s="1"/>
  <c r="H98" i="23" s="1"/>
  <c r="J98" i="23" s="1"/>
  <c r="L98" i="22"/>
  <c r="L102" i="22" s="1"/>
  <c r="K98" i="22"/>
  <c r="K102" i="22" s="1"/>
  <c r="K103" i="22" s="1"/>
  <c r="G86" i="21"/>
  <c r="E98" i="21" s="1"/>
  <c r="H98" i="21" s="1"/>
  <c r="J98" i="21" s="1"/>
  <c r="G98" i="21"/>
  <c r="L98" i="20"/>
  <c r="L102" i="20" s="1"/>
  <c r="K98" i="20"/>
  <c r="K102" i="20" s="1"/>
  <c r="K103" i="20" s="1"/>
  <c r="L98" i="19"/>
  <c r="K98" i="19"/>
  <c r="K102" i="19" s="1"/>
  <c r="K103" i="19" s="1"/>
  <c r="L102" i="19"/>
  <c r="G98" i="18"/>
  <c r="G86" i="18"/>
  <c r="E98" i="18" s="1"/>
  <c r="H98" i="18" s="1"/>
  <c r="J98" i="18" s="1"/>
  <c r="L98" i="17"/>
  <c r="L102" i="17" s="1"/>
  <c r="K98" i="17"/>
  <c r="K102" i="17" s="1"/>
  <c r="K103" i="17" s="1"/>
  <c r="K104" i="17" s="1"/>
  <c r="K105" i="17" s="1"/>
  <c r="G86" i="16"/>
  <c r="E98" i="16" s="1"/>
  <c r="H98" i="16" s="1"/>
  <c r="J98" i="16" s="1"/>
  <c r="G98" i="16"/>
  <c r="K98" i="15"/>
  <c r="K102" i="15" s="1"/>
  <c r="K103" i="15" s="1"/>
  <c r="L98" i="15"/>
  <c r="L102" i="15" s="1"/>
  <c r="L98" i="14"/>
  <c r="L102" i="14" s="1"/>
  <c r="K98" i="14"/>
  <c r="K102" i="14" s="1"/>
  <c r="K103" i="14" s="1"/>
  <c r="K104" i="14" s="1"/>
  <c r="K105" i="14" s="1"/>
  <c r="L98" i="13"/>
  <c r="L102" i="13" s="1"/>
  <c r="K98" i="13"/>
  <c r="K102" i="13" s="1"/>
  <c r="K103" i="13" s="1"/>
  <c r="L98" i="12"/>
  <c r="L102" i="12" s="1"/>
  <c r="K98" i="12"/>
  <c r="K102" i="12" s="1"/>
  <c r="K103" i="12" s="1"/>
  <c r="L98" i="11"/>
  <c r="L102" i="11" s="1"/>
  <c r="K98" i="11"/>
  <c r="K102" i="11"/>
  <c r="K103" i="11" s="1"/>
  <c r="K98" i="9"/>
  <c r="K102" i="9" s="1"/>
  <c r="K103" i="9" s="1"/>
  <c r="L98" i="9"/>
  <c r="L102" i="9" s="1"/>
  <c r="L98" i="8"/>
  <c r="L102" i="8" s="1"/>
  <c r="K98" i="8"/>
  <c r="K102" i="8" s="1"/>
  <c r="K103" i="8" s="1"/>
  <c r="K104" i="8" s="1"/>
  <c r="K105" i="8" s="1"/>
  <c r="K107" i="8" s="1"/>
  <c r="L98" i="7"/>
  <c r="L102" i="7" s="1"/>
  <c r="K98" i="7"/>
  <c r="K102" i="7" s="1"/>
  <c r="K103" i="7" s="1"/>
  <c r="K97" i="3"/>
  <c r="L97" i="3"/>
  <c r="L101" i="3"/>
  <c r="K101" i="3"/>
  <c r="L100" i="3"/>
  <c r="K100" i="3"/>
  <c r="K99" i="3"/>
  <c r="L99" i="3"/>
  <c r="G86" i="3"/>
  <c r="E98" i="3" s="1"/>
  <c r="H98" i="3" s="1"/>
  <c r="J98" i="3" s="1"/>
  <c r="G98" i="3"/>
  <c r="C6" i="5"/>
  <c r="C10" i="5" s="1"/>
  <c r="I78" i="4" s="1"/>
  <c r="C8" i="5"/>
  <c r="C9" i="5" s="1"/>
  <c r="D8" i="5"/>
  <c r="D6" i="5"/>
  <c r="G78" i="3"/>
  <c r="G84" i="3" s="1"/>
  <c r="K104" i="7" l="1"/>
  <c r="K105" i="7" s="1"/>
  <c r="K107" i="7" s="1"/>
  <c r="K104" i="13"/>
  <c r="K105" i="13" s="1"/>
  <c r="K107" i="13" s="1"/>
  <c r="K104" i="32"/>
  <c r="K105" i="32" s="1"/>
  <c r="K107" i="32" s="1"/>
  <c r="K104" i="31"/>
  <c r="K105" i="31" s="1"/>
  <c r="K107" i="31" s="1"/>
  <c r="K104" i="30"/>
  <c r="K105" i="30" s="1"/>
  <c r="K107" i="30" s="1"/>
  <c r="K104" i="20"/>
  <c r="K105" i="20" s="1"/>
  <c r="K106" i="20" s="1"/>
  <c r="K104" i="19"/>
  <c r="K105" i="19" s="1"/>
  <c r="K106" i="19" s="1"/>
  <c r="K104" i="12"/>
  <c r="K105" i="12" s="1"/>
  <c r="K107" i="12" s="1"/>
  <c r="L98" i="10"/>
  <c r="L102" i="10" s="1"/>
  <c r="K104" i="10" s="1"/>
  <c r="K105" i="10" s="1"/>
  <c r="K107" i="10" s="1"/>
  <c r="L98" i="33"/>
  <c r="L102" i="33" s="1"/>
  <c r="K98" i="33"/>
  <c r="K102" i="33" s="1"/>
  <c r="K103" i="33" s="1"/>
  <c r="K104" i="33" s="1"/>
  <c r="K105" i="33" s="1"/>
  <c r="K107" i="29"/>
  <c r="K106" i="29"/>
  <c r="L98" i="28"/>
  <c r="L102" i="28" s="1"/>
  <c r="K98" i="28"/>
  <c r="K102" i="28" s="1"/>
  <c r="K103" i="28" s="1"/>
  <c r="K98" i="27"/>
  <c r="K102" i="27" s="1"/>
  <c r="K103" i="27" s="1"/>
  <c r="L98" i="27"/>
  <c r="L102" i="27" s="1"/>
  <c r="L98" i="26"/>
  <c r="L102" i="26" s="1"/>
  <c r="K98" i="26"/>
  <c r="K102" i="26" s="1"/>
  <c r="K103" i="26" s="1"/>
  <c r="L98" i="25"/>
  <c r="L102" i="25" s="1"/>
  <c r="K98" i="25"/>
  <c r="K102" i="25" s="1"/>
  <c r="K103" i="25" s="1"/>
  <c r="K104" i="25" s="1"/>
  <c r="K105" i="25" s="1"/>
  <c r="K107" i="24"/>
  <c r="K106" i="24"/>
  <c r="L98" i="23"/>
  <c r="L102" i="23" s="1"/>
  <c r="K98" i="23"/>
  <c r="K102" i="23" s="1"/>
  <c r="K103" i="23" s="1"/>
  <c r="K104" i="23" s="1"/>
  <c r="K105" i="23" s="1"/>
  <c r="K104" i="22"/>
  <c r="K105" i="22" s="1"/>
  <c r="K98" i="21"/>
  <c r="K102" i="21" s="1"/>
  <c r="K103" i="21" s="1"/>
  <c r="L98" i="21"/>
  <c r="L102" i="21" s="1"/>
  <c r="L98" i="18"/>
  <c r="L102" i="18" s="1"/>
  <c r="K98" i="18"/>
  <c r="K102" i="18" s="1"/>
  <c r="K103" i="18" s="1"/>
  <c r="K107" i="17"/>
  <c r="K106" i="17"/>
  <c r="K98" i="16"/>
  <c r="K102" i="16" s="1"/>
  <c r="K103" i="16" s="1"/>
  <c r="L98" i="16"/>
  <c r="L102" i="16" s="1"/>
  <c r="K104" i="15"/>
  <c r="K105" i="15" s="1"/>
  <c r="K107" i="14"/>
  <c r="K106" i="14"/>
  <c r="K104" i="11"/>
  <c r="K105" i="11" s="1"/>
  <c r="K104" i="9"/>
  <c r="K105" i="9" s="1"/>
  <c r="K106" i="8"/>
  <c r="G85" i="3"/>
  <c r="L98" i="3"/>
  <c r="K98" i="3"/>
  <c r="K102" i="3" s="1"/>
  <c r="K103" i="3" s="1"/>
  <c r="D10" i="5"/>
  <c r="I79" i="4" s="1"/>
  <c r="D7" i="5"/>
  <c r="D9" i="5" s="1"/>
  <c r="L102" i="3"/>
  <c r="K106" i="7" l="1"/>
  <c r="K106" i="13"/>
  <c r="K104" i="26"/>
  <c r="K105" i="26" s="1"/>
  <c r="K107" i="26" s="1"/>
  <c r="K106" i="32"/>
  <c r="K106" i="31"/>
  <c r="K106" i="30"/>
  <c r="K104" i="28"/>
  <c r="K105" i="28" s="1"/>
  <c r="K107" i="28" s="1"/>
  <c r="K104" i="21"/>
  <c r="K105" i="21" s="1"/>
  <c r="K107" i="21" s="1"/>
  <c r="K107" i="20"/>
  <c r="K107" i="19"/>
  <c r="K104" i="18"/>
  <c r="K105" i="18" s="1"/>
  <c r="K107" i="18" s="1"/>
  <c r="K106" i="12"/>
  <c r="K106" i="10"/>
  <c r="K107" i="33"/>
  <c r="K106" i="33"/>
  <c r="K104" i="27"/>
  <c r="K105" i="27" s="1"/>
  <c r="K107" i="25"/>
  <c r="K106" i="25"/>
  <c r="K107" i="23"/>
  <c r="K106" i="23"/>
  <c r="K107" i="22"/>
  <c r="K106" i="22"/>
  <c r="K104" i="16"/>
  <c r="K105" i="16" s="1"/>
  <c r="K107" i="15"/>
  <c r="K106" i="15"/>
  <c r="K107" i="11"/>
  <c r="K106" i="11"/>
  <c r="K107" i="9"/>
  <c r="K106" i="9"/>
  <c r="K104" i="3"/>
  <c r="K105" i="3" s="1"/>
  <c r="K107" i="3" s="1"/>
  <c r="K106" i="26" l="1"/>
  <c r="K106" i="28"/>
  <c r="K106" i="21"/>
  <c r="K106" i="18"/>
  <c r="K107" i="27"/>
  <c r="K106" i="27"/>
  <c r="K107" i="16"/>
  <c r="K106" i="16"/>
  <c r="K106" i="3"/>
</calcChain>
</file>

<file path=xl/sharedStrings.xml><?xml version="1.0" encoding="utf-8"?>
<sst xmlns="http://schemas.openxmlformats.org/spreadsheetml/2006/main" count="7478" uniqueCount="303">
  <si>
    <t>Nominal Value</t>
  </si>
  <si>
    <t>Class F1</t>
  </si>
  <si>
    <t>Class F2</t>
  </si>
  <si>
    <t>Class M1</t>
  </si>
  <si>
    <t>Class M2</t>
  </si>
  <si>
    <t>Class M3</t>
  </si>
  <si>
    <t>50 kg</t>
  </si>
  <si>
    <t>20 kg</t>
  </si>
  <si>
    <t>10 kg</t>
  </si>
  <si>
    <t>5 kg</t>
  </si>
  <si>
    <t>2 kg</t>
  </si>
  <si>
    <t xml:space="preserve">1 kg </t>
  </si>
  <si>
    <t>500 g</t>
  </si>
  <si>
    <t>200 g</t>
  </si>
  <si>
    <t>100 g</t>
  </si>
  <si>
    <t>50 g</t>
  </si>
  <si>
    <t>20 g</t>
  </si>
  <si>
    <t xml:space="preserve">10 g </t>
  </si>
  <si>
    <t>5 g</t>
  </si>
  <si>
    <t>2 g</t>
  </si>
  <si>
    <t>1 g</t>
  </si>
  <si>
    <t>500 mg</t>
  </si>
  <si>
    <t>-</t>
  </si>
  <si>
    <t>200 mg</t>
  </si>
  <si>
    <t xml:space="preserve">100 mg </t>
  </si>
  <si>
    <t>50 mg</t>
  </si>
  <si>
    <t>20 mg</t>
  </si>
  <si>
    <t>10 mg</t>
  </si>
  <si>
    <t>5 mg</t>
  </si>
  <si>
    <t>2 mg</t>
  </si>
  <si>
    <t>1 mg</t>
  </si>
  <si>
    <t>Nominal 
(g)</t>
  </si>
  <si>
    <t>Konvensional 
(g)</t>
  </si>
  <si>
    <t>Ketidakpastian 
(mg)</t>
  </si>
  <si>
    <t>2000*</t>
  </si>
  <si>
    <t>200*</t>
  </si>
  <si>
    <t>20*</t>
  </si>
  <si>
    <t>2*</t>
  </si>
  <si>
    <t>0,2*</t>
  </si>
  <si>
    <t>0,02*</t>
  </si>
  <si>
    <t>0,002*</t>
  </si>
  <si>
    <t>E2 2024</t>
  </si>
  <si>
    <t>F1 (B4T 2024)</t>
  </si>
  <si>
    <t>M1</t>
  </si>
  <si>
    <t>E2 METTLER TOLEDO 2025</t>
  </si>
  <si>
    <t>TABEL MPE OIML R111-1</t>
  </si>
  <si>
    <t>Massa konvensional 
(g)</t>
  </si>
  <si>
    <t>U95 
(mg)</t>
  </si>
  <si>
    <t>Identitas</t>
  </si>
  <si>
    <r>
      <rPr>
        <b/>
        <sz val="10"/>
        <color theme="1"/>
        <rFont val="Arial"/>
        <family val="2"/>
      </rPr>
      <t>Class E</t>
    </r>
    <r>
      <rPr>
        <b/>
        <sz val="9"/>
        <color theme="1"/>
        <rFont val="Arial"/>
        <family val="2"/>
      </rPr>
      <t>1</t>
    </r>
  </si>
  <si>
    <r>
      <rPr>
        <b/>
        <sz val="10"/>
        <color theme="1"/>
        <rFont val="Arial"/>
        <family val="2"/>
      </rPr>
      <t>Class E</t>
    </r>
    <r>
      <rPr>
        <b/>
        <sz val="9"/>
        <color theme="1"/>
        <rFont val="Arial"/>
        <family val="2"/>
      </rPr>
      <t>2</t>
    </r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</si>
  <si>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</si>
  <si>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</si>
  <si>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</si>
  <si>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</si>
  <si>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</si>
  <si>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</si>
  <si>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</si>
  <si>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</si>
  <si>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</si>
  <si>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</si>
  <si>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</si>
  <si>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</si>
  <si>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</si>
  <si>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</si>
  <si>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</si>
  <si>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0.2*</t>
  </si>
  <si>
    <t>20LZ1</t>
  </si>
  <si>
    <t>10LZ1</t>
  </si>
  <si>
    <t>5A</t>
  </si>
  <si>
    <t>10A</t>
  </si>
  <si>
    <t>ISI DATA</t>
  </si>
  <si>
    <t>A</t>
  </si>
  <si>
    <t>Deskripsi</t>
  </si>
  <si>
    <t>Isi</t>
  </si>
  <si>
    <t>Satuan</t>
  </si>
  <si>
    <t>B</t>
  </si>
  <si>
    <t>No Order</t>
  </si>
  <si>
    <t>C</t>
  </si>
  <si>
    <t>Pemilik Alat</t>
  </si>
  <si>
    <t>D</t>
  </si>
  <si>
    <t>Alamat Pemilik Alat</t>
  </si>
  <si>
    <t>E</t>
  </si>
  <si>
    <t>Lokasi Alat</t>
  </si>
  <si>
    <t>Lab massa BBLM</t>
  </si>
  <si>
    <t>F</t>
  </si>
  <si>
    <t>Nama  Alat</t>
  </si>
  <si>
    <t>Anak timbangan</t>
  </si>
  <si>
    <t>G</t>
  </si>
  <si>
    <t xml:space="preserve">Merk </t>
  </si>
  <si>
    <t>H</t>
  </si>
  <si>
    <t>Tipe</t>
  </si>
  <si>
    <t>I</t>
  </si>
  <si>
    <t>No Seri</t>
  </si>
  <si>
    <t>No. Identifikasi</t>
  </si>
  <si>
    <t xml:space="preserve">Temperatur Awal </t>
  </si>
  <si>
    <t xml:space="preserve">°C </t>
  </si>
  <si>
    <t>Temperatur Akhir</t>
  </si>
  <si>
    <t>Temperatur rata2</t>
  </si>
  <si>
    <t>Kelembaban Awal</t>
  </si>
  <si>
    <t>%RH</t>
  </si>
  <si>
    <t>Kelembaban Akhir</t>
  </si>
  <si>
    <t>Kelembapan rata2</t>
  </si>
  <si>
    <t>Tekanan awal</t>
  </si>
  <si>
    <t>hPa</t>
  </si>
  <si>
    <t>mmHg</t>
  </si>
  <si>
    <t xml:space="preserve">1 hPa </t>
  </si>
  <si>
    <t>Tekanan akhir</t>
  </si>
  <si>
    <t>Tekanan rata2</t>
  </si>
  <si>
    <t>Tanggal Terima</t>
  </si>
  <si>
    <t>Tanggal ditulis dengan format text</t>
  </si>
  <si>
    <t>Tanggal Kalibrasi</t>
  </si>
  <si>
    <t>Titik Ukur</t>
  </si>
  <si>
    <t>g</t>
  </si>
  <si>
    <t>Mass Comp</t>
  </si>
  <si>
    <t>Resolusi</t>
  </si>
  <si>
    <t>No. Seri Mass comp</t>
  </si>
  <si>
    <t>Kalibrator</t>
  </si>
  <si>
    <t>F1</t>
  </si>
  <si>
    <t>`</t>
  </si>
  <si>
    <t>Merk Kalibrator</t>
  </si>
  <si>
    <t>Massa standard</t>
  </si>
  <si>
    <t xml:space="preserve">U95 standard </t>
  </si>
  <si>
    <t>mg</t>
  </si>
  <si>
    <t>X1</t>
  </si>
  <si>
    <t>X2</t>
  </si>
  <si>
    <t>X3</t>
  </si>
  <si>
    <t>X4</t>
  </si>
  <si>
    <t>X5</t>
  </si>
  <si>
    <t>dm</t>
  </si>
  <si>
    <t>( g )</t>
  </si>
  <si>
    <t>r1</t>
  </si>
  <si>
    <t>t1</t>
  </si>
  <si>
    <t>t2</t>
  </si>
  <si>
    <t>r2</t>
  </si>
  <si>
    <t>r3</t>
  </si>
  <si>
    <t>t3</t>
  </si>
  <si>
    <t>t4</t>
  </si>
  <si>
    <t>r4</t>
  </si>
  <si>
    <t>r5</t>
  </si>
  <si>
    <t>t5</t>
  </si>
  <si>
    <t>t6</t>
  </si>
  <si>
    <t>r6</t>
  </si>
  <si>
    <t>r7</t>
  </si>
  <si>
    <t>t7</t>
  </si>
  <si>
    <t>t8</t>
  </si>
  <si>
    <t>r8</t>
  </si>
  <si>
    <t>r9</t>
  </si>
  <si>
    <t>t9</t>
  </si>
  <si>
    <t>t10</t>
  </si>
  <si>
    <t>r10</t>
  </si>
  <si>
    <t>Mean</t>
  </si>
  <si>
    <t>Stdev</t>
  </si>
  <si>
    <t>S_res</t>
  </si>
  <si>
    <t>Mt</t>
  </si>
  <si>
    <t>Srepeat</t>
  </si>
  <si>
    <t>UNCERTAINTY BUDGET SEBAGAI PENDUKUNG KLAIM BMC</t>
  </si>
  <si>
    <t xml:space="preserve">Besaran yang diukur : </t>
  </si>
  <si>
    <t>Massa</t>
  </si>
  <si>
    <t>Jenis alat yang dikalibrasi :</t>
  </si>
  <si>
    <t>Anak timbangan M3</t>
  </si>
  <si>
    <t>Standar yang digunakan :</t>
  </si>
  <si>
    <t>Anak timbangan F1</t>
  </si>
  <si>
    <t>Titik  Ukur :</t>
  </si>
  <si>
    <t>MPE 10000 g</t>
  </si>
  <si>
    <t xml:space="preserve">Model matematis   :               Mt= Ms +dm dengan Mt= massa massa konvensional yang dikalibrasi Ms = massa standar dm= koreksi alat </t>
  </si>
  <si>
    <t>Komponen</t>
  </si>
  <si>
    <t>Distribusi</t>
  </si>
  <si>
    <t>U</t>
  </si>
  <si>
    <t>Pembagi</t>
  </si>
  <si>
    <t>vi</t>
  </si>
  <si>
    <t>ui</t>
  </si>
  <si>
    <t>ci</t>
  </si>
  <si>
    <t>uici</t>
  </si>
  <si>
    <r>
      <rPr>
        <b/>
        <sz val="10"/>
        <color theme="1"/>
        <rFont val="Times New Roman"/>
        <family val="1"/>
      </rPr>
      <t>(uici)</t>
    </r>
    <r>
      <rPr>
        <b/>
        <vertAlign val="superscript"/>
        <sz val="10"/>
        <color theme="1"/>
        <rFont val="Times New Roman"/>
        <family val="1"/>
      </rPr>
      <t>2</t>
    </r>
  </si>
  <si>
    <r>
      <rPr>
        <b/>
        <sz val="10"/>
        <color theme="1"/>
        <rFont val="Times New Roman"/>
        <family val="1"/>
      </rPr>
      <t>(uici)</t>
    </r>
    <r>
      <rPr>
        <b/>
        <vertAlign val="superscript"/>
        <sz val="10"/>
        <color theme="1"/>
        <rFont val="Times New Roman"/>
        <family val="1"/>
      </rPr>
      <t>4</t>
    </r>
    <r>
      <rPr>
        <b/>
        <sz val="10"/>
        <color theme="1"/>
        <rFont val="Times New Roman"/>
        <family val="1"/>
      </rPr>
      <t>/vi</t>
    </r>
  </si>
  <si>
    <t>Standar</t>
  </si>
  <si>
    <t>Normal</t>
  </si>
  <si>
    <t>Repeatability</t>
  </si>
  <si>
    <t>Rectangular</t>
  </si>
  <si>
    <t>Rounding</t>
  </si>
  <si>
    <t>Instability</t>
  </si>
  <si>
    <t>Buoyancy</t>
  </si>
  <si>
    <t>Sums</t>
  </si>
  <si>
    <t>Ketidakpastian baku gabungan, uc, mg</t>
  </si>
  <si>
    <t>Dearajat kebebasan efektif, veff</t>
  </si>
  <si>
    <t>Faktor cakupan, k-student for veff and CL 95%</t>
  </si>
  <si>
    <t>Ketidakpastian bentangan, U = kuc, mg</t>
  </si>
  <si>
    <t>Atau ketidakpastian bentangan, U = kuc, mg</t>
  </si>
  <si>
    <t>KAN</t>
  </si>
  <si>
    <t>S E R T I F I K A T    K A L I B R A S I</t>
  </si>
  <si>
    <t>C A L I B R A T I O N    C E R T I F I C A T E</t>
  </si>
  <si>
    <t>IDENTITAS ALAT</t>
  </si>
  <si>
    <t>INSTRUMENT DETAILS</t>
  </si>
  <si>
    <t>Nama Alat</t>
  </si>
  <si>
    <t>: Anak Timbangan</t>
  </si>
  <si>
    <r>
      <rPr>
        <i/>
        <sz val="8"/>
        <color rgb="FF000000"/>
        <rFont val="Bookman Old Style"/>
        <family val="1"/>
      </rPr>
      <t>Instrument Name</t>
    </r>
    <r>
      <rPr>
        <sz val="11"/>
        <color rgb="FF000000"/>
        <rFont val="Bookman Old Style"/>
        <family val="1"/>
      </rPr>
      <t xml:space="preserve"> </t>
    </r>
  </si>
  <si>
    <r>
      <rPr>
        <sz val="11"/>
        <color rgb="FF000000"/>
        <rFont val="Bookman Old Style"/>
        <family val="1"/>
      </rPr>
      <t>Merek</t>
    </r>
    <r>
      <rPr>
        <i/>
        <sz val="8"/>
        <color rgb="FF000000"/>
        <rFont val="Bookman Old Style"/>
        <family val="1"/>
      </rPr>
      <t xml:space="preserve"> </t>
    </r>
  </si>
  <si>
    <t>Brand</t>
  </si>
  <si>
    <t xml:space="preserve">Type </t>
  </si>
  <si>
    <t>Nomor Identifikasi</t>
  </si>
  <si>
    <t>Identification Number</t>
  </si>
  <si>
    <t xml:space="preserve">Nomor Seri </t>
  </si>
  <si>
    <t>Serial Number</t>
  </si>
  <si>
    <t>Lain-lain</t>
  </si>
  <si>
    <t xml:space="preserve">: Kapasitas </t>
  </si>
  <si>
    <t>Others</t>
  </si>
  <si>
    <t xml:space="preserve">  Kecermatan </t>
  </si>
  <si>
    <t>: -</t>
  </si>
  <si>
    <t>IDENTITAS PEMILIK</t>
  </si>
  <si>
    <t>Owner’s Identification</t>
  </si>
  <si>
    <r>
      <rPr>
        <sz val="11"/>
        <color rgb="FF000000"/>
        <rFont val="Bookman Old Style"/>
        <family val="1"/>
      </rPr>
      <t>Nama</t>
    </r>
    <r>
      <rPr>
        <i/>
        <sz val="8"/>
        <color rgb="FF000000"/>
        <rFont val="Bookman Old Style"/>
        <family val="1"/>
      </rPr>
      <t xml:space="preserve"> </t>
    </r>
  </si>
  <si>
    <t>Designation</t>
  </si>
  <si>
    <r>
      <rPr>
        <sz val="11"/>
        <color rgb="FF000000"/>
        <rFont val="Bookman Old Style"/>
        <family val="1"/>
      </rPr>
      <t>Alamat</t>
    </r>
    <r>
      <rPr>
        <i/>
        <sz val="8"/>
        <color rgb="FF000000"/>
        <rFont val="Bookman Old Style"/>
        <family val="1"/>
      </rPr>
      <t xml:space="preserve"> </t>
    </r>
  </si>
  <si>
    <t>Address</t>
  </si>
  <si>
    <t>Page          of            page</t>
  </si>
  <si>
    <t>Date of Issue</t>
  </si>
  <si>
    <t>Ketua Tim Laboratorium Kalibrasi Dan Penguji,</t>
  </si>
  <si>
    <t>Elis Sofianti</t>
  </si>
  <si>
    <t>NIP. 197109301994032002</t>
  </si>
  <si>
    <t>Nomor</t>
  </si>
  <si>
    <t>No. Order</t>
  </si>
  <si>
    <t>Halaman</t>
  </si>
  <si>
    <t>SPESIFIKASI ALAT</t>
  </si>
  <si>
    <t>Nama</t>
  </si>
  <si>
    <t>Merk / Tipe</t>
  </si>
  <si>
    <t xml:space="preserve">No. Identifikasi </t>
  </si>
  <si>
    <t>No. Seri</t>
  </si>
  <si>
    <t xml:space="preserve">Kapasitas </t>
  </si>
  <si>
    <t>Kecermatan</t>
  </si>
  <si>
    <t>Kondisi ruang</t>
  </si>
  <si>
    <t>Prosedur Kalibrasi</t>
  </si>
  <si>
    <t>: CSIRO 2010</t>
  </si>
  <si>
    <t>Temperatur</t>
  </si>
  <si>
    <t>Kelembaban relatif</t>
  </si>
  <si>
    <t>Tekanan</t>
  </si>
  <si>
    <t>HASIL KALIBRASI</t>
  </si>
  <si>
    <t>No.</t>
  </si>
  <si>
    <t>Nilai Nominal</t>
  </si>
  <si>
    <t>Massa konvensional</t>
  </si>
  <si>
    <t>Ketidakpastian U95% (k=2)</t>
  </si>
  <si>
    <t>( mg )</t>
  </si>
  <si>
    <t>Catatan :</t>
  </si>
  <si>
    <r>
      <rPr>
        <sz val="10"/>
        <color rgb="FF000000"/>
        <rFont val="Calibri"/>
        <family val="2"/>
      </rPr>
      <t>Suhu (</t>
    </r>
    <r>
      <rPr>
        <sz val="10"/>
        <color rgb="FF000000"/>
        <rFont val="Calibri"/>
        <family val="2"/>
      </rPr>
      <t>°</t>
    </r>
    <r>
      <rPr>
        <sz val="8"/>
        <color rgb="FF000000"/>
        <rFont val="Calibri"/>
        <family val="2"/>
      </rPr>
      <t>C)</t>
    </r>
  </si>
  <si>
    <t>Thermohygro Rotronic data 2025</t>
  </si>
  <si>
    <t>Awal</t>
  </si>
  <si>
    <t>Koreksi suhu</t>
  </si>
  <si>
    <t xml:space="preserve">Koreksi RH </t>
  </si>
  <si>
    <t>Akhir</t>
  </si>
  <si>
    <t>T (°C)</t>
  </si>
  <si>
    <t xml:space="preserve">Koreksi  </t>
  </si>
  <si>
    <t>U95</t>
  </si>
  <si>
    <t>RH (%)</t>
  </si>
  <si>
    <t>Rata2</t>
  </si>
  <si>
    <t>Terkoreksi</t>
  </si>
  <si>
    <t>Fluktuasi suhu</t>
  </si>
  <si>
    <t>Flu+U95</t>
  </si>
  <si>
    <t>Kondisi Ruang</t>
  </si>
  <si>
    <t>K519-1</t>
  </si>
  <si>
    <t>PT. XXXXXX</t>
  </si>
  <si>
    <t xml:space="preserve">Jalan, Desa, Kecamatan, Kabupaten, Provinsi </t>
  </si>
  <si>
    <t>22 September 2025</t>
  </si>
  <si>
    <t xml:space="preserve">E2 METTLER TOLEDO </t>
  </si>
  <si>
    <t>Mettler Toledo</t>
  </si>
  <si>
    <t>2 Oktober 2025</t>
  </si>
  <si>
    <t>0,002t</t>
  </si>
  <si>
    <t>0,02t</t>
  </si>
  <si>
    <t>0,2t</t>
  </si>
  <si>
    <t>2t</t>
  </si>
  <si>
    <t>20t</t>
  </si>
  <si>
    <t>200t</t>
  </si>
  <si>
    <t xml:space="preserve">E2 </t>
  </si>
  <si>
    <t>MPE 0,005</t>
  </si>
  <si>
    <t>MPE 0,02</t>
  </si>
  <si>
    <t>MPE 0,1</t>
  </si>
  <si>
    <t>MPE 0,2</t>
  </si>
  <si>
    <t>MPE 0,5</t>
  </si>
  <si>
    <t>MPE 1</t>
  </si>
  <si>
    <t>MPE 2 g</t>
  </si>
  <si>
    <t>MPE 2</t>
  </si>
  <si>
    <t>MPE 5 g</t>
  </si>
  <si>
    <t>MPE 10 g</t>
  </si>
  <si>
    <t>MPE 20</t>
  </si>
  <si>
    <t>MPE 20 g</t>
  </si>
  <si>
    <t>MPE 50</t>
  </si>
  <si>
    <t>MPE 100</t>
  </si>
  <si>
    <t>MPE 200</t>
  </si>
  <si>
    <t>MPE</t>
  </si>
  <si>
    <t>MPE 1000</t>
  </si>
  <si>
    <t>MPE 0,001</t>
  </si>
  <si>
    <t xml:space="preserve">MPE 0,002 </t>
  </si>
  <si>
    <t xml:space="preserve">MPE </t>
  </si>
  <si>
    <t>013-2.1/INT/KALIBRASI BBLM/I/2026</t>
  </si>
  <si>
    <t>: 3 dari 3</t>
  </si>
  <si>
    <t>: 2 dari 3</t>
  </si>
  <si>
    <t>Halaman 1 dari 3 halaman</t>
  </si>
  <si>
    <t>Diterbitkan Tanggal 8 Maret 2026</t>
  </si>
  <si>
    <t xml:space="preserve">Kern </t>
  </si>
  <si>
    <t>YCW-622-00</t>
  </si>
  <si>
    <t>Alat ini dikalibrasi dengan Massa Standar E2 dengan ns : 158856 &amp; YCW-622-00</t>
  </si>
  <si>
    <t>yang tertelusur ke SI melalui LK-008-IDN &amp; LK-070-IDN dan Mass Comparator</t>
  </si>
  <si>
    <t>ns : 90803270 &amp; 90602105 yang tertelusur ke SI melalui LK-001-IDN.</t>
  </si>
  <si>
    <t xml:space="preserve">Nomor / Number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</si>
</sst>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000"/>
    <numFmt numFmtId="165" formatCode="0.000"/>
    <numFmt numFmtId="166" formatCode="0.00000"/>
    <numFmt numFmtId="167" formatCode="0.000000"/>
    <numFmt numFmtId="168" formatCode="0.0"/>
    <numFmt numFmtId="169" formatCode="0.0000"/>
    <numFmt numFmtId="170" formatCode="0.0000000"/>
    <numFmt numFmtId="177" formatCode="0.0E+00"/>
  </numFmts>
  <fonts count="4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mbria"/>
      <family val="1"/>
    </font>
    <font>
      <b/>
      <u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rgb="FF444444"/>
      <name val="Roboto"/>
    </font>
    <font>
      <b/>
      <i/>
      <sz val="11"/>
      <color theme="1"/>
      <name val="Calibri"/>
      <family val="2"/>
    </font>
    <font>
      <b/>
      <i/>
      <u/>
      <sz val="11"/>
      <color theme="1"/>
      <name val="Calibri"/>
      <family val="2"/>
    </font>
    <font>
      <b/>
      <sz val="11"/>
      <color rgb="FF548DD4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b/>
      <sz val="18"/>
      <color rgb="FF000000"/>
      <name val="Bookman Old Style"/>
      <family val="1"/>
    </font>
    <font>
      <b/>
      <i/>
      <sz val="14"/>
      <color rgb="FF000000"/>
      <name val="Bookman Old Style"/>
      <family val="1"/>
    </font>
    <font>
      <sz val="11"/>
      <color rgb="FF000000"/>
      <name val="Bookman Old Style"/>
      <family val="1"/>
    </font>
    <font>
      <b/>
      <u/>
      <sz val="11"/>
      <color theme="1"/>
      <name val="Bookman Old Style"/>
      <family val="1"/>
    </font>
    <font>
      <b/>
      <i/>
      <sz val="8"/>
      <color theme="1"/>
      <name val="Bookman Old Style"/>
      <family val="1"/>
    </font>
    <font>
      <i/>
      <sz val="8"/>
      <color rgb="FF000000"/>
      <name val="Bookman Old Style"/>
      <family val="1"/>
    </font>
    <font>
      <b/>
      <u/>
      <sz val="11"/>
      <color rgb="FF000000"/>
      <name val="Bookman Old Style"/>
      <family val="1"/>
    </font>
    <font>
      <b/>
      <i/>
      <sz val="8"/>
      <color rgb="FF000000"/>
      <name val="Bookman Old Style"/>
      <family val="1"/>
    </font>
    <font>
      <sz val="12"/>
      <color theme="1"/>
      <name val="Times New Roman"/>
      <family val="1"/>
    </font>
    <font>
      <sz val="11"/>
      <color theme="1"/>
      <name val="Bookman Old Style"/>
      <family val="1"/>
    </font>
    <font>
      <b/>
      <sz val="11"/>
      <color rgb="FF000000"/>
      <name val="Bookman Old Style"/>
      <family val="1"/>
    </font>
    <font>
      <sz val="10"/>
      <color rgb="FF000000"/>
      <name val="Bookman Old Style"/>
      <family val="1"/>
    </font>
    <font>
      <b/>
      <u/>
      <sz val="11"/>
      <color rgb="FF000000"/>
      <name val="Bookman Old Style"/>
      <family val="1"/>
    </font>
    <font>
      <sz val="11"/>
      <name val="Calibri"/>
      <family val="2"/>
    </font>
    <font>
      <b/>
      <sz val="11"/>
      <color theme="1"/>
      <name val="Bookman Old Style"/>
      <family val="1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b/>
      <i/>
      <u/>
      <sz val="10"/>
      <color rgb="FF000000"/>
      <name val="Calibri"/>
      <family val="2"/>
    </font>
    <font>
      <b/>
      <sz val="9"/>
      <color theme="1"/>
      <name val="Arial"/>
      <family val="2"/>
    </font>
    <font>
      <b/>
      <vertAlign val="superscript"/>
      <sz val="10"/>
      <color theme="1"/>
      <name val="Times New Roman"/>
      <family val="1"/>
    </font>
    <font>
      <sz val="8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  <fill>
      <patternFill patternType="solid">
        <fgColor rgb="FFE5DFEC"/>
        <bgColor rgb="FFE5DFEC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EECE1"/>
        <bgColor rgb="FFEEECE1"/>
      </patternFill>
    </fill>
    <fill>
      <patternFill patternType="solid">
        <fgColor theme="8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1" fillId="0" borderId="30"/>
    <xf numFmtId="0" fontId="1" fillId="0" borderId="30"/>
    <xf numFmtId="0" fontId="1" fillId="0" borderId="30"/>
    <xf numFmtId="0" fontId="1" fillId="0" borderId="30"/>
    <xf numFmtId="0" fontId="1" fillId="0" borderId="30"/>
    <xf numFmtId="0" fontId="1" fillId="0" borderId="30"/>
  </cellStyleXfs>
  <cellXfs count="217">
    <xf numFmtId="0" fontId="0" fillId="0" borderId="0" xfId="0"/>
    <xf numFmtId="14" fontId="3" fillId="0" borderId="0" xfId="0" applyNumberFormat="1" applyFont="1"/>
    <xf numFmtId="0" fontId="3" fillId="0" borderId="1" xfId="0" applyFont="1" applyBorder="1" applyAlignment="1">
      <alignment horizontal="center" wrapText="1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vertical="center"/>
    </xf>
    <xf numFmtId="165" fontId="3" fillId="0" borderId="1" xfId="0" applyNumberFormat="1" applyFont="1" applyBorder="1" applyAlignment="1">
      <alignment horizontal="right"/>
    </xf>
    <xf numFmtId="164" fontId="8" fillId="0" borderId="1" xfId="0" applyNumberFormat="1" applyFont="1" applyBorder="1"/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166" fontId="8" fillId="0" borderId="1" xfId="0" applyNumberFormat="1" applyFont="1" applyBorder="1"/>
    <xf numFmtId="166" fontId="9" fillId="0" borderId="1" xfId="0" applyNumberFormat="1" applyFont="1" applyBorder="1" applyAlignment="1">
      <alignment vertical="center"/>
    </xf>
    <xf numFmtId="0" fontId="10" fillId="0" borderId="0" xfId="0" applyFont="1"/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1" fillId="0" borderId="0" xfId="0" applyFont="1"/>
    <xf numFmtId="0" fontId="3" fillId="0" borderId="2" xfId="0" applyFont="1" applyBorder="1"/>
    <xf numFmtId="1" fontId="3" fillId="0" borderId="0" xfId="0" applyNumberFormat="1" applyFont="1"/>
    <xf numFmtId="0" fontId="12" fillId="0" borderId="0" xfId="0" applyFont="1"/>
    <xf numFmtId="49" fontId="3" fillId="0" borderId="1" xfId="0" applyNumberFormat="1" applyFont="1" applyBorder="1"/>
    <xf numFmtId="0" fontId="13" fillId="0" borderId="0" xfId="0" applyFont="1"/>
    <xf numFmtId="49" fontId="3" fillId="0" borderId="1" xfId="0" applyNumberFormat="1" applyFont="1" applyBorder="1" applyAlignment="1">
      <alignment horizontal="left"/>
    </xf>
    <xf numFmtId="0" fontId="14" fillId="0" borderId="1" xfId="0" applyFont="1" applyBorder="1"/>
    <xf numFmtId="165" fontId="3" fillId="0" borderId="1" xfId="0" applyNumberFormat="1" applyFont="1" applyBorder="1" applyAlignment="1">
      <alignment horizontal="left"/>
    </xf>
    <xf numFmtId="168" fontId="3" fillId="0" borderId="1" xfId="0" applyNumberFormat="1" applyFont="1" applyBorder="1" applyAlignment="1">
      <alignment horizontal="left"/>
    </xf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6" fontId="3" fillId="0" borderId="4" xfId="0" applyNumberFormat="1" applyFont="1" applyBorder="1"/>
    <xf numFmtId="0" fontId="3" fillId="0" borderId="5" xfId="0" applyFont="1" applyBorder="1"/>
    <xf numFmtId="0" fontId="3" fillId="0" borderId="11" xfId="0" applyFont="1" applyBorder="1"/>
    <xf numFmtId="166" fontId="3" fillId="0" borderId="12" xfId="0" applyNumberFormat="1" applyFont="1" applyBorder="1"/>
    <xf numFmtId="166" fontId="3" fillId="0" borderId="11" xfId="0" applyNumberFormat="1" applyFont="1" applyBorder="1"/>
    <xf numFmtId="0" fontId="3" fillId="0" borderId="12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167" fontId="3" fillId="0" borderId="0" xfId="0" applyNumberFormat="1" applyFont="1"/>
    <xf numFmtId="169" fontId="3" fillId="0" borderId="0" xfId="0" applyNumberFormat="1" applyFont="1"/>
    <xf numFmtId="165" fontId="15" fillId="0" borderId="1" xfId="0" applyNumberFormat="1" applyFont="1" applyBorder="1"/>
    <xf numFmtId="165" fontId="3" fillId="0" borderId="0" xfId="0" applyNumberFormat="1" applyFo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16" fillId="6" borderId="13" xfId="0" applyFont="1" applyFill="1" applyBorder="1" applyAlignment="1">
      <alignment horizontal="center"/>
    </xf>
    <xf numFmtId="0" fontId="16" fillId="6" borderId="14" xfId="0" applyFont="1" applyFill="1" applyBorder="1" applyAlignment="1">
      <alignment horizontal="center"/>
    </xf>
    <xf numFmtId="0" fontId="17" fillId="0" borderId="15" xfId="0" applyFont="1" applyBorder="1"/>
    <xf numFmtId="0" fontId="17" fillId="0" borderId="15" xfId="0" applyFont="1" applyBorder="1" applyAlignment="1">
      <alignment horizontal="center"/>
    </xf>
    <xf numFmtId="168" fontId="17" fillId="0" borderId="15" xfId="0" applyNumberFormat="1" applyFont="1" applyBorder="1" applyAlignment="1">
      <alignment horizontal="center"/>
    </xf>
    <xf numFmtId="0" fontId="17" fillId="7" borderId="16" xfId="0" applyFont="1" applyFill="1" applyBorder="1"/>
    <xf numFmtId="0" fontId="17" fillId="7" borderId="16" xfId="0" applyFont="1" applyFill="1" applyBorder="1" applyAlignment="1">
      <alignment horizontal="center"/>
    </xf>
    <xf numFmtId="170" fontId="17" fillId="7" borderId="16" xfId="0" applyNumberFormat="1" applyFont="1" applyFill="1" applyBorder="1" applyAlignment="1">
      <alignment horizontal="center"/>
    </xf>
    <xf numFmtId="0" fontId="17" fillId="0" borderId="16" xfId="0" applyFont="1" applyBorder="1"/>
    <xf numFmtId="0" fontId="17" fillId="0" borderId="16" xfId="0" applyFont="1" applyBorder="1" applyAlignment="1">
      <alignment horizontal="center"/>
    </xf>
    <xf numFmtId="0" fontId="17" fillId="0" borderId="17" xfId="0" applyFont="1" applyBorder="1"/>
    <xf numFmtId="0" fontId="17" fillId="0" borderId="17" xfId="0" applyFont="1" applyBorder="1" applyAlignment="1">
      <alignment horizontal="center"/>
    </xf>
    <xf numFmtId="0" fontId="17" fillId="0" borderId="18" xfId="0" applyFont="1" applyBorder="1"/>
    <xf numFmtId="0" fontId="17" fillId="0" borderId="19" xfId="0" applyFont="1" applyBorder="1"/>
    <xf numFmtId="0" fontId="17" fillId="0" borderId="19" xfId="0" applyFont="1" applyBorder="1" applyAlignment="1">
      <alignment horizontal="center"/>
    </xf>
    <xf numFmtId="0" fontId="17" fillId="0" borderId="20" xfId="0" applyFont="1" applyBorder="1"/>
    <xf numFmtId="0" fontId="17" fillId="0" borderId="20" xfId="0" applyFont="1" applyBorder="1" applyAlignment="1">
      <alignment horizontal="center"/>
    </xf>
    <xf numFmtId="0" fontId="17" fillId="0" borderId="15" xfId="0" applyFont="1" applyBorder="1" applyAlignment="1">
      <alignment horizontal="right"/>
    </xf>
    <xf numFmtId="0" fontId="17" fillId="0" borderId="21" xfId="0" applyFont="1" applyBorder="1"/>
    <xf numFmtId="0" fontId="17" fillId="0" borderId="22" xfId="0" applyFont="1" applyBorder="1"/>
    <xf numFmtId="0" fontId="17" fillId="0" borderId="22" xfId="0" applyFont="1" applyBorder="1" applyAlignment="1">
      <alignment horizontal="center"/>
    </xf>
    <xf numFmtId="0" fontId="17" fillId="0" borderId="23" xfId="0" applyFont="1" applyBorder="1"/>
    <xf numFmtId="0" fontId="17" fillId="0" borderId="23" xfId="0" applyFont="1" applyBorder="1" applyAlignment="1">
      <alignment horizontal="center"/>
    </xf>
    <xf numFmtId="0" fontId="17" fillId="0" borderId="16" xfId="0" applyFont="1" applyBorder="1" applyAlignment="1">
      <alignment horizontal="right"/>
    </xf>
    <xf numFmtId="2" fontId="17" fillId="0" borderId="16" xfId="0" applyNumberFormat="1" applyFont="1" applyBorder="1" applyAlignment="1">
      <alignment horizontal="right"/>
    </xf>
    <xf numFmtId="0" fontId="17" fillId="0" borderId="24" xfId="0" applyFont="1" applyBorder="1"/>
    <xf numFmtId="0" fontId="17" fillId="0" borderId="25" xfId="0" applyFont="1" applyBorder="1"/>
    <xf numFmtId="0" fontId="17" fillId="0" borderId="25" xfId="0" applyFont="1" applyBorder="1" applyAlignment="1">
      <alignment horizontal="center"/>
    </xf>
    <xf numFmtId="0" fontId="17" fillId="0" borderId="26" xfId="0" applyFont="1" applyBorder="1"/>
    <xf numFmtId="0" fontId="17" fillId="0" borderId="26" xfId="0" applyFont="1" applyBorder="1" applyAlignment="1">
      <alignment horizontal="center"/>
    </xf>
    <xf numFmtId="165" fontId="17" fillId="0" borderId="17" xfId="0" applyNumberFormat="1" applyFont="1" applyBorder="1" applyAlignment="1">
      <alignment horizontal="right"/>
    </xf>
    <xf numFmtId="0" fontId="17" fillId="0" borderId="27" xfId="0" applyFont="1" applyBorder="1"/>
    <xf numFmtId="0" fontId="3" fillId="0" borderId="28" xfId="0" applyFont="1" applyBorder="1"/>
    <xf numFmtId="0" fontId="3" fillId="0" borderId="29" xfId="0" applyFont="1" applyBorder="1"/>
    <xf numFmtId="0" fontId="3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15" fontId="31" fillId="0" borderId="0" xfId="0" applyNumberFormat="1" applyFont="1" applyAlignment="1">
      <alignment vertical="center"/>
    </xf>
    <xf numFmtId="0" fontId="32" fillId="0" borderId="0" xfId="0" applyFont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2" fontId="29" fillId="0" borderId="0" xfId="0" applyNumberFormat="1" applyFont="1" applyAlignment="1">
      <alignment vertical="center"/>
    </xf>
    <xf numFmtId="0" fontId="22" fillId="8" borderId="30" xfId="0" applyFont="1" applyFill="1" applyBorder="1" applyAlignment="1">
      <alignment vertical="center"/>
    </xf>
    <xf numFmtId="0" fontId="34" fillId="0" borderId="0" xfId="0" applyFont="1" applyAlignment="1">
      <alignment vertical="center"/>
    </xf>
    <xf numFmtId="169" fontId="29" fillId="0" borderId="0" xfId="0" applyNumberFormat="1" applyFont="1" applyAlignment="1">
      <alignment vertical="center"/>
    </xf>
    <xf numFmtId="0" fontId="29" fillId="0" borderId="0" xfId="0" applyFont="1"/>
    <xf numFmtId="1" fontId="29" fillId="0" borderId="0" xfId="0" applyNumberFormat="1" applyFont="1" applyAlignment="1">
      <alignment vertical="center"/>
    </xf>
    <xf numFmtId="0" fontId="35" fillId="0" borderId="1" xfId="0" applyFont="1" applyBorder="1"/>
    <xf numFmtId="0" fontId="36" fillId="0" borderId="1" xfId="0" applyFont="1" applyBorder="1"/>
    <xf numFmtId="0" fontId="37" fillId="0" borderId="0" xfId="0" applyFont="1"/>
    <xf numFmtId="0" fontId="3" fillId="0" borderId="0" xfId="0" applyFont="1"/>
    <xf numFmtId="0" fontId="36" fillId="0" borderId="0" xfId="0" applyFont="1"/>
    <xf numFmtId="0" fontId="35" fillId="0" borderId="0" xfId="0" applyFont="1"/>
    <xf numFmtId="0" fontId="35" fillId="0" borderId="1" xfId="0" applyFont="1" applyBorder="1" applyAlignment="1">
      <alignment horizontal="center"/>
    </xf>
    <xf numFmtId="1" fontId="36" fillId="0" borderId="1" xfId="0" applyNumberFormat="1" applyFont="1" applyBorder="1"/>
    <xf numFmtId="168" fontId="36" fillId="0" borderId="1" xfId="0" applyNumberFormat="1" applyFont="1" applyBorder="1"/>
    <xf numFmtId="0" fontId="13" fillId="9" borderId="1" xfId="0" applyFont="1" applyFill="1" applyBorder="1"/>
    <xf numFmtId="0" fontId="29" fillId="0" borderId="8" xfId="0" applyFont="1" applyBorder="1" applyAlignment="1">
      <alignment horizontal="center" vertical="center"/>
    </xf>
    <xf numFmtId="0" fontId="33" fillId="0" borderId="9" xfId="0" applyFont="1" applyBorder="1"/>
    <xf numFmtId="0" fontId="33" fillId="0" borderId="10" xfId="0" applyFont="1" applyBorder="1"/>
    <xf numFmtId="1" fontId="29" fillId="0" borderId="27" xfId="0" applyNumberFormat="1" applyFont="1" applyBorder="1" applyAlignment="1">
      <alignment horizontal="center" vertical="center"/>
    </xf>
    <xf numFmtId="0" fontId="33" fillId="0" borderId="29" xfId="0" applyFont="1" applyBorder="1"/>
    <xf numFmtId="165" fontId="29" fillId="0" borderId="27" xfId="0" applyNumberFormat="1" applyFont="1" applyBorder="1" applyAlignment="1">
      <alignment horizontal="center" vertical="center"/>
    </xf>
    <xf numFmtId="2" fontId="29" fillId="0" borderId="27" xfId="0" applyNumberFormat="1" applyFont="1" applyBorder="1" applyAlignment="1">
      <alignment horizontal="center" vertical="center"/>
    </xf>
    <xf numFmtId="0" fontId="33" fillId="0" borderId="28" xfId="0" applyFont="1" applyBorder="1"/>
    <xf numFmtId="0" fontId="20" fillId="0" borderId="0" xfId="0" applyFont="1" applyAlignment="1">
      <alignment horizontal="center" vertical="center"/>
    </xf>
    <xf numFmtId="0" fontId="0" fillId="0" borderId="0" xfId="0"/>
    <xf numFmtId="0" fontId="21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22" fillId="0" borderId="4" xfId="0" applyFont="1" applyBorder="1" applyAlignment="1">
      <alignment horizontal="center" vertical="center" wrapText="1"/>
    </xf>
    <xf numFmtId="0" fontId="33" fillId="0" borderId="5" xfId="0" applyFont="1" applyBorder="1"/>
    <xf numFmtId="0" fontId="33" fillId="0" borderId="6" xfId="0" applyFont="1" applyBorder="1"/>
    <xf numFmtId="0" fontId="22" fillId="0" borderId="4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33" fillId="0" borderId="7" xfId="0" applyFont="1" applyBorder="1"/>
    <xf numFmtId="0" fontId="22" fillId="0" borderId="8" xfId="0" applyFont="1" applyBorder="1" applyAlignment="1">
      <alignment horizontal="center" vertical="center"/>
    </xf>
    <xf numFmtId="0" fontId="1" fillId="0" borderId="0" xfId="0" applyFont="1"/>
    <xf numFmtId="166" fontId="0" fillId="0" borderId="31" xfId="0" applyNumberFormat="1" applyBorder="1"/>
    <xf numFmtId="166" fontId="0" fillId="0" borderId="32" xfId="0" applyNumberFormat="1" applyBorder="1"/>
    <xf numFmtId="166" fontId="0" fillId="0" borderId="0" xfId="0" applyNumberFormat="1"/>
    <xf numFmtId="166" fontId="0" fillId="0" borderId="33" xfId="0" applyNumberFormat="1" applyBorder="1"/>
    <xf numFmtId="166" fontId="1" fillId="10" borderId="34" xfId="1" applyNumberFormat="1" applyFill="1" applyBorder="1"/>
    <xf numFmtId="166" fontId="1" fillId="0" borderId="34" xfId="1" applyNumberFormat="1" applyBorder="1"/>
    <xf numFmtId="166" fontId="1" fillId="10" borderId="34" xfId="2" applyNumberFormat="1" applyFill="1" applyBorder="1"/>
    <xf numFmtId="166" fontId="1" fillId="0" borderId="34" xfId="2" applyNumberFormat="1" applyBorder="1"/>
    <xf numFmtId="166" fontId="1" fillId="10" borderId="34" xfId="3" applyNumberFormat="1" applyFill="1" applyBorder="1"/>
    <xf numFmtId="166" fontId="1" fillId="0" borderId="34" xfId="3" applyNumberFormat="1" applyBorder="1"/>
    <xf numFmtId="166" fontId="1" fillId="10" borderId="34" xfId="4" applyNumberFormat="1" applyFill="1" applyBorder="1"/>
    <xf numFmtId="166" fontId="1" fillId="0" borderId="34" xfId="4" applyNumberFormat="1" applyBorder="1"/>
    <xf numFmtId="165" fontId="0" fillId="10" borderId="34" xfId="0" applyNumberFormat="1" applyFill="1" applyBorder="1"/>
    <xf numFmtId="165" fontId="0" fillId="0" borderId="34" xfId="0" applyNumberFormat="1" applyBorder="1"/>
    <xf numFmtId="165" fontId="0" fillId="10" borderId="35" xfId="0" applyNumberFormat="1" applyFill="1" applyBorder="1"/>
    <xf numFmtId="165" fontId="0" fillId="0" borderId="35" xfId="0" applyNumberFormat="1" applyBorder="1"/>
    <xf numFmtId="166" fontId="1" fillId="0" borderId="31" xfId="5" applyNumberFormat="1" applyBorder="1"/>
    <xf numFmtId="166" fontId="1" fillId="0" borderId="32" xfId="5" applyNumberFormat="1" applyBorder="1"/>
    <xf numFmtId="0" fontId="1" fillId="0" borderId="32" xfId="5" applyBorder="1"/>
    <xf numFmtId="165" fontId="1" fillId="0" borderId="32" xfId="5" applyNumberFormat="1" applyBorder="1"/>
    <xf numFmtId="165" fontId="1" fillId="0" borderId="33" xfId="5" applyNumberFormat="1" applyBorder="1"/>
    <xf numFmtId="166" fontId="1" fillId="0" borderId="31" xfId="6" applyNumberFormat="1" applyBorder="1"/>
    <xf numFmtId="166" fontId="1" fillId="0" borderId="32" xfId="6" applyNumberFormat="1" applyBorder="1"/>
    <xf numFmtId="0" fontId="1" fillId="0" borderId="32" xfId="6" applyBorder="1"/>
    <xf numFmtId="165" fontId="1" fillId="0" borderId="32" xfId="6" applyNumberFormat="1" applyBorder="1"/>
    <xf numFmtId="165" fontId="1" fillId="0" borderId="33" xfId="6" applyNumberFormat="1" applyBorder="1"/>
    <xf numFmtId="0" fontId="6" fillId="2" borderId="14" xfId="0" applyFont="1" applyFill="1" applyBorder="1" applyAlignment="1">
      <alignment horizontal="center" wrapText="1"/>
    </xf>
    <xf numFmtId="0" fontId="3" fillId="0" borderId="34" xfId="0" applyFont="1" applyBorder="1"/>
    <xf numFmtId="0" fontId="3" fillId="0" borderId="34" xfId="0" applyFont="1" applyBorder="1" applyAlignment="1">
      <alignment horizontal="right"/>
    </xf>
    <xf numFmtId="164" fontId="3" fillId="0" borderId="34" xfId="0" applyNumberFormat="1" applyFont="1" applyBorder="1" applyAlignment="1">
      <alignment horizontal="right"/>
    </xf>
    <xf numFmtId="164" fontId="8" fillId="0" borderId="34" xfId="0" applyNumberFormat="1" applyFont="1" applyBorder="1"/>
    <xf numFmtId="167" fontId="3" fillId="0" borderId="34" xfId="0" applyNumberFormat="1" applyFont="1" applyBorder="1" applyAlignment="1">
      <alignment horizontal="right"/>
    </xf>
    <xf numFmtId="0" fontId="3" fillId="0" borderId="34" xfId="0" applyFont="1" applyBorder="1" applyAlignment="1">
      <alignment vertical="center"/>
    </xf>
    <xf numFmtId="0" fontId="0" fillId="0" borderId="34" xfId="0" applyBorder="1"/>
    <xf numFmtId="166" fontId="17" fillId="0" borderId="16" xfId="0" applyNumberFormat="1" applyFont="1" applyBorder="1" applyAlignment="1">
      <alignment horizontal="center"/>
    </xf>
    <xf numFmtId="169" fontId="17" fillId="0" borderId="17" xfId="0" applyNumberFormat="1" applyFont="1" applyBorder="1" applyAlignment="1">
      <alignment horizontal="right"/>
    </xf>
    <xf numFmtId="177" fontId="3" fillId="0" borderId="11" xfId="0" applyNumberFormat="1" applyFont="1" applyBorder="1"/>
    <xf numFmtId="0" fontId="22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9" fillId="0" borderId="27" xfId="0" applyNumberFormat="1" applyFont="1" applyBorder="1" applyAlignment="1">
      <alignment horizontal="center" vertical="center"/>
    </xf>
    <xf numFmtId="0" fontId="33" fillId="0" borderId="29" xfId="0" applyNumberFormat="1" applyFont="1" applyBorder="1"/>
    <xf numFmtId="165" fontId="33" fillId="0" borderId="28" xfId="0" applyNumberFormat="1" applyFont="1" applyBorder="1"/>
    <xf numFmtId="165" fontId="33" fillId="0" borderId="29" xfId="0" applyNumberFormat="1" applyFont="1" applyBorder="1"/>
    <xf numFmtId="169" fontId="29" fillId="0" borderId="27" xfId="0" applyNumberFormat="1" applyFont="1" applyBorder="1" applyAlignment="1">
      <alignment horizontal="center" vertical="center"/>
    </xf>
    <xf numFmtId="169" fontId="33" fillId="0" borderId="29" xfId="0" applyNumberFormat="1" applyFont="1" applyBorder="1"/>
    <xf numFmtId="168" fontId="29" fillId="0" borderId="27" xfId="0" applyNumberFormat="1" applyFont="1" applyBorder="1" applyAlignment="1">
      <alignment horizontal="center" vertical="center"/>
    </xf>
    <xf numFmtId="168" fontId="33" fillId="0" borderId="28" xfId="0" applyNumberFormat="1" applyFont="1" applyBorder="1"/>
    <xf numFmtId="168" fontId="33" fillId="0" borderId="29" xfId="0" applyNumberFormat="1" applyFont="1" applyBorder="1"/>
    <xf numFmtId="166" fontId="29" fillId="0" borderId="27" xfId="0" applyNumberFormat="1" applyFont="1" applyBorder="1" applyAlignment="1">
      <alignment horizontal="center" vertical="center"/>
    </xf>
    <xf numFmtId="166" fontId="33" fillId="0" borderId="29" xfId="0" applyNumberFormat="1" applyFont="1" applyBorder="1"/>
    <xf numFmtId="167" fontId="29" fillId="0" borderId="27" xfId="0" applyNumberFormat="1" applyFont="1" applyBorder="1" applyAlignment="1">
      <alignment horizontal="center" vertical="center"/>
    </xf>
    <xf numFmtId="167" fontId="33" fillId="0" borderId="29" xfId="0" applyNumberFormat="1" applyFont="1" applyBorder="1"/>
    <xf numFmtId="0" fontId="0" fillId="0" borderId="0" xfId="0" applyAlignment="1">
      <alignment horizontal="left"/>
    </xf>
    <xf numFmtId="0" fontId="29" fillId="0" borderId="0" xfId="0" applyFont="1" applyAlignment="1">
      <alignment horizontal="left" vertical="top"/>
    </xf>
  </cellXfs>
  <cellStyles count="7">
    <cellStyle name="Normal" xfId="0" builtinId="0"/>
    <cellStyle name="Normal 10" xfId="2" xr:uid="{7F976079-99F1-41C9-8CF0-9C8611AA4617}"/>
    <cellStyle name="Normal 11" xfId="3" xr:uid="{C0A5F508-2F8D-4EDB-8603-64466E985286}"/>
    <cellStyle name="Normal 12" xfId="4" xr:uid="{009A4C0B-A149-46F1-BD25-EB64AD7D33AB}"/>
    <cellStyle name="Normal 7" xfId="1" xr:uid="{DD7433E0-6C16-4837-8386-BA0E41A7EFEC}"/>
    <cellStyle name="Normal 8" xfId="5" xr:uid="{45301F8B-E1E3-47D2-86C0-884C468F5FCF}"/>
    <cellStyle name="Normal 9" xfId="6" xr:uid="{8692A78B-9381-44BD-B529-D36E0461C9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customschemas.google.com/relationships/workbookmetadata" Target="metadata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02657" y="15412897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381000</xdr:colOff>
      <xdr:row>43</xdr:row>
      <xdr:rowOff>160020</xdr:rowOff>
    </xdr:from>
    <xdr:to>
      <xdr:col>4</xdr:col>
      <xdr:colOff>274320</xdr:colOff>
      <xdr:row>47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FEED7B-ABBB-8848-2EAD-B88AC0A7A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4540" y="7711440"/>
          <a:ext cx="6477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8F6516B-B9E2-4200-A55B-47C1B512C7F6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27B7C589-9842-4805-ABDE-7D2F57DB47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6E718E6A-FA05-4F5D-9D90-73CDDD7C8CC5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B06B87F4-A8AB-44FC-B518-E071F87CB1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8AE4167-086E-4196-AB82-C4AF3BCD8AFA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7C4C853A-1EFB-42B3-B2E8-94E22A9D1C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877FA679-154B-433E-844D-8B6EB4E80B5F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1E1A010F-452A-4328-AFEA-D136B3B0AA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5BE74BD-812A-4F05-9FD2-CB26F8167628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E4D669F7-16BB-4808-ABE8-67B87C4C21F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DD7326DD-4394-4423-9316-622EEF305311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2E71C966-46AA-4AE5-A170-B9BB002C4C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F17EE27-C679-4C25-BCAB-06DEC74541DC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924D13C1-1885-4104-8986-33642376CE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45C2C5B5-CE5B-4F70-9DC3-40EAB15A584B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475D3EF9-0D7D-4560-9A0B-61AEF6B27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459BA92-9C33-479A-8614-A89868177CD5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8A277274-AECB-4C85-857D-AFB1439FAC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7FB373DF-EDDE-4143-B97A-DAE7B0A0F1CE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64C586BC-343E-40B7-8ACA-A6F51F9DD3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89EBEE78-E752-4D68-88D1-C8B09515D024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13C07DE6-A036-483A-93AE-B5C1399E47E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AD49C502-BECC-4062-8676-2034B777CE06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1E4C5E37-1CF1-4B08-A324-BA83899DC9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2E09243D-9A77-4F90-AEBF-1BF07688C634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52B438D1-F3DE-45C8-9231-AD2470636B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F43E2A9-6CA6-4EBB-AE26-81CAF73E1137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CF3470D8-ECA1-4EB1-B0D7-786BD2BD78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4CE64143-4C61-44E4-9D15-5C6BFAB2FDC3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385B4369-F621-4466-8BD8-1E3A1043F3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294446F-EBBE-4FDA-B879-77F9DBE5DF5F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6970933B-7855-4D8E-BAFF-265053115E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5F23F909-9FB4-4AF6-9E51-B72D10B292E1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2169D678-9027-4C8F-8EE3-86AD801635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287241F4-C1F8-4935-BB1F-3A57A04F94BC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2F5B9361-43FF-45EB-88F7-5949714E48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33A5726-C070-4400-8CE6-8FD5DEA59A02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179C7D63-4390-498C-B330-63FC0B4306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9C9777D9-FC3A-4BDA-BFDE-0E282B22CEE0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E80B608E-83CD-428E-B0AC-8C08570D66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CCB71CB0-50D5-4845-A99B-D428F11C4F25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4E1C1F04-BB6B-4C07-8F97-DC0330BD02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2AFCDFD0-6583-4748-87CC-8E4CEED3FF06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3CBB045F-2A27-4136-977B-7140B2563C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70CCF3A9-11A5-4B5F-BAE9-98077948C488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31D87BB2-BF7F-4F1F-A50C-0986D80254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C34CDAC7-D5D3-4090-A8C3-AAB535642061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BCEB4AFD-DAA6-4D86-BF27-47B52981C3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CF2520EB-C5E3-46D0-9144-8975DF88AE23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B0CD5AFA-5804-40C5-AECC-7D093FC70D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F0A35B39-CFF8-47BD-829A-1E90220C8784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1BB2578A-3534-4AE1-8555-143B308A32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0153614-3586-4ACF-B2E4-9C9F08910C58}"/>
            </a:ext>
          </a:extLst>
        </xdr:cNvPr>
        <xdr:cNvSpPr/>
      </xdr:nvSpPr>
      <xdr:spPr>
        <a:xfrm>
          <a:off x="10736580" y="1945386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547265</xdr:colOff>
      <xdr:row>88</xdr:row>
      <xdr:rowOff>134315</xdr:rowOff>
    </xdr:from>
    <xdr:ext cx="4762500" cy="3429000"/>
    <xdr:pic>
      <xdr:nvPicPr>
        <xdr:cNvPr id="3" name="image3.png">
          <a:extLst>
            <a:ext uri="{FF2B5EF4-FFF2-40B4-BE49-F238E27FC236}">
              <a16:creationId xmlns:a16="http://schemas.microsoft.com/office/drawing/2014/main" id="{A877DAE0-C307-47B8-BE89-5307DFE4F1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14425" y="15557195"/>
          <a:ext cx="4762500" cy="34290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0070C0"/>
  </sheetPr>
  <dimension ref="B1:D1000"/>
  <sheetViews>
    <sheetView workbookViewId="0"/>
  </sheetViews>
  <sheetFormatPr defaultColWidth="14.44140625" defaultRowHeight="15" customHeight="1" x14ac:dyDescent="0.3"/>
  <cols>
    <col min="1" max="1" width="4.6640625" customWidth="1"/>
    <col min="2" max="2" width="8.5546875" customWidth="1"/>
    <col min="3" max="3" width="15.88671875" customWidth="1"/>
    <col min="4" max="4" width="19" customWidth="1"/>
    <col min="5" max="5" width="10.6640625" customWidth="1"/>
    <col min="6" max="26" width="8.6640625" customWidth="1"/>
  </cols>
  <sheetData>
    <row r="1" spans="2:4" ht="14.25" customHeight="1" x14ac:dyDescent="0.3">
      <c r="C1" s="1">
        <v>44809</v>
      </c>
    </row>
    <row r="2" spans="2:4" ht="14.25" customHeight="1" x14ac:dyDescent="0.3">
      <c r="B2" s="2" t="s">
        <v>31</v>
      </c>
      <c r="C2" s="2" t="s">
        <v>32</v>
      </c>
      <c r="D2" s="2" t="s">
        <v>33</v>
      </c>
    </row>
    <row r="3" spans="2:4" ht="14.25" customHeight="1" x14ac:dyDescent="0.3">
      <c r="B3" s="3">
        <v>5000</v>
      </c>
      <c r="C3" s="3">
        <v>4999.9986600000002</v>
      </c>
      <c r="D3" s="3">
        <v>0.6</v>
      </c>
    </row>
    <row r="4" spans="2:4" ht="14.25" customHeight="1" x14ac:dyDescent="0.3">
      <c r="B4" s="3" t="s">
        <v>34</v>
      </c>
      <c r="C4" s="3">
        <v>2000.0319999999999</v>
      </c>
      <c r="D4" s="3">
        <v>24</v>
      </c>
    </row>
    <row r="5" spans="2:4" ht="14.25" customHeight="1" x14ac:dyDescent="0.3">
      <c r="B5" s="3">
        <v>2000</v>
      </c>
      <c r="C5" s="3">
        <v>2000.0319999999999</v>
      </c>
      <c r="D5" s="3">
        <v>24</v>
      </c>
    </row>
    <row r="6" spans="2:4" ht="14.25" customHeight="1" x14ac:dyDescent="0.3">
      <c r="B6" s="3">
        <v>1000</v>
      </c>
      <c r="C6" s="3">
        <v>1000.000837</v>
      </c>
      <c r="D6" s="3">
        <v>9.9000000000000005E-2</v>
      </c>
    </row>
    <row r="7" spans="2:4" ht="14.25" customHeight="1" x14ac:dyDescent="0.3">
      <c r="B7" s="3">
        <v>500</v>
      </c>
      <c r="C7" s="3">
        <v>500.00008400000002</v>
      </c>
      <c r="D7" s="3">
        <v>5.6000000000000001E-2</v>
      </c>
    </row>
    <row r="8" spans="2:4" ht="14.25" customHeight="1" x14ac:dyDescent="0.3">
      <c r="B8" s="3">
        <v>200</v>
      </c>
      <c r="C8" s="3">
        <v>199.999922</v>
      </c>
      <c r="D8" s="3">
        <v>2.5000000000000001E-2</v>
      </c>
    </row>
    <row r="9" spans="2:4" ht="14.25" customHeight="1" x14ac:dyDescent="0.3">
      <c r="B9" s="3" t="s">
        <v>35</v>
      </c>
      <c r="C9" s="3">
        <v>199.999977</v>
      </c>
      <c r="D9" s="3">
        <v>2.5000000000000001E-2</v>
      </c>
    </row>
    <row r="10" spans="2:4" ht="14.25" customHeight="1" x14ac:dyDescent="0.3">
      <c r="B10" s="3">
        <v>100</v>
      </c>
      <c r="C10" s="3">
        <v>99.999909000000002</v>
      </c>
      <c r="D10" s="3">
        <v>2.1999999999999999E-2</v>
      </c>
    </row>
    <row r="11" spans="2:4" ht="14.25" customHeight="1" x14ac:dyDescent="0.3">
      <c r="B11" s="3">
        <v>50</v>
      </c>
      <c r="C11" s="3">
        <v>49.999975999999997</v>
      </c>
      <c r="D11" s="3">
        <v>1.2E-2</v>
      </c>
    </row>
    <row r="12" spans="2:4" ht="14.25" customHeight="1" x14ac:dyDescent="0.3">
      <c r="B12" s="3">
        <v>20</v>
      </c>
      <c r="C12" s="3">
        <v>19.999989299999999</v>
      </c>
      <c r="D12" s="3">
        <v>8.9999999999999993E-3</v>
      </c>
    </row>
    <row r="13" spans="2:4" ht="14.25" customHeight="1" x14ac:dyDescent="0.3">
      <c r="B13" s="3" t="s">
        <v>36</v>
      </c>
      <c r="C13" s="3">
        <v>19.999988800000001</v>
      </c>
      <c r="D13" s="3">
        <v>8.9999999999999993E-3</v>
      </c>
    </row>
    <row r="14" spans="2:4" ht="14.25" customHeight="1" x14ac:dyDescent="0.3">
      <c r="B14" s="3">
        <v>10</v>
      </c>
      <c r="C14" s="3">
        <v>9.9999660000000006</v>
      </c>
      <c r="D14" s="3">
        <v>8.3000000000000001E-3</v>
      </c>
    </row>
    <row r="15" spans="2:4" ht="14.25" customHeight="1" x14ac:dyDescent="0.3">
      <c r="B15" s="3">
        <v>5</v>
      </c>
      <c r="C15" s="3">
        <v>5.0000099000000002</v>
      </c>
      <c r="D15" s="3">
        <v>5.1000000000000004E-3</v>
      </c>
    </row>
    <row r="16" spans="2:4" ht="14.25" customHeight="1" x14ac:dyDescent="0.3">
      <c r="B16" s="3">
        <v>2</v>
      </c>
      <c r="C16" s="3">
        <v>2.0000124000000001</v>
      </c>
      <c r="D16" s="3">
        <v>3.8999999999999998E-3</v>
      </c>
    </row>
    <row r="17" spans="2:4" ht="14.25" customHeight="1" x14ac:dyDescent="0.3">
      <c r="B17" s="3" t="s">
        <v>37</v>
      </c>
      <c r="C17" s="3">
        <v>1.9999897</v>
      </c>
      <c r="D17" s="3">
        <v>3.8999999999999998E-3</v>
      </c>
    </row>
    <row r="18" spans="2:4" ht="14.25" customHeight="1" x14ac:dyDescent="0.3">
      <c r="B18" s="3">
        <v>1</v>
      </c>
      <c r="C18" s="3">
        <v>0.99998560000000003</v>
      </c>
      <c r="D18" s="3">
        <v>3.5000000000000001E-3</v>
      </c>
    </row>
    <row r="19" spans="2:4" ht="14.25" customHeight="1" x14ac:dyDescent="0.3">
      <c r="B19" s="3">
        <v>0.5</v>
      </c>
      <c r="C19" s="3">
        <v>0.50001799999999996</v>
      </c>
      <c r="D19" s="3">
        <v>3.0000000000000001E-3</v>
      </c>
    </row>
    <row r="20" spans="2:4" ht="14.25" customHeight="1" x14ac:dyDescent="0.3">
      <c r="B20" s="3">
        <v>0.2</v>
      </c>
      <c r="C20" s="3">
        <v>0.20000999999999999</v>
      </c>
      <c r="D20" s="3">
        <v>3.0000000000000001E-3</v>
      </c>
    </row>
    <row r="21" spans="2:4" ht="14.25" customHeight="1" x14ac:dyDescent="0.3">
      <c r="B21" s="3" t="s">
        <v>38</v>
      </c>
      <c r="C21" s="3">
        <v>0.200014</v>
      </c>
      <c r="D21" s="3">
        <v>3.0000000000000001E-3</v>
      </c>
    </row>
    <row r="22" spans="2:4" ht="14.25" customHeight="1" x14ac:dyDescent="0.3">
      <c r="B22" s="3">
        <v>0.1</v>
      </c>
      <c r="C22" s="3">
        <v>0.100005</v>
      </c>
      <c r="D22" s="3">
        <v>2E-3</v>
      </c>
    </row>
    <row r="23" spans="2:4" ht="14.25" customHeight="1" x14ac:dyDescent="0.3">
      <c r="B23" s="3">
        <v>0.05</v>
      </c>
      <c r="C23" s="3">
        <v>5.0004E-2</v>
      </c>
      <c r="D23" s="3">
        <v>2E-3</v>
      </c>
    </row>
    <row r="24" spans="2:4" ht="14.25" customHeight="1" x14ac:dyDescent="0.3">
      <c r="B24" s="3">
        <v>0.02</v>
      </c>
      <c r="C24" s="3">
        <v>2.0004999999999998E-2</v>
      </c>
      <c r="D24" s="3">
        <v>2E-3</v>
      </c>
    </row>
    <row r="25" spans="2:4" ht="14.25" customHeight="1" x14ac:dyDescent="0.3">
      <c r="B25" s="3" t="s">
        <v>39</v>
      </c>
      <c r="C25" s="3">
        <v>1.9996E-2</v>
      </c>
      <c r="D25" s="3">
        <v>2E-3</v>
      </c>
    </row>
    <row r="26" spans="2:4" ht="14.25" customHeight="1" x14ac:dyDescent="0.3">
      <c r="B26" s="3">
        <v>0.01</v>
      </c>
      <c r="C26" s="3">
        <v>9.9950000000000004E-3</v>
      </c>
      <c r="D26" s="3">
        <v>2E-3</v>
      </c>
    </row>
    <row r="27" spans="2:4" ht="14.25" customHeight="1" x14ac:dyDescent="0.3">
      <c r="B27" s="3">
        <v>5.0000000000000001E-3</v>
      </c>
      <c r="C27" s="3">
        <v>5.0039999999999998E-3</v>
      </c>
      <c r="D27" s="3">
        <v>2E-3</v>
      </c>
    </row>
    <row r="28" spans="2:4" ht="14.25" customHeight="1" x14ac:dyDescent="0.3">
      <c r="B28" s="3">
        <v>2E-3</v>
      </c>
      <c r="C28" s="3">
        <v>1.9989999999999999E-3</v>
      </c>
      <c r="D28" s="3">
        <v>2E-3</v>
      </c>
    </row>
    <row r="29" spans="2:4" ht="14.25" customHeight="1" x14ac:dyDescent="0.3">
      <c r="B29" s="3" t="s">
        <v>40</v>
      </c>
      <c r="C29" s="3">
        <v>2.0049999999999998E-3</v>
      </c>
      <c r="D29" s="3">
        <v>2E-3</v>
      </c>
    </row>
    <row r="30" spans="2:4" ht="14.25" customHeight="1" x14ac:dyDescent="0.3">
      <c r="B30" s="3">
        <v>1E-3</v>
      </c>
      <c r="C30" s="3">
        <v>1.0039999999999999E-3</v>
      </c>
      <c r="D30" s="3">
        <v>2E-3</v>
      </c>
    </row>
    <row r="31" spans="2:4" ht="14.25" customHeight="1" x14ac:dyDescent="0.3"/>
    <row r="32" spans="2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B050"/>
  </sheetPr>
  <dimension ref="A1:Z1000"/>
  <sheetViews>
    <sheetView tabSelected="1" topLeftCell="A57" zoomScale="79" zoomScaleNormal="79" workbookViewId="0">
      <selection activeCell="J48" sqref="J48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3">
        <v>1000</v>
      </c>
      <c r="N3" s="13">
        <v>1000.0005</v>
      </c>
      <c r="O3" s="13">
        <v>3.1E-4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3">
        <v>500</v>
      </c>
      <c r="N4" s="16">
        <v>500.00060000000002</v>
      </c>
      <c r="O4" s="13">
        <v>1.6000000000000001E-4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3">
        <v>200</v>
      </c>
      <c r="N5" s="16">
        <v>200.00020000000001</v>
      </c>
      <c r="O5" s="13">
        <v>6.0000000000000002E-5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3" t="s">
        <v>35</v>
      </c>
      <c r="N6" s="16">
        <v>200.00020000000001</v>
      </c>
      <c r="O6" s="13">
        <v>7.2000000000000002E-5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3">
        <v>100</v>
      </c>
      <c r="N7" s="16">
        <v>100.00001</v>
      </c>
      <c r="O7" s="13">
        <v>3.6000000000000001E-5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3">
        <v>50</v>
      </c>
      <c r="N8" s="16">
        <v>50.000019999999999</v>
      </c>
      <c r="O8" s="13">
        <v>2.0999999999999999E-5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3">
        <v>20</v>
      </c>
      <c r="N9" s="19">
        <v>20.000029999999999</v>
      </c>
      <c r="O9" s="13">
        <v>1.5999999999999999E-5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3" t="s">
        <v>36</v>
      </c>
      <c r="N10" s="19">
        <v>20.00001</v>
      </c>
      <c r="O10" s="13">
        <v>1.5999999999999999E-5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3">
        <v>10</v>
      </c>
      <c r="N11" s="16">
        <v>10.000023000000001</v>
      </c>
      <c r="O11" s="13">
        <v>1.4E-5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3">
        <v>5</v>
      </c>
      <c r="N12" s="21">
        <v>5.0000030000000004</v>
      </c>
      <c r="O12" s="13">
        <v>8.8999999999999995E-6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3">
        <v>2</v>
      </c>
      <c r="N13" s="13">
        <v>2.0000149999999999</v>
      </c>
      <c r="O13" s="13">
        <v>7.0999999999999998E-6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3" t="s">
        <v>37</v>
      </c>
      <c r="N14" s="13">
        <v>2.000003</v>
      </c>
      <c r="O14" s="13">
        <v>7.0999999999999998E-6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3">
        <v>1</v>
      </c>
      <c r="N15" s="13">
        <v>1.000013</v>
      </c>
      <c r="O15" s="13">
        <v>6.8000000000000001E-6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3">
        <v>0.5</v>
      </c>
      <c r="N16" s="14">
        <f>500.011/1000</f>
        <v>0.50001099999999998</v>
      </c>
      <c r="O16" s="14">
        <v>5.1000000000000004E-3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3">
        <v>0.2</v>
      </c>
      <c r="N17" s="14">
        <f>200.001/1000</f>
        <v>0.20000100000000001</v>
      </c>
      <c r="O17" s="14">
        <v>3.0999999999999999E-3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4" t="s">
        <v>66</v>
      </c>
      <c r="N18" s="14">
        <f>199.999/1000</f>
        <v>0.19999899999999998</v>
      </c>
      <c r="O18" s="14">
        <v>3.5999999999999999E-3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3">
        <v>0.1</v>
      </c>
      <c r="N19" s="14">
        <f>100.009/1000</f>
        <v>0.100009</v>
      </c>
      <c r="O19" s="14">
        <v>3.0999999999999999E-3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264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1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0.01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/>
      <c r="D52" s="3" t="s">
        <v>113</v>
      </c>
    </row>
    <row r="53" spans="1:7" ht="14.25" customHeight="1" x14ac:dyDescent="0.3">
      <c r="B53" s="3" t="s">
        <v>122</v>
      </c>
      <c r="C53" s="36"/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45">
        <v>10000.219999999999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48">
        <v>9999.24</v>
      </c>
      <c r="G58" s="49">
        <f>B58-B57</f>
        <v>-0.97999999999956344</v>
      </c>
    </row>
    <row r="59" spans="1:7" ht="14.25" customHeight="1" x14ac:dyDescent="0.3">
      <c r="A59" s="28" t="s">
        <v>133</v>
      </c>
      <c r="B59" s="48">
        <v>9999.24</v>
      </c>
      <c r="G59" s="47"/>
    </row>
    <row r="60" spans="1:7" ht="14.25" customHeight="1" x14ac:dyDescent="0.3">
      <c r="A60" s="28" t="s">
        <v>134</v>
      </c>
      <c r="B60" s="48">
        <v>10000.24</v>
      </c>
      <c r="G60" s="49">
        <f>B59-B60</f>
        <v>-1</v>
      </c>
    </row>
    <row r="61" spans="1:7" ht="14.25" customHeight="1" x14ac:dyDescent="0.3">
      <c r="A61" s="28" t="s">
        <v>135</v>
      </c>
      <c r="B61" s="50"/>
      <c r="C61" s="50">
        <v>10000.23</v>
      </c>
      <c r="G61" s="47"/>
    </row>
    <row r="62" spans="1:7" ht="14.25" customHeight="1" x14ac:dyDescent="0.3">
      <c r="A62" s="28" t="s">
        <v>136</v>
      </c>
      <c r="B62" s="50"/>
      <c r="C62" s="50">
        <v>9999.24</v>
      </c>
      <c r="G62" s="47">
        <f>C62-C61</f>
        <v>-0.98999999999978172</v>
      </c>
    </row>
    <row r="63" spans="1:7" ht="14.25" customHeight="1" x14ac:dyDescent="0.3">
      <c r="A63" s="28" t="s">
        <v>137</v>
      </c>
      <c r="B63" s="50"/>
      <c r="C63" s="50">
        <v>9999.25</v>
      </c>
      <c r="G63" s="47"/>
    </row>
    <row r="64" spans="1:7" ht="14.25" customHeight="1" x14ac:dyDescent="0.3">
      <c r="A64" s="28" t="s">
        <v>138</v>
      </c>
      <c r="B64" s="50"/>
      <c r="C64" s="50">
        <v>10000.27</v>
      </c>
      <c r="G64" s="47">
        <f>C63-C64</f>
        <v>-1.0200000000004366</v>
      </c>
    </row>
    <row r="65" spans="1:19" ht="14.25" customHeight="1" x14ac:dyDescent="0.3">
      <c r="A65" s="28" t="s">
        <v>139</v>
      </c>
      <c r="B65" s="50"/>
      <c r="D65" s="50">
        <v>10000.19</v>
      </c>
      <c r="G65" s="47"/>
    </row>
    <row r="66" spans="1:19" ht="14.25" customHeight="1" x14ac:dyDescent="0.3">
      <c r="A66" s="28" t="s">
        <v>140</v>
      </c>
      <c r="B66" s="50"/>
      <c r="D66" s="50">
        <v>9999.2000000000007</v>
      </c>
      <c r="G66" s="47">
        <f>D66-D65</f>
        <v>-0.98999999999978172</v>
      </c>
    </row>
    <row r="67" spans="1:19" ht="14.25" customHeight="1" x14ac:dyDescent="0.3">
      <c r="A67" s="28" t="s">
        <v>141</v>
      </c>
      <c r="B67" s="50"/>
      <c r="D67" s="50">
        <v>9999.2000000000007</v>
      </c>
      <c r="G67" s="47"/>
    </row>
    <row r="68" spans="1:19" ht="14.25" customHeight="1" x14ac:dyDescent="0.3">
      <c r="A68" s="28" t="s">
        <v>142</v>
      </c>
      <c r="B68" s="50"/>
      <c r="D68" s="50">
        <v>10000.200000000001</v>
      </c>
      <c r="G68" s="47">
        <f>D67-D68</f>
        <v>-1</v>
      </c>
    </row>
    <row r="69" spans="1:19" ht="14.25" customHeight="1" x14ac:dyDescent="0.3">
      <c r="A69" s="28" t="s">
        <v>143</v>
      </c>
      <c r="B69" s="50"/>
      <c r="E69" s="50">
        <v>10000.200000000001</v>
      </c>
      <c r="G69" s="47"/>
    </row>
    <row r="70" spans="1:19" ht="14.25" customHeight="1" x14ac:dyDescent="0.3">
      <c r="A70" s="28" t="s">
        <v>144</v>
      </c>
      <c r="B70" s="50"/>
      <c r="E70" s="50">
        <v>9999.2199999999993</v>
      </c>
      <c r="G70" s="47">
        <f>E70-E69</f>
        <v>-0.98000000000138243</v>
      </c>
    </row>
    <row r="71" spans="1:19" ht="14.25" customHeight="1" x14ac:dyDescent="0.3">
      <c r="A71" s="28" t="s">
        <v>145</v>
      </c>
      <c r="B71" s="50"/>
      <c r="E71" s="50">
        <v>9999.2199999999993</v>
      </c>
      <c r="G71" s="47"/>
    </row>
    <row r="72" spans="1:19" ht="14.25" customHeight="1" x14ac:dyDescent="0.3">
      <c r="A72" s="28" t="s">
        <v>146</v>
      </c>
      <c r="B72" s="50"/>
      <c r="E72" s="50">
        <v>10000.209999999999</v>
      </c>
      <c r="G72" s="47">
        <f>E71-E72</f>
        <v>-0.98999999999978172</v>
      </c>
    </row>
    <row r="73" spans="1:19" ht="14.25" customHeight="1" x14ac:dyDescent="0.3">
      <c r="A73" s="28" t="s">
        <v>147</v>
      </c>
      <c r="B73" s="50"/>
      <c r="F73" s="50">
        <v>10000.219999999999</v>
      </c>
      <c r="G73" s="47"/>
    </row>
    <row r="74" spans="1:19" ht="14.25" customHeight="1" x14ac:dyDescent="0.3">
      <c r="A74" s="28" t="s">
        <v>148</v>
      </c>
      <c r="B74" s="50"/>
      <c r="F74" s="50">
        <v>9999.2199999999993</v>
      </c>
      <c r="G74" s="47">
        <f>F74-F73</f>
        <v>-1</v>
      </c>
    </row>
    <row r="75" spans="1:19" ht="14.25" customHeight="1" x14ac:dyDescent="0.3">
      <c r="A75" s="28" t="s">
        <v>149</v>
      </c>
      <c r="B75" s="50"/>
      <c r="F75" s="50">
        <v>9999.2199999999993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51">
        <v>10000.219999999999</v>
      </c>
      <c r="G76" s="53">
        <f>F75-F76</f>
        <v>-1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-0.99500000000007272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1.1180339887498947E-2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4.0999999999999995E-3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-0.99500000000007272</v>
      </c>
      <c r="H84" s="27" t="s">
        <v>113</v>
      </c>
    </row>
    <row r="85" spans="2:12" ht="14.25" customHeight="1" x14ac:dyDescent="0.3">
      <c r="G85" s="57">
        <f>G84</f>
        <v>-0.99500000000007272</v>
      </c>
    </row>
    <row r="86" spans="2:12" ht="14.25" customHeight="1" x14ac:dyDescent="0.3">
      <c r="F86" s="27" t="s">
        <v>155</v>
      </c>
      <c r="G86" s="27">
        <f>IF(G80&gt;G82,G80,G82)</f>
        <v>1.1180339887498947E-2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1</v>
      </c>
      <c r="D92" s="60" t="s">
        <v>113</v>
      </c>
      <c r="E92" s="66"/>
      <c r="F92" s="59" t="s">
        <v>164</v>
      </c>
      <c r="G92" s="59">
        <v>50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0</v>
      </c>
      <c r="F97" s="71">
        <v>2</v>
      </c>
      <c r="G97" s="71">
        <v>60</v>
      </c>
      <c r="H97" s="71">
        <f t="shared" ref="H97:H101" si="1">E97/F97</f>
        <v>0</v>
      </c>
      <c r="I97" s="71">
        <v>1</v>
      </c>
      <c r="J97" s="71">
        <f t="shared" ref="J97:J101" si="2">H97*I97</f>
        <v>0</v>
      </c>
      <c r="K97" s="71">
        <f t="shared" ref="K97:K101" si="3">J97^2</f>
        <v>0</v>
      </c>
      <c r="L97" s="71">
        <f t="shared" ref="L97:L101" si="4">J97^4/G97</f>
        <v>0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3.5355339059327369</v>
      </c>
      <c r="F98" s="74">
        <v>1</v>
      </c>
      <c r="G98" s="74">
        <f>IF(G80&gt;G82,9,1000)</f>
        <v>9</v>
      </c>
      <c r="H98" s="74">
        <f t="shared" si="1"/>
        <v>3.5355339059327369</v>
      </c>
      <c r="I98" s="74">
        <v>1</v>
      </c>
      <c r="J98" s="74">
        <f t="shared" si="2"/>
        <v>3.5355339059327369</v>
      </c>
      <c r="K98" s="74">
        <f t="shared" si="3"/>
        <v>12.499999999999995</v>
      </c>
      <c r="L98" s="74">
        <f t="shared" si="4"/>
        <v>17.361111111111097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f>0.0005*1000</f>
        <v>0.5</v>
      </c>
      <c r="F99" s="77">
        <f>SQRT(3)</f>
        <v>1.7320508075688772</v>
      </c>
      <c r="G99" s="77">
        <v>1000</v>
      </c>
      <c r="H99" s="77">
        <f t="shared" si="1"/>
        <v>0.28867513459481292</v>
      </c>
      <c r="I99" s="77">
        <v>1</v>
      </c>
      <c r="J99" s="77">
        <f t="shared" si="2"/>
        <v>0.28867513459481292</v>
      </c>
      <c r="K99" s="77">
        <f t="shared" si="3"/>
        <v>8.3333333333333356E-2</v>
      </c>
      <c r="L99" s="77">
        <f t="shared" si="4"/>
        <v>6.9444444444444482E-6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4</v>
      </c>
      <c r="F100" s="77">
        <v>1</v>
      </c>
      <c r="G100" s="77">
        <v>4</v>
      </c>
      <c r="H100" s="77">
        <f t="shared" si="1"/>
        <v>4</v>
      </c>
      <c r="I100" s="77">
        <v>1</v>
      </c>
      <c r="J100" s="77">
        <f t="shared" si="2"/>
        <v>4</v>
      </c>
      <c r="K100" s="77">
        <f t="shared" si="3"/>
        <v>16</v>
      </c>
      <c r="L100" s="77">
        <f t="shared" si="4"/>
        <v>64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4.5*10^-6*4400*0.114*C92</f>
        <v>2.2572000000000004E-3</v>
      </c>
      <c r="F101" s="79">
        <v>1</v>
      </c>
      <c r="G101" s="79">
        <v>1000</v>
      </c>
      <c r="H101" s="79">
        <f t="shared" si="1"/>
        <v>2.2572000000000004E-3</v>
      </c>
      <c r="I101" s="79">
        <v>1</v>
      </c>
      <c r="J101" s="79">
        <f t="shared" si="2"/>
        <v>2.2572000000000004E-3</v>
      </c>
      <c r="K101" s="79">
        <f t="shared" si="3"/>
        <v>5.0949518400000018E-6</v>
      </c>
      <c r="L101" s="79">
        <f t="shared" si="4"/>
        <v>2.5958534251919404E-14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28.58333842828517</v>
      </c>
      <c r="L102" s="71">
        <f t="shared" si="5"/>
        <v>81.361118055555565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5.3463387872716384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10.041740517233421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2.2281388519862744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11.912385167801119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11.912385167801119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1.1000000000000001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00B0F0"/>
  </sheetPr>
  <dimension ref="A1:Z1000"/>
  <sheetViews>
    <sheetView workbookViewId="0"/>
  </sheetViews>
  <sheetFormatPr defaultColWidth="14.44140625" defaultRowHeight="15" customHeight="1" x14ac:dyDescent="0.3"/>
  <cols>
    <col min="1" max="1" width="1.88671875" customWidth="1"/>
    <col min="2" max="2" width="12.6640625" customWidth="1"/>
    <col min="3" max="4" width="10.88671875" customWidth="1"/>
    <col min="5" max="11" width="9" customWidth="1"/>
    <col min="12" max="26" width="8.6640625" customWidth="1"/>
  </cols>
  <sheetData>
    <row r="1" spans="1:26" ht="14.25" customHeight="1" x14ac:dyDescent="0.3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spans="1:26" ht="14.25" customHeight="1" x14ac:dyDescent="0.3">
      <c r="A2" s="102"/>
      <c r="B2" s="3"/>
      <c r="C2" s="131" t="s">
        <v>243</v>
      </c>
      <c r="D2" s="132" t="s">
        <v>100</v>
      </c>
      <c r="E2" s="102"/>
      <c r="F2" s="133" t="s">
        <v>244</v>
      </c>
      <c r="G2" s="134"/>
      <c r="H2" s="134"/>
      <c r="I2" s="134"/>
      <c r="J2" s="135"/>
      <c r="K2" s="135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spans="1:26" ht="14.25" customHeight="1" x14ac:dyDescent="0.3">
      <c r="A3" s="102"/>
      <c r="B3" s="132" t="s">
        <v>245</v>
      </c>
      <c r="C3" s="132">
        <f>'U95'!C34</f>
        <v>20.100000000000001</v>
      </c>
      <c r="D3" s="132">
        <f>'U95'!C37</f>
        <v>60</v>
      </c>
      <c r="E3" s="102"/>
      <c r="F3" s="136" t="s">
        <v>246</v>
      </c>
      <c r="G3" s="134"/>
      <c r="H3" s="134"/>
      <c r="I3" s="136" t="s">
        <v>247</v>
      </c>
      <c r="J3" s="134"/>
      <c r="K3" s="135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spans="1:26" ht="14.25" customHeight="1" x14ac:dyDescent="0.3">
      <c r="A4" s="102"/>
      <c r="B4" s="132" t="s">
        <v>248</v>
      </c>
      <c r="C4" s="132">
        <f>'U95'!C35</f>
        <v>20.100000000000001</v>
      </c>
      <c r="D4" s="132">
        <f>'U95'!C38</f>
        <v>60</v>
      </c>
      <c r="E4" s="102"/>
      <c r="F4" s="137" t="s">
        <v>249</v>
      </c>
      <c r="G4" s="137" t="s">
        <v>250</v>
      </c>
      <c r="H4" s="131" t="s">
        <v>251</v>
      </c>
      <c r="I4" s="137" t="s">
        <v>252</v>
      </c>
      <c r="J4" s="137" t="s">
        <v>250</v>
      </c>
      <c r="K4" s="132" t="s">
        <v>251</v>
      </c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spans="1:26" ht="14.25" customHeight="1" x14ac:dyDescent="0.3">
      <c r="A5" s="102"/>
      <c r="B5" s="132" t="s">
        <v>253</v>
      </c>
      <c r="C5" s="138">
        <f t="shared" ref="C5:D5" si="0">AVERAGE(C3:C4)</f>
        <v>20.100000000000001</v>
      </c>
      <c r="D5" s="132">
        <f t="shared" si="0"/>
        <v>60</v>
      </c>
      <c r="E5" s="102"/>
      <c r="F5" s="131">
        <v>20</v>
      </c>
      <c r="G5" s="131">
        <v>0.1</v>
      </c>
      <c r="H5" s="131">
        <v>2</v>
      </c>
      <c r="I5" s="131">
        <v>40</v>
      </c>
      <c r="J5" s="131">
        <v>0.2</v>
      </c>
      <c r="K5" s="132">
        <v>2.5</v>
      </c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spans="1:26" ht="14.25" customHeight="1" x14ac:dyDescent="0.3">
      <c r="A6" s="102"/>
      <c r="B6" s="131" t="s">
        <v>254</v>
      </c>
      <c r="C6" s="139">
        <f>C5+FORECAST(C5,G5:G9,F5:F9)</f>
        <v>20.156000000000002</v>
      </c>
      <c r="D6" s="138">
        <f>D5+FORECAST(D5,J5:J9,I5:I9)</f>
        <v>59.78</v>
      </c>
      <c r="E6" s="102"/>
      <c r="F6" s="131">
        <v>25</v>
      </c>
      <c r="G6" s="131">
        <v>-0.2</v>
      </c>
      <c r="H6" s="3">
        <v>2</v>
      </c>
      <c r="I6" s="131">
        <v>50</v>
      </c>
      <c r="J6" s="131">
        <v>-0.3</v>
      </c>
      <c r="K6" s="132">
        <v>2.8</v>
      </c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spans="1:26" ht="14.25" customHeight="1" x14ac:dyDescent="0.3">
      <c r="A7" s="102"/>
      <c r="B7" s="132" t="s">
        <v>251</v>
      </c>
      <c r="C7" s="139">
        <v>2</v>
      </c>
      <c r="D7" s="139">
        <f>FORECAST(D6,K5:K9,I5:I9)</f>
        <v>2.6213200000000003</v>
      </c>
      <c r="E7" s="102"/>
      <c r="F7" s="131">
        <v>30</v>
      </c>
      <c r="G7" s="131">
        <v>-0.3</v>
      </c>
      <c r="H7" s="3">
        <v>2</v>
      </c>
      <c r="I7" s="131">
        <v>60</v>
      </c>
      <c r="J7" s="131">
        <v>-0.3</v>
      </c>
      <c r="K7" s="132">
        <v>3.2</v>
      </c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spans="1:26" ht="14.25" customHeight="1" x14ac:dyDescent="0.3">
      <c r="A8" s="102"/>
      <c r="B8" s="132" t="s">
        <v>255</v>
      </c>
      <c r="C8" s="139">
        <f t="shared" ref="C8:D8" si="1">(MAX(C3:C4)-C5+C5-MIN(C3:C4))/2</f>
        <v>0</v>
      </c>
      <c r="D8" s="139">
        <f t="shared" si="1"/>
        <v>0</v>
      </c>
      <c r="E8" s="102"/>
      <c r="F8" s="131">
        <v>35</v>
      </c>
      <c r="G8" s="131">
        <v>-0.6</v>
      </c>
      <c r="H8" s="3">
        <v>2</v>
      </c>
      <c r="I8" s="131">
        <v>70</v>
      </c>
      <c r="J8" s="131">
        <v>-0.1</v>
      </c>
      <c r="K8" s="132">
        <v>2</v>
      </c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spans="1:26" ht="14.25" customHeight="1" x14ac:dyDescent="0.3">
      <c r="A9" s="102"/>
      <c r="B9" s="132" t="s">
        <v>256</v>
      </c>
      <c r="C9" s="139">
        <f t="shared" ref="C9:D9" si="2">C7+C8</f>
        <v>2</v>
      </c>
      <c r="D9" s="139">
        <f t="shared" si="2"/>
        <v>2.6213200000000003</v>
      </c>
      <c r="E9" s="102"/>
      <c r="F9" s="131">
        <v>40</v>
      </c>
      <c r="G9" s="131">
        <v>-0.7</v>
      </c>
      <c r="H9" s="3">
        <v>2</v>
      </c>
      <c r="I9" s="131">
        <v>80</v>
      </c>
      <c r="J9" s="131">
        <v>-0.6</v>
      </c>
      <c r="K9" s="132">
        <v>2.6</v>
      </c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spans="1:26" ht="14.25" customHeight="1" x14ac:dyDescent="0.3">
      <c r="A10" s="102"/>
      <c r="B10" s="140" t="s">
        <v>257</v>
      </c>
      <c r="C10" s="132" t="str">
        <f t="shared" ref="C10:D10" si="3">FIXED(C6,2) &amp; " ± "&amp;FIXED(C8,2)</f>
        <v>20,16 ± 0,00</v>
      </c>
      <c r="D10" s="132" t="str">
        <f t="shared" si="3"/>
        <v>59,78 ± 0,00</v>
      </c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spans="1:26" ht="14.25" customHeight="1" x14ac:dyDescent="0.3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spans="1:26" ht="14.25" customHeight="1" x14ac:dyDescent="0.3">
      <c r="A12" s="102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spans="1:26" ht="14.25" customHeight="1" x14ac:dyDescent="0.3">
      <c r="A13" s="102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spans="1:26" ht="14.25" customHeight="1" x14ac:dyDescent="0.3">
      <c r="A14" s="102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26" ht="14.25" customHeight="1" x14ac:dyDescent="0.3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26" ht="14.25" customHeight="1" x14ac:dyDescent="0.3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spans="1:26" ht="14.25" customHeight="1" x14ac:dyDescent="0.3">
      <c r="A17" s="102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ht="14.25" customHeight="1" x14ac:dyDescent="0.3">
      <c r="A18" s="102"/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ht="14.25" customHeight="1" x14ac:dyDescent="0.3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spans="1:26" ht="14.25" customHeight="1" x14ac:dyDescent="0.3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spans="1:26" ht="14.25" customHeight="1" x14ac:dyDescent="0.3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ht="14.25" customHeight="1" x14ac:dyDescent="0.3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ht="14.25" customHeight="1" x14ac:dyDescent="0.3">
      <c r="A23" s="102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spans="1:26" ht="14.25" customHeight="1" x14ac:dyDescent="0.3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spans="1:26" ht="14.25" customHeight="1" x14ac:dyDescent="0.3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spans="1:26" ht="14.25" customHeight="1" x14ac:dyDescent="0.3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spans="1:26" ht="14.25" customHeight="1" x14ac:dyDescent="0.3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spans="1:26" ht="14.25" customHeight="1" x14ac:dyDescent="0.3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spans="1:26" ht="14.25" customHeight="1" x14ac:dyDescent="0.3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spans="1:26" ht="14.25" customHeight="1" x14ac:dyDescent="0.3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spans="1:26" ht="14.25" customHeight="1" x14ac:dyDescent="0.3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spans="1:26" ht="14.25" customHeight="1" x14ac:dyDescent="0.3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spans="1:26" ht="14.25" customHeight="1" x14ac:dyDescent="0.3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spans="1:26" ht="14.25" customHeight="1" x14ac:dyDescent="0.3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spans="1:26" ht="14.25" customHeight="1" x14ac:dyDescent="0.3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spans="1:26" ht="14.25" customHeight="1" x14ac:dyDescent="0.3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spans="1:26" ht="14.25" customHeight="1" x14ac:dyDescent="0.3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spans="1:26" ht="14.25" customHeight="1" x14ac:dyDescent="0.3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spans="1:26" ht="14.25" customHeight="1" x14ac:dyDescent="0.3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spans="1:26" ht="14.25" customHeight="1" x14ac:dyDescent="0.3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spans="1:26" ht="14.25" customHeight="1" x14ac:dyDescent="0.3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spans="1:26" ht="14.25" customHeight="1" x14ac:dyDescent="0.3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spans="1:26" ht="14.25" customHeight="1" x14ac:dyDescent="0.3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spans="1:26" ht="14.25" customHeight="1" x14ac:dyDescent="0.3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spans="1:26" ht="14.25" customHeight="1" x14ac:dyDescent="0.3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spans="1:26" ht="14.25" customHeight="1" x14ac:dyDescent="0.3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spans="1:26" ht="14.25" customHeight="1" x14ac:dyDescent="0.3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spans="1:26" ht="14.25" customHeight="1" x14ac:dyDescent="0.3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spans="1:26" ht="14.25" customHeight="1" x14ac:dyDescent="0.3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spans="1:26" ht="14.25" customHeight="1" x14ac:dyDescent="0.3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spans="1:26" ht="14.25" customHeight="1" x14ac:dyDescent="0.3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spans="1:26" ht="14.25" customHeight="1" x14ac:dyDescent="0.3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spans="1:26" ht="14.25" customHeight="1" x14ac:dyDescent="0.3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spans="1:26" ht="14.25" customHeight="1" x14ac:dyDescent="0.3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spans="1:26" ht="14.25" customHeight="1" x14ac:dyDescent="0.3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spans="1:26" ht="14.25" customHeight="1" x14ac:dyDescent="0.3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spans="1:26" ht="14.25" customHeight="1" x14ac:dyDescent="0.3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spans="1:26" ht="14.25" customHeight="1" x14ac:dyDescent="0.3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spans="1:26" ht="14.25" customHeight="1" x14ac:dyDescent="0.3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spans="1:26" ht="14.25" customHeight="1" x14ac:dyDescent="0.3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spans="1:26" ht="14.25" customHeight="1" x14ac:dyDescent="0.3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spans="1:26" ht="14.25" customHeight="1" x14ac:dyDescent="0.3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spans="1:26" ht="14.25" customHeight="1" x14ac:dyDescent="0.3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spans="1:26" ht="14.25" customHeight="1" x14ac:dyDescent="0.3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spans="1:26" ht="14.25" customHeight="1" x14ac:dyDescent="0.3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spans="1:26" ht="14.25" customHeight="1" x14ac:dyDescent="0.3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spans="1:26" ht="14.25" customHeight="1" x14ac:dyDescent="0.3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spans="1:26" ht="14.25" customHeight="1" x14ac:dyDescent="0.3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spans="1:26" ht="14.25" customHeight="1" x14ac:dyDescent="0.3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spans="1:26" ht="14.25" customHeight="1" x14ac:dyDescent="0.3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spans="1:26" ht="14.25" customHeight="1" x14ac:dyDescent="0.3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spans="1:26" ht="14.25" customHeight="1" x14ac:dyDescent="0.3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spans="1:26" ht="14.25" customHeight="1" x14ac:dyDescent="0.3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spans="1:26" ht="14.25" customHeight="1" x14ac:dyDescent="0.3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spans="1:26" ht="14.25" customHeight="1" x14ac:dyDescent="0.3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spans="1:26" ht="14.25" customHeight="1" x14ac:dyDescent="0.3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spans="1:26" ht="14.25" customHeight="1" x14ac:dyDescent="0.3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spans="1:26" ht="14.25" customHeight="1" x14ac:dyDescent="0.3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spans="1:26" ht="14.25" customHeight="1" x14ac:dyDescent="0.3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spans="1:26" ht="14.25" customHeight="1" x14ac:dyDescent="0.3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spans="1:26" ht="14.25" customHeight="1" x14ac:dyDescent="0.3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spans="1:26" ht="14.25" customHeight="1" x14ac:dyDescent="0.3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spans="1:26" ht="14.25" customHeight="1" x14ac:dyDescent="0.3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spans="1:26" ht="14.25" customHeight="1" x14ac:dyDescent="0.3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spans="1:26" ht="14.25" customHeight="1" x14ac:dyDescent="0.3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spans="1:26" ht="14.25" customHeight="1" x14ac:dyDescent="0.3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spans="1:26" ht="14.25" customHeight="1" x14ac:dyDescent="0.3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spans="1:26" ht="14.25" customHeight="1" x14ac:dyDescent="0.3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spans="1:26" ht="14.25" customHeight="1" x14ac:dyDescent="0.3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spans="1:26" ht="14.25" customHeight="1" x14ac:dyDescent="0.3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spans="1:26" ht="14.25" customHeight="1" x14ac:dyDescent="0.3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spans="1:26" ht="14.25" customHeight="1" x14ac:dyDescent="0.3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spans="1:26" ht="14.25" customHeight="1" x14ac:dyDescent="0.3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spans="1:26" ht="14.25" customHeight="1" x14ac:dyDescent="0.3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spans="1:26" ht="14.25" customHeight="1" x14ac:dyDescent="0.3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spans="1:26" ht="14.25" customHeight="1" x14ac:dyDescent="0.3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spans="1:26" ht="14.25" customHeight="1" x14ac:dyDescent="0.3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spans="1:26" ht="14.25" customHeight="1" x14ac:dyDescent="0.3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spans="1:26" ht="14.25" customHeight="1" x14ac:dyDescent="0.3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spans="1:26" ht="14.25" customHeight="1" x14ac:dyDescent="0.3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spans="1:26" ht="14.25" customHeight="1" x14ac:dyDescent="0.3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spans="1:26" ht="14.25" customHeight="1" x14ac:dyDescent="0.3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spans="1:26" ht="14.25" customHeight="1" x14ac:dyDescent="0.3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spans="1:26" ht="14.25" customHeight="1" x14ac:dyDescent="0.3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spans="1:26" ht="14.25" customHeight="1" x14ac:dyDescent="0.3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spans="1:26" ht="14.25" customHeight="1" x14ac:dyDescent="0.3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spans="1:26" ht="14.25" customHeight="1" x14ac:dyDescent="0.3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spans="1:26" ht="14.25" customHeight="1" x14ac:dyDescent="0.3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spans="1:26" ht="14.25" customHeight="1" x14ac:dyDescent="0.3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spans="1:26" ht="14.25" customHeight="1" x14ac:dyDescent="0.3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spans="1:26" ht="14.25" customHeight="1" x14ac:dyDescent="0.3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spans="1:26" ht="14.25" customHeight="1" x14ac:dyDescent="0.3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spans="1:26" ht="14.25" customHeight="1" x14ac:dyDescent="0.3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spans="1:26" ht="14.25" customHeight="1" x14ac:dyDescent="0.3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spans="1:26" ht="14.25" customHeight="1" x14ac:dyDescent="0.3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spans="1:26" ht="14.25" customHeight="1" x14ac:dyDescent="0.3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spans="1:26" ht="14.25" customHeight="1" x14ac:dyDescent="0.3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spans="1:26" ht="14.25" customHeight="1" x14ac:dyDescent="0.3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spans="1:26" ht="14.25" customHeight="1" x14ac:dyDescent="0.3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spans="1:26" ht="14.25" customHeight="1" x14ac:dyDescent="0.3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spans="1:26" ht="14.25" customHeight="1" x14ac:dyDescent="0.3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spans="1:26" ht="14.25" customHeight="1" x14ac:dyDescent="0.3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spans="1:26" ht="14.25" customHeight="1" x14ac:dyDescent="0.3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spans="1:26" ht="14.25" customHeight="1" x14ac:dyDescent="0.3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spans="1:26" ht="14.25" customHeight="1" x14ac:dyDescent="0.3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spans="1:26" ht="14.25" customHeight="1" x14ac:dyDescent="0.3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spans="1:26" ht="14.25" customHeight="1" x14ac:dyDescent="0.3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spans="1:26" ht="14.25" customHeight="1" x14ac:dyDescent="0.3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spans="1:26" ht="14.25" customHeight="1" x14ac:dyDescent="0.3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spans="1:26" ht="14.25" customHeight="1" x14ac:dyDescent="0.3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spans="1:26" ht="14.25" customHeight="1" x14ac:dyDescent="0.3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spans="1:26" ht="14.25" customHeight="1" x14ac:dyDescent="0.3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spans="1:26" ht="14.25" customHeight="1" x14ac:dyDescent="0.3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spans="1:26" ht="14.25" customHeight="1" x14ac:dyDescent="0.3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spans="1:26" ht="14.25" customHeight="1" x14ac:dyDescent="0.3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spans="1:26" ht="14.25" customHeight="1" x14ac:dyDescent="0.3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spans="1:26" ht="14.25" customHeight="1" x14ac:dyDescent="0.3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spans="1:26" ht="14.25" customHeight="1" x14ac:dyDescent="0.3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spans="1:26" ht="14.25" customHeight="1" x14ac:dyDescent="0.3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spans="1:26" ht="14.25" customHeight="1" x14ac:dyDescent="0.3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spans="1:26" ht="14.25" customHeight="1" x14ac:dyDescent="0.3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spans="1:26" ht="14.25" customHeight="1" x14ac:dyDescent="0.3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spans="1:26" ht="14.25" customHeight="1" x14ac:dyDescent="0.3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spans="1:26" ht="14.25" customHeight="1" x14ac:dyDescent="0.3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spans="1:26" ht="14.25" customHeight="1" x14ac:dyDescent="0.3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spans="1:26" ht="14.25" customHeight="1" x14ac:dyDescent="0.3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spans="1:26" ht="14.25" customHeight="1" x14ac:dyDescent="0.3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spans="1:26" ht="14.25" customHeight="1" x14ac:dyDescent="0.3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spans="1:26" ht="14.25" customHeight="1" x14ac:dyDescent="0.3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spans="1:26" ht="14.25" customHeight="1" x14ac:dyDescent="0.3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spans="1:26" ht="14.25" customHeight="1" x14ac:dyDescent="0.3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spans="1:26" ht="14.25" customHeight="1" x14ac:dyDescent="0.3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spans="1:26" ht="14.25" customHeight="1" x14ac:dyDescent="0.3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spans="1:26" ht="14.25" customHeight="1" x14ac:dyDescent="0.3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spans="1:26" ht="14.25" customHeight="1" x14ac:dyDescent="0.3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spans="1:26" ht="14.25" customHeight="1" x14ac:dyDescent="0.3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spans="1:26" ht="14.25" customHeight="1" x14ac:dyDescent="0.3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spans="1:26" ht="14.25" customHeight="1" x14ac:dyDescent="0.3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spans="1:26" ht="14.25" customHeight="1" x14ac:dyDescent="0.3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spans="1:26" ht="14.25" customHeight="1" x14ac:dyDescent="0.3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spans="1:26" ht="14.25" customHeight="1" x14ac:dyDescent="0.3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spans="1:26" ht="14.25" customHeight="1" x14ac:dyDescent="0.3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spans="1:26" ht="14.25" customHeight="1" x14ac:dyDescent="0.3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spans="1:26" ht="14.25" customHeight="1" x14ac:dyDescent="0.3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spans="1:26" ht="14.25" customHeight="1" x14ac:dyDescent="0.3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spans="1:26" ht="14.25" customHeight="1" x14ac:dyDescent="0.3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spans="1:26" ht="14.25" customHeight="1" x14ac:dyDescent="0.3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spans="1:26" ht="14.25" customHeight="1" x14ac:dyDescent="0.3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spans="1:26" ht="14.25" customHeight="1" x14ac:dyDescent="0.3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spans="1:26" ht="14.25" customHeight="1" x14ac:dyDescent="0.3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spans="1:26" ht="14.25" customHeight="1" x14ac:dyDescent="0.3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spans="1:26" ht="14.25" customHeight="1" x14ac:dyDescent="0.3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spans="1:26" ht="14.25" customHeight="1" x14ac:dyDescent="0.3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spans="1:26" ht="14.25" customHeight="1" x14ac:dyDescent="0.3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spans="1:26" ht="14.25" customHeight="1" x14ac:dyDescent="0.3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spans="1:26" ht="14.25" customHeight="1" x14ac:dyDescent="0.3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spans="1:26" ht="14.25" customHeight="1" x14ac:dyDescent="0.3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spans="1:26" ht="14.25" customHeight="1" x14ac:dyDescent="0.3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spans="1:26" ht="14.25" customHeight="1" x14ac:dyDescent="0.3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spans="1:26" ht="14.25" customHeight="1" x14ac:dyDescent="0.3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spans="1:26" ht="14.25" customHeight="1" x14ac:dyDescent="0.3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spans="1:26" ht="14.25" customHeight="1" x14ac:dyDescent="0.3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spans="1:26" ht="14.25" customHeight="1" x14ac:dyDescent="0.3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spans="1:26" ht="14.25" customHeight="1" x14ac:dyDescent="0.3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spans="1:26" ht="14.25" customHeight="1" x14ac:dyDescent="0.3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spans="1:26" ht="14.25" customHeight="1" x14ac:dyDescent="0.3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spans="1:26" ht="14.25" customHeight="1" x14ac:dyDescent="0.3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spans="1:26" ht="14.25" customHeight="1" x14ac:dyDescent="0.3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spans="1:26" ht="14.25" customHeight="1" x14ac:dyDescent="0.3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spans="1:26" ht="14.25" customHeight="1" x14ac:dyDescent="0.3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spans="1:26" ht="14.25" customHeight="1" x14ac:dyDescent="0.3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spans="1:26" ht="14.25" customHeight="1" x14ac:dyDescent="0.3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spans="1:26" ht="14.25" customHeight="1" x14ac:dyDescent="0.3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spans="1:26" ht="14.25" customHeight="1" x14ac:dyDescent="0.3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spans="1:26" ht="14.25" customHeight="1" x14ac:dyDescent="0.3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spans="1:26" ht="14.25" customHeight="1" x14ac:dyDescent="0.3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spans="1:26" ht="14.25" customHeight="1" x14ac:dyDescent="0.3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spans="1:26" ht="14.25" customHeight="1" x14ac:dyDescent="0.3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spans="1:26" ht="14.25" customHeight="1" x14ac:dyDescent="0.3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spans="1:26" ht="14.25" customHeight="1" x14ac:dyDescent="0.3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spans="1:26" ht="14.25" customHeight="1" x14ac:dyDescent="0.3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spans="1:26" ht="14.25" customHeight="1" x14ac:dyDescent="0.3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spans="1:26" ht="14.25" customHeight="1" x14ac:dyDescent="0.3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spans="1:26" ht="14.25" customHeight="1" x14ac:dyDescent="0.3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spans="1:26" ht="14.25" customHeight="1" x14ac:dyDescent="0.3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spans="1:26" ht="14.25" customHeight="1" x14ac:dyDescent="0.3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spans="1:26" ht="14.25" customHeight="1" x14ac:dyDescent="0.3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spans="1:26" ht="14.25" customHeight="1" x14ac:dyDescent="0.3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spans="1:26" ht="14.25" customHeight="1" x14ac:dyDescent="0.3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spans="1:26" ht="14.25" customHeight="1" x14ac:dyDescent="0.3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spans="1:26" ht="14.25" customHeight="1" x14ac:dyDescent="0.3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spans="1:26" ht="14.25" customHeight="1" x14ac:dyDescent="0.3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spans="1:26" ht="14.25" customHeight="1" x14ac:dyDescent="0.3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spans="1:26" ht="14.25" customHeight="1" x14ac:dyDescent="0.3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spans="1:26" ht="14.25" customHeight="1" x14ac:dyDescent="0.3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spans="1:26" ht="14.25" customHeight="1" x14ac:dyDescent="0.3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spans="1:26" ht="14.25" customHeight="1" x14ac:dyDescent="0.3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spans="1:26" ht="14.25" customHeight="1" x14ac:dyDescent="0.3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spans="1:26" ht="14.25" customHeight="1" x14ac:dyDescent="0.3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spans="1:26" ht="14.25" customHeight="1" x14ac:dyDescent="0.3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spans="1:26" ht="14.25" customHeight="1" x14ac:dyDescent="0.3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spans="1:26" ht="14.25" customHeight="1" x14ac:dyDescent="0.3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spans="1:26" ht="14.25" customHeight="1" x14ac:dyDescent="0.3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spans="1:26" ht="14.25" customHeight="1" x14ac:dyDescent="0.3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spans="1:26" ht="14.25" customHeight="1" x14ac:dyDescent="0.3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spans="1:26" ht="14.25" customHeight="1" x14ac:dyDescent="0.3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spans="1:26" ht="14.25" customHeight="1" x14ac:dyDescent="0.3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spans="1:26" ht="14.25" customHeight="1" x14ac:dyDescent="0.3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spans="1:26" ht="14.25" customHeight="1" x14ac:dyDescent="0.3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spans="1:26" ht="14.25" customHeight="1" x14ac:dyDescent="0.3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spans="1:26" ht="14.25" customHeight="1" x14ac:dyDescent="0.3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spans="1:26" ht="14.25" customHeight="1" x14ac:dyDescent="0.3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spans="1:26" ht="14.25" customHeight="1" x14ac:dyDescent="0.3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spans="1:26" ht="14.25" customHeight="1" x14ac:dyDescent="0.3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spans="1:26" ht="14.25" customHeight="1" x14ac:dyDescent="0.3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spans="1:26" ht="14.25" customHeight="1" x14ac:dyDescent="0.3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spans="1:26" ht="14.25" customHeight="1" x14ac:dyDescent="0.3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spans="1:26" ht="14.25" customHeight="1" x14ac:dyDescent="0.3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spans="1:26" ht="14.25" customHeight="1" x14ac:dyDescent="0.3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spans="1:26" ht="14.25" customHeight="1" x14ac:dyDescent="0.3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spans="1:26" ht="14.25" customHeight="1" x14ac:dyDescent="0.3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spans="1:26" ht="14.25" customHeight="1" x14ac:dyDescent="0.3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spans="1:26" ht="14.25" customHeight="1" x14ac:dyDescent="0.3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spans="1:26" ht="14.25" customHeight="1" x14ac:dyDescent="0.3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spans="1:26" ht="14.25" customHeight="1" x14ac:dyDescent="0.3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spans="1:26" ht="14.25" customHeight="1" x14ac:dyDescent="0.3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spans="1:26" ht="14.25" customHeight="1" x14ac:dyDescent="0.3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spans="1:26" ht="14.25" customHeight="1" x14ac:dyDescent="0.3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spans="1:26" ht="14.25" customHeight="1" x14ac:dyDescent="0.3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spans="1:26" ht="14.25" customHeight="1" x14ac:dyDescent="0.3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spans="1:26" ht="14.25" customHeight="1" x14ac:dyDescent="0.3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spans="1:26" ht="14.25" customHeight="1" x14ac:dyDescent="0.3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spans="1:26" ht="14.25" customHeight="1" x14ac:dyDescent="0.3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spans="1:26" ht="14.25" customHeight="1" x14ac:dyDescent="0.3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spans="1:26" ht="14.25" customHeight="1" x14ac:dyDescent="0.3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spans="1:26" ht="14.25" customHeight="1" x14ac:dyDescent="0.3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spans="1:26" ht="14.25" customHeight="1" x14ac:dyDescent="0.3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spans="1:26" ht="14.25" customHeight="1" x14ac:dyDescent="0.3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spans="1:26" ht="14.25" customHeight="1" x14ac:dyDescent="0.3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spans="1:26" ht="14.25" customHeight="1" x14ac:dyDescent="0.3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spans="1:26" ht="14.25" customHeight="1" x14ac:dyDescent="0.3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spans="1:26" ht="14.25" customHeight="1" x14ac:dyDescent="0.3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spans="1:26" ht="14.25" customHeight="1" x14ac:dyDescent="0.3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spans="1:26" ht="14.25" customHeight="1" x14ac:dyDescent="0.3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spans="1:26" ht="14.25" customHeight="1" x14ac:dyDescent="0.3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spans="1:26" ht="14.25" customHeight="1" x14ac:dyDescent="0.3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spans="1:26" ht="14.25" customHeight="1" x14ac:dyDescent="0.3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spans="1:26" ht="14.25" customHeight="1" x14ac:dyDescent="0.3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spans="1:26" ht="14.25" customHeight="1" x14ac:dyDescent="0.3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spans="1:26" ht="14.25" customHeight="1" x14ac:dyDescent="0.3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spans="1:26" ht="14.25" customHeight="1" x14ac:dyDescent="0.3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spans="1:26" ht="14.25" customHeight="1" x14ac:dyDescent="0.3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spans="1:26" ht="14.25" customHeight="1" x14ac:dyDescent="0.3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spans="1:26" ht="14.25" customHeight="1" x14ac:dyDescent="0.3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spans="1:26" ht="14.25" customHeight="1" x14ac:dyDescent="0.3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spans="1:26" ht="14.25" customHeight="1" x14ac:dyDescent="0.3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spans="1:26" ht="14.25" customHeight="1" x14ac:dyDescent="0.3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spans="1:26" ht="14.25" customHeight="1" x14ac:dyDescent="0.3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spans="1:26" ht="14.25" customHeight="1" x14ac:dyDescent="0.3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spans="1:26" ht="14.25" customHeight="1" x14ac:dyDescent="0.3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spans="1:26" ht="14.25" customHeight="1" x14ac:dyDescent="0.3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spans="1:26" ht="14.25" customHeight="1" x14ac:dyDescent="0.3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spans="1:26" ht="14.25" customHeight="1" x14ac:dyDescent="0.3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spans="1:26" ht="14.25" customHeight="1" x14ac:dyDescent="0.3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spans="1:26" ht="14.25" customHeight="1" x14ac:dyDescent="0.3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spans="1:26" ht="14.25" customHeight="1" x14ac:dyDescent="0.3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spans="1:26" ht="14.25" customHeight="1" x14ac:dyDescent="0.3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spans="1:26" ht="14.25" customHeight="1" x14ac:dyDescent="0.3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spans="1:26" ht="14.25" customHeight="1" x14ac:dyDescent="0.3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spans="1:26" ht="14.25" customHeight="1" x14ac:dyDescent="0.3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spans="1:26" ht="14.25" customHeight="1" x14ac:dyDescent="0.3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spans="1:26" ht="14.25" customHeight="1" x14ac:dyDescent="0.3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spans="1:26" ht="14.25" customHeight="1" x14ac:dyDescent="0.3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spans="1:26" ht="14.25" customHeight="1" x14ac:dyDescent="0.3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spans="1:26" ht="14.25" customHeight="1" x14ac:dyDescent="0.3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spans="1:26" ht="14.25" customHeight="1" x14ac:dyDescent="0.3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spans="1:26" ht="14.25" customHeight="1" x14ac:dyDescent="0.3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spans="1:26" ht="14.25" customHeight="1" x14ac:dyDescent="0.3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spans="1:26" ht="14.25" customHeight="1" x14ac:dyDescent="0.3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spans="1:26" ht="14.25" customHeight="1" x14ac:dyDescent="0.3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spans="1:26" ht="14.25" customHeight="1" x14ac:dyDescent="0.3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spans="1:26" ht="14.25" customHeight="1" x14ac:dyDescent="0.3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spans="1:26" ht="14.25" customHeight="1" x14ac:dyDescent="0.3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spans="1:26" ht="14.25" customHeight="1" x14ac:dyDescent="0.3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spans="1:26" ht="14.25" customHeight="1" x14ac:dyDescent="0.3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spans="1:26" ht="14.25" customHeight="1" x14ac:dyDescent="0.3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spans="1:26" ht="14.25" customHeight="1" x14ac:dyDescent="0.3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spans="1:26" ht="14.25" customHeight="1" x14ac:dyDescent="0.3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spans="1:26" ht="14.25" customHeight="1" x14ac:dyDescent="0.3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spans="1:26" ht="14.25" customHeight="1" x14ac:dyDescent="0.3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spans="1:26" ht="14.25" customHeight="1" x14ac:dyDescent="0.3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spans="1:26" ht="14.25" customHeight="1" x14ac:dyDescent="0.3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spans="1:26" ht="14.25" customHeight="1" x14ac:dyDescent="0.3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spans="1:26" ht="14.25" customHeight="1" x14ac:dyDescent="0.3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spans="1:26" ht="14.25" customHeight="1" x14ac:dyDescent="0.3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spans="1:26" ht="14.25" customHeight="1" x14ac:dyDescent="0.3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spans="1:26" ht="14.25" customHeight="1" x14ac:dyDescent="0.3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spans="1:26" ht="14.25" customHeight="1" x14ac:dyDescent="0.3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spans="1:26" ht="14.25" customHeight="1" x14ac:dyDescent="0.3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spans="1:26" ht="14.25" customHeight="1" x14ac:dyDescent="0.3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spans="1:26" ht="14.25" customHeight="1" x14ac:dyDescent="0.3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spans="1:26" ht="14.25" customHeight="1" x14ac:dyDescent="0.3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spans="1:26" ht="14.25" customHeight="1" x14ac:dyDescent="0.3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spans="1:26" ht="14.25" customHeight="1" x14ac:dyDescent="0.3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spans="1:26" ht="14.25" customHeight="1" x14ac:dyDescent="0.3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spans="1:26" ht="14.25" customHeight="1" x14ac:dyDescent="0.3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spans="1:26" ht="14.25" customHeight="1" x14ac:dyDescent="0.3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spans="1:26" ht="14.25" customHeight="1" x14ac:dyDescent="0.3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spans="1:26" ht="14.25" customHeight="1" x14ac:dyDescent="0.3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spans="1:26" ht="14.25" customHeight="1" x14ac:dyDescent="0.3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spans="1:26" ht="14.25" customHeight="1" x14ac:dyDescent="0.3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spans="1:26" ht="14.25" customHeight="1" x14ac:dyDescent="0.3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spans="1:26" ht="14.25" customHeight="1" x14ac:dyDescent="0.3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spans="1:26" ht="14.25" customHeight="1" x14ac:dyDescent="0.3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spans="1:26" ht="14.25" customHeight="1" x14ac:dyDescent="0.3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spans="1:26" ht="14.25" customHeight="1" x14ac:dyDescent="0.3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spans="1:26" ht="14.25" customHeight="1" x14ac:dyDescent="0.3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spans="1:26" ht="14.25" customHeight="1" x14ac:dyDescent="0.3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spans="1:26" ht="14.25" customHeight="1" x14ac:dyDescent="0.3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spans="1:26" ht="14.25" customHeight="1" x14ac:dyDescent="0.3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spans="1:26" ht="14.25" customHeight="1" x14ac:dyDescent="0.3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spans="1:26" ht="14.25" customHeight="1" x14ac:dyDescent="0.3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spans="1:26" ht="14.25" customHeight="1" x14ac:dyDescent="0.3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spans="1:26" ht="14.25" customHeight="1" x14ac:dyDescent="0.3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spans="1:26" ht="14.25" customHeight="1" x14ac:dyDescent="0.3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spans="1:26" ht="14.25" customHeight="1" x14ac:dyDescent="0.3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spans="1:26" ht="14.25" customHeight="1" x14ac:dyDescent="0.3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spans="1:26" ht="14.25" customHeight="1" x14ac:dyDescent="0.3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spans="1:26" ht="14.25" customHeight="1" x14ac:dyDescent="0.3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spans="1:26" ht="14.25" customHeight="1" x14ac:dyDescent="0.3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spans="1:26" ht="14.25" customHeight="1" x14ac:dyDescent="0.3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spans="1:26" ht="14.25" customHeight="1" x14ac:dyDescent="0.3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spans="1:26" ht="14.25" customHeight="1" x14ac:dyDescent="0.3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spans="1:26" ht="14.25" customHeight="1" x14ac:dyDescent="0.3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spans="1:26" ht="14.25" customHeight="1" x14ac:dyDescent="0.3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spans="1:26" ht="14.25" customHeight="1" x14ac:dyDescent="0.3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spans="1:26" ht="14.25" customHeight="1" x14ac:dyDescent="0.3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spans="1:26" ht="14.25" customHeight="1" x14ac:dyDescent="0.3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spans="1:26" ht="14.25" customHeight="1" x14ac:dyDescent="0.3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spans="1:26" ht="14.25" customHeight="1" x14ac:dyDescent="0.3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spans="1:26" ht="14.25" customHeight="1" x14ac:dyDescent="0.3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spans="1:26" ht="14.25" customHeight="1" x14ac:dyDescent="0.3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spans="1:26" ht="14.25" customHeight="1" x14ac:dyDescent="0.3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spans="1:26" ht="14.25" customHeight="1" x14ac:dyDescent="0.3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spans="1:26" ht="14.25" customHeight="1" x14ac:dyDescent="0.3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spans="1:26" ht="14.25" customHeight="1" x14ac:dyDescent="0.3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spans="1:26" ht="14.25" customHeight="1" x14ac:dyDescent="0.3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spans="1:26" ht="14.25" customHeight="1" x14ac:dyDescent="0.3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spans="1:26" ht="14.25" customHeight="1" x14ac:dyDescent="0.3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spans="1:26" ht="14.25" customHeight="1" x14ac:dyDescent="0.3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spans="1:26" ht="14.25" customHeight="1" x14ac:dyDescent="0.3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spans="1:26" ht="14.25" customHeight="1" x14ac:dyDescent="0.3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spans="1:26" ht="14.25" customHeight="1" x14ac:dyDescent="0.3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spans="1:26" ht="14.25" customHeight="1" x14ac:dyDescent="0.3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spans="1:26" ht="14.25" customHeight="1" x14ac:dyDescent="0.3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spans="1:26" ht="14.25" customHeight="1" x14ac:dyDescent="0.3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spans="1:26" ht="14.25" customHeight="1" x14ac:dyDescent="0.3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spans="1:26" ht="14.25" customHeight="1" x14ac:dyDescent="0.3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spans="1:26" ht="14.25" customHeight="1" x14ac:dyDescent="0.3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spans="1:26" ht="14.25" customHeight="1" x14ac:dyDescent="0.3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spans="1:26" ht="14.25" customHeight="1" x14ac:dyDescent="0.3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spans="1:26" ht="14.25" customHeight="1" x14ac:dyDescent="0.3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spans="1:26" ht="14.25" customHeight="1" x14ac:dyDescent="0.3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spans="1:26" ht="14.25" customHeight="1" x14ac:dyDescent="0.3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spans="1:26" ht="14.25" customHeight="1" x14ac:dyDescent="0.3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spans="1:26" ht="14.25" customHeight="1" x14ac:dyDescent="0.3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spans="1:26" ht="14.25" customHeight="1" x14ac:dyDescent="0.3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spans="1:26" ht="14.25" customHeight="1" x14ac:dyDescent="0.3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spans="1:26" ht="14.25" customHeight="1" x14ac:dyDescent="0.3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spans="1:26" ht="14.25" customHeight="1" x14ac:dyDescent="0.3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spans="1:26" ht="14.25" customHeight="1" x14ac:dyDescent="0.3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spans="1:26" ht="14.25" customHeight="1" x14ac:dyDescent="0.3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spans="1:26" ht="14.25" customHeight="1" x14ac:dyDescent="0.3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spans="1:26" ht="14.25" customHeight="1" x14ac:dyDescent="0.3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spans="1:26" ht="14.25" customHeight="1" x14ac:dyDescent="0.3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spans="1:26" ht="14.25" customHeight="1" x14ac:dyDescent="0.3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spans="1:26" ht="14.25" customHeight="1" x14ac:dyDescent="0.3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spans="1:26" ht="14.25" customHeight="1" x14ac:dyDescent="0.3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spans="1:26" ht="14.25" customHeight="1" x14ac:dyDescent="0.3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spans="1:26" ht="14.25" customHeight="1" x14ac:dyDescent="0.3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spans="1:26" ht="14.25" customHeight="1" x14ac:dyDescent="0.3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spans="1:26" ht="14.25" customHeight="1" x14ac:dyDescent="0.3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spans="1:26" ht="14.25" customHeight="1" x14ac:dyDescent="0.3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spans="1:26" ht="14.25" customHeight="1" x14ac:dyDescent="0.3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spans="1:26" ht="14.25" customHeight="1" x14ac:dyDescent="0.3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spans="1:26" ht="14.25" customHeight="1" x14ac:dyDescent="0.3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spans="1:26" ht="14.25" customHeight="1" x14ac:dyDescent="0.3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spans="1:26" ht="14.25" customHeight="1" x14ac:dyDescent="0.3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spans="1:26" ht="14.25" customHeight="1" x14ac:dyDescent="0.3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spans="1:26" ht="14.25" customHeight="1" x14ac:dyDescent="0.3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spans="1:26" ht="14.25" customHeight="1" x14ac:dyDescent="0.3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spans="1:26" ht="14.25" customHeight="1" x14ac:dyDescent="0.3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spans="1:26" ht="14.25" customHeight="1" x14ac:dyDescent="0.3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spans="1:26" ht="14.25" customHeight="1" x14ac:dyDescent="0.3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spans="1:26" ht="14.25" customHeight="1" x14ac:dyDescent="0.3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spans="1:26" ht="14.25" customHeight="1" x14ac:dyDescent="0.3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spans="1:26" ht="14.25" customHeight="1" x14ac:dyDescent="0.3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spans="1:26" ht="14.25" customHeight="1" x14ac:dyDescent="0.3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spans="1:26" ht="14.25" customHeight="1" x14ac:dyDescent="0.3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spans="1:26" ht="14.25" customHeight="1" x14ac:dyDescent="0.3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spans="1:26" ht="14.25" customHeight="1" x14ac:dyDescent="0.3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spans="1:26" ht="14.25" customHeight="1" x14ac:dyDescent="0.3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spans="1:26" ht="14.25" customHeight="1" x14ac:dyDescent="0.3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spans="1:26" ht="14.25" customHeight="1" x14ac:dyDescent="0.3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spans="1:26" ht="14.25" customHeight="1" x14ac:dyDescent="0.3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spans="1:26" ht="14.25" customHeight="1" x14ac:dyDescent="0.3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spans="1:26" ht="14.25" customHeight="1" x14ac:dyDescent="0.3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spans="1:26" ht="14.25" customHeight="1" x14ac:dyDescent="0.3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spans="1:26" ht="14.25" customHeight="1" x14ac:dyDescent="0.3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spans="1:26" ht="14.25" customHeight="1" x14ac:dyDescent="0.3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spans="1:26" ht="14.25" customHeight="1" x14ac:dyDescent="0.3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spans="1:26" ht="14.25" customHeight="1" x14ac:dyDescent="0.3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spans="1:26" ht="14.25" customHeight="1" x14ac:dyDescent="0.3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spans="1:26" ht="14.25" customHeight="1" x14ac:dyDescent="0.3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spans="1:26" ht="14.25" customHeight="1" x14ac:dyDescent="0.3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spans="1:26" ht="14.25" customHeight="1" x14ac:dyDescent="0.3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spans="1:26" ht="14.25" customHeight="1" x14ac:dyDescent="0.3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spans="1:26" ht="14.25" customHeight="1" x14ac:dyDescent="0.3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spans="1:26" ht="14.25" customHeight="1" x14ac:dyDescent="0.3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spans="1:26" ht="14.25" customHeight="1" x14ac:dyDescent="0.3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spans="1:26" ht="14.25" customHeight="1" x14ac:dyDescent="0.3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spans="1:26" ht="14.25" customHeight="1" x14ac:dyDescent="0.3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spans="1:26" ht="14.25" customHeight="1" x14ac:dyDescent="0.3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spans="1:26" ht="14.25" customHeight="1" x14ac:dyDescent="0.3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spans="1:26" ht="14.25" customHeight="1" x14ac:dyDescent="0.3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spans="1:26" ht="14.25" customHeight="1" x14ac:dyDescent="0.3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spans="1:26" ht="14.25" customHeight="1" x14ac:dyDescent="0.3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spans="1:26" ht="14.25" customHeight="1" x14ac:dyDescent="0.3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spans="1:26" ht="14.25" customHeight="1" x14ac:dyDescent="0.3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spans="1:26" ht="14.25" customHeight="1" x14ac:dyDescent="0.3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spans="1:26" ht="14.25" customHeight="1" x14ac:dyDescent="0.3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spans="1:26" ht="14.25" customHeight="1" x14ac:dyDescent="0.3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spans="1:26" ht="14.25" customHeight="1" x14ac:dyDescent="0.3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spans="1:26" ht="14.25" customHeight="1" x14ac:dyDescent="0.3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spans="1:26" ht="14.25" customHeight="1" x14ac:dyDescent="0.3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spans="1:26" ht="14.25" customHeight="1" x14ac:dyDescent="0.3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spans="1:26" ht="14.25" customHeight="1" x14ac:dyDescent="0.3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spans="1:26" ht="14.25" customHeight="1" x14ac:dyDescent="0.3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spans="1:26" ht="14.25" customHeight="1" x14ac:dyDescent="0.3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spans="1:26" ht="14.25" customHeight="1" x14ac:dyDescent="0.3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spans="1:26" ht="14.25" customHeight="1" x14ac:dyDescent="0.3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spans="1:26" ht="14.25" customHeight="1" x14ac:dyDescent="0.3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spans="1:26" ht="14.25" customHeight="1" x14ac:dyDescent="0.3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spans="1:26" ht="14.25" customHeight="1" x14ac:dyDescent="0.3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spans="1:26" ht="14.25" customHeight="1" x14ac:dyDescent="0.3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spans="1:26" ht="14.25" customHeight="1" x14ac:dyDescent="0.3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spans="1:26" ht="14.25" customHeight="1" x14ac:dyDescent="0.3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spans="1:26" ht="14.25" customHeight="1" x14ac:dyDescent="0.3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spans="1:26" ht="14.25" customHeight="1" x14ac:dyDescent="0.3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spans="1:26" ht="14.25" customHeight="1" x14ac:dyDescent="0.3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spans="1:26" ht="14.25" customHeight="1" x14ac:dyDescent="0.3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spans="1:26" ht="14.25" customHeight="1" x14ac:dyDescent="0.3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spans="1:26" ht="14.25" customHeight="1" x14ac:dyDescent="0.3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spans="1:26" ht="14.25" customHeight="1" x14ac:dyDescent="0.3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spans="1:26" ht="14.25" customHeight="1" x14ac:dyDescent="0.3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spans="1:26" ht="14.25" customHeight="1" x14ac:dyDescent="0.3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spans="1:26" ht="14.25" customHeight="1" x14ac:dyDescent="0.3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spans="1:26" ht="14.25" customHeight="1" x14ac:dyDescent="0.3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spans="1:26" ht="14.25" customHeight="1" x14ac:dyDescent="0.3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spans="1:26" ht="14.25" customHeight="1" x14ac:dyDescent="0.3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spans="1:26" ht="14.25" customHeight="1" x14ac:dyDescent="0.3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spans="1:26" ht="14.25" customHeight="1" x14ac:dyDescent="0.3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spans="1:26" ht="14.25" customHeight="1" x14ac:dyDescent="0.3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spans="1:26" ht="14.25" customHeight="1" x14ac:dyDescent="0.3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spans="1:26" ht="14.25" customHeight="1" x14ac:dyDescent="0.3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spans="1:26" ht="14.25" customHeight="1" x14ac:dyDescent="0.3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spans="1:26" ht="14.25" customHeight="1" x14ac:dyDescent="0.3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spans="1:26" ht="14.25" customHeight="1" x14ac:dyDescent="0.3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spans="1:26" ht="14.25" customHeight="1" x14ac:dyDescent="0.3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spans="1:26" ht="14.25" customHeight="1" x14ac:dyDescent="0.3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spans="1:26" ht="14.25" customHeight="1" x14ac:dyDescent="0.3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spans="1:26" ht="14.25" customHeight="1" x14ac:dyDescent="0.3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spans="1:26" ht="14.25" customHeight="1" x14ac:dyDescent="0.3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spans="1:26" ht="14.25" customHeight="1" x14ac:dyDescent="0.3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spans="1:26" ht="14.25" customHeight="1" x14ac:dyDescent="0.3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spans="1:26" ht="14.25" customHeight="1" x14ac:dyDescent="0.3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spans="1:26" ht="14.25" customHeight="1" x14ac:dyDescent="0.3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spans="1:26" ht="14.25" customHeight="1" x14ac:dyDescent="0.3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spans="1:26" ht="14.25" customHeight="1" x14ac:dyDescent="0.3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spans="1:26" ht="14.25" customHeight="1" x14ac:dyDescent="0.3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spans="1:26" ht="14.25" customHeight="1" x14ac:dyDescent="0.3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spans="1:26" ht="14.25" customHeight="1" x14ac:dyDescent="0.3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spans="1:26" ht="14.25" customHeight="1" x14ac:dyDescent="0.3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spans="1:26" ht="14.25" customHeight="1" x14ac:dyDescent="0.3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spans="1:26" ht="14.25" customHeight="1" x14ac:dyDescent="0.3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spans="1:26" ht="14.25" customHeight="1" x14ac:dyDescent="0.3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spans="1:26" ht="14.25" customHeight="1" x14ac:dyDescent="0.3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spans="1:26" ht="14.25" customHeight="1" x14ac:dyDescent="0.3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spans="1:26" ht="14.25" customHeight="1" x14ac:dyDescent="0.3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spans="1:26" ht="14.25" customHeight="1" x14ac:dyDescent="0.3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spans="1:26" ht="14.25" customHeight="1" x14ac:dyDescent="0.3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spans="1:26" ht="14.25" customHeight="1" x14ac:dyDescent="0.3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spans="1:26" ht="14.25" customHeight="1" x14ac:dyDescent="0.3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spans="1:26" ht="14.25" customHeight="1" x14ac:dyDescent="0.3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spans="1:26" ht="14.25" customHeight="1" x14ac:dyDescent="0.3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spans="1:26" ht="14.25" customHeight="1" x14ac:dyDescent="0.3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spans="1:26" ht="14.25" customHeight="1" x14ac:dyDescent="0.3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spans="1:26" ht="14.25" customHeight="1" x14ac:dyDescent="0.3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spans="1:26" ht="14.25" customHeight="1" x14ac:dyDescent="0.3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spans="1:26" ht="14.25" customHeight="1" x14ac:dyDescent="0.3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spans="1:26" ht="14.25" customHeight="1" x14ac:dyDescent="0.3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spans="1:26" ht="14.25" customHeight="1" x14ac:dyDescent="0.3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spans="1:26" ht="14.25" customHeight="1" x14ac:dyDescent="0.3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spans="1:26" ht="14.25" customHeight="1" x14ac:dyDescent="0.3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spans="1:26" ht="14.25" customHeight="1" x14ac:dyDescent="0.3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spans="1:26" ht="14.25" customHeight="1" x14ac:dyDescent="0.3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spans="1:26" ht="14.25" customHeight="1" x14ac:dyDescent="0.3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spans="1:26" ht="14.25" customHeight="1" x14ac:dyDescent="0.3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spans="1:26" ht="14.25" customHeight="1" x14ac:dyDescent="0.3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spans="1:26" ht="14.25" customHeight="1" x14ac:dyDescent="0.3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spans="1:26" ht="14.25" customHeight="1" x14ac:dyDescent="0.3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spans="1:26" ht="14.25" customHeight="1" x14ac:dyDescent="0.3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spans="1:26" ht="14.25" customHeight="1" x14ac:dyDescent="0.3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spans="1:26" ht="14.25" customHeight="1" x14ac:dyDescent="0.3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spans="1:26" ht="14.25" customHeight="1" x14ac:dyDescent="0.3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spans="1:26" ht="14.25" customHeight="1" x14ac:dyDescent="0.3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spans="1:26" ht="14.25" customHeight="1" x14ac:dyDescent="0.3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spans="1:26" ht="14.25" customHeight="1" x14ac:dyDescent="0.3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spans="1:26" ht="14.25" customHeight="1" x14ac:dyDescent="0.3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spans="1:26" ht="14.25" customHeight="1" x14ac:dyDescent="0.3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spans="1:26" ht="14.25" customHeight="1" x14ac:dyDescent="0.3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spans="1:26" ht="14.25" customHeight="1" x14ac:dyDescent="0.3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spans="1:26" ht="14.25" customHeight="1" x14ac:dyDescent="0.3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spans="1:26" ht="14.25" customHeight="1" x14ac:dyDescent="0.3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spans="1:26" ht="14.25" customHeight="1" x14ac:dyDescent="0.3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spans="1:26" ht="14.25" customHeight="1" x14ac:dyDescent="0.3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spans="1:26" ht="14.25" customHeight="1" x14ac:dyDescent="0.3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spans="1:26" ht="14.25" customHeight="1" x14ac:dyDescent="0.3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spans="1:26" ht="14.25" customHeight="1" x14ac:dyDescent="0.3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spans="1:26" ht="14.25" customHeight="1" x14ac:dyDescent="0.3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spans="1:26" ht="14.25" customHeight="1" x14ac:dyDescent="0.3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spans="1:26" ht="14.25" customHeight="1" x14ac:dyDescent="0.3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spans="1:26" ht="14.25" customHeight="1" x14ac:dyDescent="0.3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spans="1:26" ht="14.25" customHeight="1" x14ac:dyDescent="0.3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spans="1:26" ht="14.25" customHeight="1" x14ac:dyDescent="0.3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spans="1:26" ht="14.25" customHeight="1" x14ac:dyDescent="0.3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spans="1:26" ht="14.25" customHeight="1" x14ac:dyDescent="0.3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spans="1:26" ht="14.25" customHeight="1" x14ac:dyDescent="0.3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spans="1:26" ht="14.25" customHeight="1" x14ac:dyDescent="0.3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spans="1:26" ht="14.25" customHeight="1" x14ac:dyDescent="0.3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spans="1:26" ht="14.25" customHeight="1" x14ac:dyDescent="0.3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spans="1:26" ht="14.25" customHeight="1" x14ac:dyDescent="0.3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spans="1:26" ht="14.25" customHeight="1" x14ac:dyDescent="0.3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spans="1:26" ht="14.25" customHeight="1" x14ac:dyDescent="0.3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spans="1:26" ht="14.25" customHeight="1" x14ac:dyDescent="0.3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spans="1:26" ht="14.25" customHeight="1" x14ac:dyDescent="0.3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spans="1:26" ht="14.25" customHeight="1" x14ac:dyDescent="0.3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spans="1:26" ht="14.25" customHeight="1" x14ac:dyDescent="0.3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spans="1:26" ht="14.25" customHeight="1" x14ac:dyDescent="0.3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spans="1:26" ht="14.25" customHeight="1" x14ac:dyDescent="0.3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spans="1:26" ht="14.25" customHeight="1" x14ac:dyDescent="0.3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spans="1:26" ht="14.25" customHeight="1" x14ac:dyDescent="0.3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spans="1:26" ht="14.25" customHeight="1" x14ac:dyDescent="0.3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spans="1:26" ht="14.25" customHeight="1" x14ac:dyDescent="0.3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spans="1:26" ht="14.25" customHeight="1" x14ac:dyDescent="0.3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spans="1:26" ht="14.25" customHeight="1" x14ac:dyDescent="0.3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spans="1:26" ht="14.25" customHeight="1" x14ac:dyDescent="0.3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spans="1:26" ht="14.25" customHeight="1" x14ac:dyDescent="0.3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spans="1:26" ht="14.25" customHeight="1" x14ac:dyDescent="0.3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spans="1:26" ht="14.25" customHeight="1" x14ac:dyDescent="0.3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spans="1:26" ht="14.25" customHeight="1" x14ac:dyDescent="0.3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spans="1:26" ht="14.25" customHeight="1" x14ac:dyDescent="0.3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spans="1:26" ht="14.25" customHeight="1" x14ac:dyDescent="0.3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spans="1:26" ht="14.25" customHeight="1" x14ac:dyDescent="0.3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spans="1:26" ht="14.25" customHeight="1" x14ac:dyDescent="0.3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spans="1:26" ht="14.25" customHeight="1" x14ac:dyDescent="0.3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spans="1:26" ht="14.25" customHeight="1" x14ac:dyDescent="0.3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spans="1:26" ht="14.25" customHeight="1" x14ac:dyDescent="0.3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spans="1:26" ht="14.25" customHeight="1" x14ac:dyDescent="0.3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spans="1:26" ht="14.25" customHeight="1" x14ac:dyDescent="0.3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spans="1:26" ht="14.25" customHeight="1" x14ac:dyDescent="0.3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spans="1:26" ht="14.25" customHeight="1" x14ac:dyDescent="0.3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spans="1:26" ht="14.25" customHeight="1" x14ac:dyDescent="0.3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spans="1:26" ht="14.25" customHeight="1" x14ac:dyDescent="0.3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spans="1:26" ht="14.25" customHeight="1" x14ac:dyDescent="0.3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spans="1:26" ht="14.25" customHeight="1" x14ac:dyDescent="0.3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spans="1:26" ht="14.25" customHeight="1" x14ac:dyDescent="0.3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spans="1:26" ht="14.25" customHeight="1" x14ac:dyDescent="0.3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spans="1:26" ht="14.25" customHeight="1" x14ac:dyDescent="0.3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spans="1:26" ht="14.25" customHeight="1" x14ac:dyDescent="0.3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spans="1:26" ht="14.25" customHeight="1" x14ac:dyDescent="0.3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spans="1:26" ht="14.25" customHeight="1" x14ac:dyDescent="0.3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spans="1:26" ht="14.25" customHeight="1" x14ac:dyDescent="0.3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spans="1:26" ht="14.25" customHeight="1" x14ac:dyDescent="0.3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spans="1:26" ht="14.25" customHeight="1" x14ac:dyDescent="0.3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spans="1:26" ht="14.25" customHeight="1" x14ac:dyDescent="0.3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spans="1:26" ht="14.25" customHeight="1" x14ac:dyDescent="0.3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spans="1:26" ht="14.25" customHeight="1" x14ac:dyDescent="0.3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spans="1:26" ht="14.25" customHeight="1" x14ac:dyDescent="0.3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spans="1:26" ht="14.25" customHeight="1" x14ac:dyDescent="0.3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spans="1:26" ht="14.25" customHeight="1" x14ac:dyDescent="0.3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spans="1:26" ht="14.25" customHeight="1" x14ac:dyDescent="0.3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spans="1:26" ht="14.25" customHeight="1" x14ac:dyDescent="0.3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spans="1:26" ht="14.25" customHeight="1" x14ac:dyDescent="0.3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spans="1:26" ht="14.25" customHeight="1" x14ac:dyDescent="0.3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spans="1:26" ht="14.25" customHeight="1" x14ac:dyDescent="0.3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spans="1:26" ht="14.25" customHeight="1" x14ac:dyDescent="0.3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spans="1:26" ht="14.25" customHeight="1" x14ac:dyDescent="0.3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spans="1:26" ht="14.25" customHeight="1" x14ac:dyDescent="0.3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spans="1:26" ht="14.25" customHeight="1" x14ac:dyDescent="0.3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spans="1:26" ht="14.25" customHeight="1" x14ac:dyDescent="0.3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spans="1:26" ht="14.25" customHeight="1" x14ac:dyDescent="0.3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spans="1:26" ht="14.25" customHeight="1" x14ac:dyDescent="0.3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spans="1:26" ht="14.25" customHeight="1" x14ac:dyDescent="0.3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spans="1:26" ht="14.25" customHeight="1" x14ac:dyDescent="0.3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spans="1:26" ht="14.25" customHeight="1" x14ac:dyDescent="0.3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spans="1:26" ht="14.25" customHeight="1" x14ac:dyDescent="0.3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spans="1:26" ht="14.25" customHeight="1" x14ac:dyDescent="0.3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spans="1:26" ht="14.25" customHeight="1" x14ac:dyDescent="0.3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spans="1:26" ht="14.25" customHeight="1" x14ac:dyDescent="0.3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spans="1:26" ht="14.25" customHeight="1" x14ac:dyDescent="0.3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spans="1:26" ht="14.25" customHeight="1" x14ac:dyDescent="0.3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spans="1:26" ht="14.25" customHeight="1" x14ac:dyDescent="0.3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spans="1:26" ht="14.25" customHeight="1" x14ac:dyDescent="0.3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spans="1:26" ht="14.25" customHeight="1" x14ac:dyDescent="0.3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spans="1:26" ht="14.25" customHeight="1" x14ac:dyDescent="0.3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spans="1:26" ht="14.25" customHeight="1" x14ac:dyDescent="0.3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spans="1:26" ht="14.25" customHeight="1" x14ac:dyDescent="0.3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spans="1:26" ht="14.25" customHeight="1" x14ac:dyDescent="0.3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spans="1:26" ht="14.25" customHeight="1" x14ac:dyDescent="0.3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spans="1:26" ht="14.25" customHeight="1" x14ac:dyDescent="0.3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spans="1:26" ht="14.25" customHeight="1" x14ac:dyDescent="0.3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spans="1:26" ht="14.25" customHeight="1" x14ac:dyDescent="0.3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spans="1:26" ht="14.25" customHeight="1" x14ac:dyDescent="0.3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spans="1:26" ht="14.25" customHeight="1" x14ac:dyDescent="0.3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spans="1:26" ht="14.25" customHeight="1" x14ac:dyDescent="0.3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spans="1:26" ht="14.25" customHeight="1" x14ac:dyDescent="0.3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spans="1:26" ht="14.25" customHeight="1" x14ac:dyDescent="0.3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spans="1:26" ht="14.25" customHeight="1" x14ac:dyDescent="0.3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spans="1:26" ht="14.25" customHeight="1" x14ac:dyDescent="0.3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spans="1:26" ht="14.25" customHeight="1" x14ac:dyDescent="0.3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spans="1:26" ht="14.25" customHeight="1" x14ac:dyDescent="0.3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spans="1:26" ht="14.25" customHeight="1" x14ac:dyDescent="0.3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spans="1:26" ht="14.25" customHeight="1" x14ac:dyDescent="0.3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spans="1:26" ht="14.25" customHeight="1" x14ac:dyDescent="0.3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spans="1:26" ht="14.25" customHeight="1" x14ac:dyDescent="0.3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spans="1:26" ht="14.25" customHeight="1" x14ac:dyDescent="0.3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spans="1:26" ht="14.25" customHeight="1" x14ac:dyDescent="0.3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spans="1:26" ht="14.25" customHeight="1" x14ac:dyDescent="0.3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spans="1:26" ht="14.25" customHeight="1" x14ac:dyDescent="0.3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spans="1:26" ht="14.25" customHeight="1" x14ac:dyDescent="0.3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spans="1:26" ht="14.25" customHeight="1" x14ac:dyDescent="0.3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spans="1:26" ht="14.25" customHeight="1" x14ac:dyDescent="0.3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spans="1:26" ht="14.25" customHeight="1" x14ac:dyDescent="0.3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spans="1:26" ht="14.25" customHeight="1" x14ac:dyDescent="0.3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spans="1:26" ht="14.25" customHeight="1" x14ac:dyDescent="0.3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spans="1:26" ht="14.25" customHeight="1" x14ac:dyDescent="0.3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spans="1:26" ht="14.25" customHeight="1" x14ac:dyDescent="0.3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spans="1:26" ht="14.25" customHeight="1" x14ac:dyDescent="0.3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spans="1:26" ht="14.25" customHeight="1" x14ac:dyDescent="0.3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spans="1:26" ht="14.25" customHeight="1" x14ac:dyDescent="0.3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spans="1:26" ht="14.25" customHeight="1" x14ac:dyDescent="0.3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spans="1:26" ht="14.25" customHeight="1" x14ac:dyDescent="0.3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spans="1:26" ht="14.25" customHeight="1" x14ac:dyDescent="0.3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spans="1:26" ht="14.25" customHeight="1" x14ac:dyDescent="0.3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spans="1:26" ht="14.25" customHeight="1" x14ac:dyDescent="0.3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spans="1:26" ht="14.25" customHeight="1" x14ac:dyDescent="0.3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spans="1:26" ht="14.25" customHeight="1" x14ac:dyDescent="0.3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spans="1:26" ht="14.25" customHeight="1" x14ac:dyDescent="0.3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spans="1:26" ht="14.25" customHeight="1" x14ac:dyDescent="0.3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spans="1:26" ht="14.25" customHeight="1" x14ac:dyDescent="0.3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spans="1:26" ht="14.25" customHeight="1" x14ac:dyDescent="0.3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spans="1:26" ht="14.25" customHeight="1" x14ac:dyDescent="0.3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spans="1:26" ht="14.25" customHeight="1" x14ac:dyDescent="0.3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spans="1:26" ht="14.25" customHeight="1" x14ac:dyDescent="0.3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spans="1:26" ht="14.25" customHeight="1" x14ac:dyDescent="0.3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spans="1:26" ht="14.25" customHeight="1" x14ac:dyDescent="0.3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spans="1:26" ht="14.25" customHeight="1" x14ac:dyDescent="0.3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spans="1:26" ht="14.25" customHeight="1" x14ac:dyDescent="0.3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spans="1:26" ht="14.25" customHeight="1" x14ac:dyDescent="0.3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spans="1:26" ht="14.25" customHeight="1" x14ac:dyDescent="0.3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spans="1:26" ht="14.25" customHeight="1" x14ac:dyDescent="0.3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spans="1:26" ht="14.25" customHeight="1" x14ac:dyDescent="0.3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spans="1:26" ht="14.25" customHeight="1" x14ac:dyDescent="0.3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spans="1:26" ht="14.25" customHeight="1" x14ac:dyDescent="0.3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spans="1:26" ht="14.25" customHeight="1" x14ac:dyDescent="0.3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spans="1:26" ht="14.25" customHeight="1" x14ac:dyDescent="0.3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spans="1:26" ht="14.25" customHeight="1" x14ac:dyDescent="0.3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spans="1:26" ht="14.25" customHeight="1" x14ac:dyDescent="0.3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spans="1:26" ht="14.25" customHeight="1" x14ac:dyDescent="0.3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spans="1:26" ht="14.25" customHeight="1" x14ac:dyDescent="0.3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spans="1:26" ht="14.25" customHeight="1" x14ac:dyDescent="0.3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spans="1:26" ht="14.25" customHeight="1" x14ac:dyDescent="0.3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spans="1:26" ht="14.25" customHeight="1" x14ac:dyDescent="0.3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spans="1:26" ht="14.25" customHeight="1" x14ac:dyDescent="0.3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spans="1:26" ht="14.25" customHeight="1" x14ac:dyDescent="0.3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spans="1:26" ht="14.25" customHeight="1" x14ac:dyDescent="0.3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spans="1:26" ht="14.25" customHeight="1" x14ac:dyDescent="0.3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spans="1:26" ht="14.25" customHeight="1" x14ac:dyDescent="0.3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spans="1:26" ht="14.25" customHeight="1" x14ac:dyDescent="0.3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spans="1:26" ht="14.25" customHeight="1" x14ac:dyDescent="0.3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spans="1:26" ht="14.25" customHeight="1" x14ac:dyDescent="0.3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spans="1:26" ht="14.25" customHeight="1" x14ac:dyDescent="0.3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spans="1:26" ht="14.25" customHeight="1" x14ac:dyDescent="0.3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spans="1:26" ht="14.25" customHeight="1" x14ac:dyDescent="0.3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spans="1:26" ht="14.25" customHeight="1" x14ac:dyDescent="0.3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spans="1:26" ht="14.25" customHeight="1" x14ac:dyDescent="0.3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spans="1:26" ht="14.25" customHeight="1" x14ac:dyDescent="0.3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spans="1:26" ht="14.25" customHeight="1" x14ac:dyDescent="0.3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spans="1:26" ht="14.25" customHeight="1" x14ac:dyDescent="0.3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spans="1:26" ht="14.25" customHeight="1" x14ac:dyDescent="0.3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spans="1:26" ht="14.25" customHeight="1" x14ac:dyDescent="0.3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spans="1:26" ht="14.25" customHeight="1" x14ac:dyDescent="0.3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spans="1:26" ht="14.25" customHeight="1" x14ac:dyDescent="0.3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spans="1:26" ht="14.25" customHeight="1" x14ac:dyDescent="0.3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spans="1:26" ht="14.25" customHeight="1" x14ac:dyDescent="0.3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spans="1:26" ht="14.25" customHeight="1" x14ac:dyDescent="0.3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spans="1:26" ht="14.25" customHeight="1" x14ac:dyDescent="0.3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spans="1:26" ht="14.25" customHeight="1" x14ac:dyDescent="0.3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spans="1:26" ht="14.25" customHeight="1" x14ac:dyDescent="0.3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spans="1:26" ht="14.25" customHeight="1" x14ac:dyDescent="0.3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spans="1:26" ht="14.25" customHeight="1" x14ac:dyDescent="0.3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spans="1:26" ht="14.25" customHeight="1" x14ac:dyDescent="0.3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spans="1:26" ht="14.25" customHeight="1" x14ac:dyDescent="0.3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spans="1:26" ht="14.25" customHeight="1" x14ac:dyDescent="0.3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spans="1:26" ht="14.25" customHeight="1" x14ac:dyDescent="0.3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spans="1:26" ht="14.25" customHeight="1" x14ac:dyDescent="0.3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spans="1:26" ht="14.25" customHeight="1" x14ac:dyDescent="0.3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spans="1:26" ht="14.25" customHeight="1" x14ac:dyDescent="0.3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spans="1:26" ht="14.25" customHeight="1" x14ac:dyDescent="0.3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spans="1:26" ht="14.25" customHeight="1" x14ac:dyDescent="0.3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spans="1:26" ht="14.25" customHeight="1" x14ac:dyDescent="0.3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spans="1:26" ht="14.25" customHeight="1" x14ac:dyDescent="0.3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spans="1:26" ht="14.25" customHeight="1" x14ac:dyDescent="0.3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spans="1:26" ht="14.25" customHeight="1" x14ac:dyDescent="0.3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spans="1:26" ht="14.25" customHeight="1" x14ac:dyDescent="0.3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spans="1:26" ht="14.25" customHeight="1" x14ac:dyDescent="0.3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spans="1:26" ht="14.25" customHeight="1" x14ac:dyDescent="0.3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spans="1:26" ht="14.25" customHeight="1" x14ac:dyDescent="0.3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spans="1:26" ht="14.25" customHeight="1" x14ac:dyDescent="0.3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spans="1:26" ht="14.25" customHeight="1" x14ac:dyDescent="0.3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spans="1:26" ht="14.25" customHeight="1" x14ac:dyDescent="0.3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spans="1:26" ht="14.25" customHeight="1" x14ac:dyDescent="0.3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spans="1:26" ht="14.25" customHeight="1" x14ac:dyDescent="0.3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spans="1:26" ht="14.25" customHeight="1" x14ac:dyDescent="0.3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spans="1:26" ht="14.25" customHeight="1" x14ac:dyDescent="0.3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spans="1:26" ht="14.25" customHeight="1" x14ac:dyDescent="0.3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spans="1:26" ht="14.25" customHeight="1" x14ac:dyDescent="0.3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spans="1:26" ht="14.25" customHeight="1" x14ac:dyDescent="0.3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spans="1:26" ht="14.25" customHeight="1" x14ac:dyDescent="0.3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spans="1:26" ht="14.25" customHeight="1" x14ac:dyDescent="0.3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spans="1:26" ht="14.25" customHeight="1" x14ac:dyDescent="0.3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spans="1:26" ht="14.25" customHeight="1" x14ac:dyDescent="0.3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spans="1:26" ht="14.25" customHeight="1" x14ac:dyDescent="0.3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spans="1:26" ht="14.25" customHeight="1" x14ac:dyDescent="0.3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spans="1:26" ht="14.25" customHeight="1" x14ac:dyDescent="0.3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spans="1:26" ht="14.25" customHeight="1" x14ac:dyDescent="0.3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spans="1:26" ht="14.25" customHeight="1" x14ac:dyDescent="0.3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spans="1:26" ht="14.25" customHeight="1" x14ac:dyDescent="0.3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spans="1:26" ht="14.25" customHeight="1" x14ac:dyDescent="0.3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spans="1:26" ht="14.25" customHeight="1" x14ac:dyDescent="0.3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spans="1:26" ht="14.25" customHeight="1" x14ac:dyDescent="0.3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spans="1:26" ht="14.25" customHeight="1" x14ac:dyDescent="0.3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spans="1:26" ht="14.25" customHeight="1" x14ac:dyDescent="0.3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spans="1:26" ht="14.25" customHeight="1" x14ac:dyDescent="0.3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spans="1:26" ht="14.25" customHeight="1" x14ac:dyDescent="0.3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spans="1:26" ht="14.25" customHeight="1" x14ac:dyDescent="0.3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spans="1:26" ht="14.25" customHeight="1" x14ac:dyDescent="0.3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spans="1:26" ht="14.25" customHeight="1" x14ac:dyDescent="0.3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spans="1:26" ht="14.25" customHeight="1" x14ac:dyDescent="0.3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spans="1:26" ht="14.25" customHeight="1" x14ac:dyDescent="0.3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spans="1:26" ht="14.25" customHeight="1" x14ac:dyDescent="0.3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spans="1:26" ht="14.25" customHeight="1" x14ac:dyDescent="0.3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spans="1:26" ht="14.25" customHeight="1" x14ac:dyDescent="0.3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spans="1:26" ht="14.25" customHeight="1" x14ac:dyDescent="0.3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spans="1:26" ht="14.25" customHeight="1" x14ac:dyDescent="0.3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spans="1:26" ht="14.25" customHeight="1" x14ac:dyDescent="0.3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spans="1:26" ht="14.25" customHeight="1" x14ac:dyDescent="0.3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spans="1:26" ht="14.25" customHeight="1" x14ac:dyDescent="0.3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spans="1:26" ht="14.25" customHeight="1" x14ac:dyDescent="0.3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spans="1:26" ht="14.25" customHeight="1" x14ac:dyDescent="0.3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spans="1:26" ht="14.25" customHeight="1" x14ac:dyDescent="0.3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spans="1:26" ht="14.25" customHeight="1" x14ac:dyDescent="0.3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spans="1:26" ht="14.25" customHeight="1" x14ac:dyDescent="0.3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spans="1:26" ht="14.25" customHeight="1" x14ac:dyDescent="0.3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spans="1:26" ht="14.25" customHeight="1" x14ac:dyDescent="0.3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spans="1:26" ht="14.25" customHeight="1" x14ac:dyDescent="0.3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spans="1:26" ht="14.25" customHeight="1" x14ac:dyDescent="0.3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spans="1:26" ht="14.25" customHeight="1" x14ac:dyDescent="0.3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spans="1:26" ht="14.25" customHeight="1" x14ac:dyDescent="0.3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spans="1:26" ht="14.25" customHeight="1" x14ac:dyDescent="0.3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spans="1:26" ht="14.25" customHeight="1" x14ac:dyDescent="0.3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spans="1:26" ht="14.25" customHeight="1" x14ac:dyDescent="0.3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spans="1:26" ht="14.25" customHeight="1" x14ac:dyDescent="0.3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spans="1:26" ht="14.25" customHeight="1" x14ac:dyDescent="0.3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spans="1:26" ht="14.25" customHeight="1" x14ac:dyDescent="0.3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spans="1:26" ht="14.25" customHeight="1" x14ac:dyDescent="0.3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spans="1:26" ht="14.25" customHeight="1" x14ac:dyDescent="0.3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spans="1:26" ht="14.25" customHeight="1" x14ac:dyDescent="0.3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spans="1:26" ht="14.25" customHeight="1" x14ac:dyDescent="0.3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spans="1:26" ht="14.25" customHeight="1" x14ac:dyDescent="0.3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spans="1:26" ht="14.25" customHeight="1" x14ac:dyDescent="0.3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spans="1:26" ht="14.25" customHeight="1" x14ac:dyDescent="0.3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spans="1:26" ht="14.25" customHeight="1" x14ac:dyDescent="0.3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spans="1:26" ht="14.25" customHeight="1" x14ac:dyDescent="0.3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spans="1:26" ht="14.25" customHeight="1" x14ac:dyDescent="0.3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spans="1:26" ht="14.25" customHeight="1" x14ac:dyDescent="0.3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spans="1:26" ht="14.25" customHeight="1" x14ac:dyDescent="0.3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spans="1:26" ht="14.25" customHeight="1" x14ac:dyDescent="0.3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spans="1:26" ht="14.25" customHeight="1" x14ac:dyDescent="0.3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spans="1:26" ht="14.25" customHeight="1" x14ac:dyDescent="0.3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spans="1:26" ht="14.25" customHeight="1" x14ac:dyDescent="0.3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spans="1:26" ht="14.25" customHeight="1" x14ac:dyDescent="0.3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spans="1:26" ht="14.25" customHeight="1" x14ac:dyDescent="0.3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spans="1:26" ht="14.25" customHeight="1" x14ac:dyDescent="0.3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spans="1:26" ht="14.25" customHeight="1" x14ac:dyDescent="0.3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spans="1:26" ht="14.25" customHeight="1" x14ac:dyDescent="0.3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spans="1:26" ht="14.25" customHeight="1" x14ac:dyDescent="0.3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spans="1:26" ht="14.25" customHeight="1" x14ac:dyDescent="0.3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spans="1:26" ht="14.25" customHeight="1" x14ac:dyDescent="0.3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spans="1:26" ht="14.25" customHeight="1" x14ac:dyDescent="0.3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spans="1:26" ht="14.25" customHeight="1" x14ac:dyDescent="0.3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spans="1:26" ht="14.25" customHeight="1" x14ac:dyDescent="0.3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spans="1:26" ht="14.25" customHeight="1" x14ac:dyDescent="0.3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spans="1:26" ht="14.25" customHeight="1" x14ac:dyDescent="0.3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spans="1:26" ht="14.25" customHeight="1" x14ac:dyDescent="0.3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spans="1:26" ht="14.25" customHeight="1" x14ac:dyDescent="0.3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spans="1:26" ht="14.25" customHeight="1" x14ac:dyDescent="0.3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spans="1:26" ht="14.25" customHeight="1" x14ac:dyDescent="0.3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spans="1:26" ht="14.25" customHeight="1" x14ac:dyDescent="0.3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spans="1:26" ht="14.25" customHeight="1" x14ac:dyDescent="0.3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spans="1:26" ht="14.25" customHeight="1" x14ac:dyDescent="0.3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spans="1:26" ht="14.25" customHeight="1" x14ac:dyDescent="0.3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spans="1:26" ht="14.25" customHeight="1" x14ac:dyDescent="0.3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spans="1:26" ht="14.25" customHeight="1" x14ac:dyDescent="0.3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spans="1:26" ht="14.25" customHeight="1" x14ac:dyDescent="0.3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spans="1:26" ht="14.25" customHeight="1" x14ac:dyDescent="0.3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spans="1:26" ht="14.25" customHeight="1" x14ac:dyDescent="0.3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spans="1:26" ht="14.25" customHeight="1" x14ac:dyDescent="0.3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spans="1:26" ht="14.25" customHeight="1" x14ac:dyDescent="0.3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spans="1:26" ht="14.25" customHeight="1" x14ac:dyDescent="0.3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spans="1:26" ht="14.25" customHeight="1" x14ac:dyDescent="0.3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spans="1:26" ht="14.25" customHeight="1" x14ac:dyDescent="0.3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spans="1:26" ht="14.25" customHeight="1" x14ac:dyDescent="0.3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spans="1:26" ht="14.25" customHeight="1" x14ac:dyDescent="0.3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spans="1:26" ht="14.25" customHeight="1" x14ac:dyDescent="0.3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spans="1:26" ht="14.25" customHeight="1" x14ac:dyDescent="0.3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spans="1:26" ht="14.25" customHeight="1" x14ac:dyDescent="0.3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spans="1:26" ht="14.25" customHeight="1" x14ac:dyDescent="0.3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spans="1:26" ht="14.25" customHeight="1" x14ac:dyDescent="0.3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spans="1:26" ht="14.25" customHeight="1" x14ac:dyDescent="0.3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spans="1:26" ht="14.25" customHeight="1" x14ac:dyDescent="0.3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spans="1:26" ht="14.25" customHeight="1" x14ac:dyDescent="0.3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spans="1:26" ht="14.25" customHeight="1" x14ac:dyDescent="0.3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spans="1:26" ht="14.25" customHeight="1" x14ac:dyDescent="0.3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spans="1:26" ht="14.25" customHeight="1" x14ac:dyDescent="0.3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spans="1:26" ht="14.25" customHeight="1" x14ac:dyDescent="0.3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spans="1:26" ht="14.25" customHeight="1" x14ac:dyDescent="0.3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spans="1:26" ht="14.25" customHeight="1" x14ac:dyDescent="0.3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spans="1:26" ht="14.25" customHeight="1" x14ac:dyDescent="0.3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spans="1:26" ht="14.25" customHeight="1" x14ac:dyDescent="0.3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spans="1:26" ht="14.25" customHeight="1" x14ac:dyDescent="0.3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spans="1:26" ht="14.25" customHeight="1" x14ac:dyDescent="0.3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spans="1:26" ht="14.25" customHeight="1" x14ac:dyDescent="0.3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spans="1:26" ht="14.25" customHeight="1" x14ac:dyDescent="0.3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spans="1:26" ht="14.25" customHeight="1" x14ac:dyDescent="0.3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spans="1:26" ht="14.25" customHeight="1" x14ac:dyDescent="0.3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spans="1:26" ht="14.25" customHeight="1" x14ac:dyDescent="0.3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spans="1:26" ht="14.25" customHeight="1" x14ac:dyDescent="0.3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spans="1:26" ht="14.25" customHeight="1" x14ac:dyDescent="0.3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spans="1:26" ht="14.25" customHeight="1" x14ac:dyDescent="0.3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spans="1:26" ht="14.25" customHeight="1" x14ac:dyDescent="0.3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spans="1:26" ht="14.25" customHeight="1" x14ac:dyDescent="0.3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spans="1:26" ht="14.25" customHeight="1" x14ac:dyDescent="0.3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spans="1:26" ht="14.25" customHeight="1" x14ac:dyDescent="0.3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spans="1:26" ht="14.25" customHeight="1" x14ac:dyDescent="0.3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spans="1:26" ht="14.25" customHeight="1" x14ac:dyDescent="0.3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spans="1:26" ht="14.25" customHeight="1" x14ac:dyDescent="0.3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spans="1:26" ht="14.25" customHeight="1" x14ac:dyDescent="0.3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spans="1:26" ht="14.25" customHeight="1" x14ac:dyDescent="0.3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spans="1:26" ht="14.25" customHeight="1" x14ac:dyDescent="0.3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spans="1:26" ht="14.25" customHeight="1" x14ac:dyDescent="0.3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spans="1:26" ht="14.25" customHeight="1" x14ac:dyDescent="0.3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spans="1:26" ht="14.25" customHeight="1" x14ac:dyDescent="0.3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spans="1:26" ht="14.25" customHeight="1" x14ac:dyDescent="0.3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spans="1:26" ht="14.25" customHeight="1" x14ac:dyDescent="0.3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spans="1:26" ht="14.25" customHeight="1" x14ac:dyDescent="0.3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spans="1:26" ht="14.25" customHeight="1" x14ac:dyDescent="0.3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spans="1:26" ht="14.25" customHeight="1" x14ac:dyDescent="0.3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spans="1:26" ht="14.25" customHeight="1" x14ac:dyDescent="0.3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spans="1:26" ht="14.25" customHeight="1" x14ac:dyDescent="0.3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spans="1:26" ht="14.25" customHeight="1" x14ac:dyDescent="0.3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spans="1:26" ht="14.25" customHeight="1" x14ac:dyDescent="0.3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spans="1:26" ht="14.25" customHeight="1" x14ac:dyDescent="0.3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spans="1:26" ht="14.25" customHeight="1" x14ac:dyDescent="0.3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spans="1:26" ht="14.25" customHeight="1" x14ac:dyDescent="0.3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spans="1:26" ht="14.25" customHeight="1" x14ac:dyDescent="0.3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spans="1:26" ht="14.25" customHeight="1" x14ac:dyDescent="0.3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spans="1:26" ht="14.25" customHeight="1" x14ac:dyDescent="0.3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spans="1:26" ht="14.25" customHeight="1" x14ac:dyDescent="0.3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spans="1:26" ht="14.25" customHeight="1" x14ac:dyDescent="0.3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spans="1:26" ht="14.25" customHeight="1" x14ac:dyDescent="0.3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spans="1:26" ht="14.25" customHeight="1" x14ac:dyDescent="0.3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spans="1:26" ht="14.25" customHeight="1" x14ac:dyDescent="0.3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spans="1:26" ht="14.25" customHeight="1" x14ac:dyDescent="0.3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spans="1:26" ht="14.25" customHeight="1" x14ac:dyDescent="0.3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spans="1:26" ht="14.25" customHeight="1" x14ac:dyDescent="0.3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spans="1:26" ht="14.25" customHeight="1" x14ac:dyDescent="0.3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spans="1:26" ht="14.25" customHeight="1" x14ac:dyDescent="0.3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spans="1:26" ht="14.25" customHeight="1" x14ac:dyDescent="0.3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spans="1:26" ht="14.25" customHeight="1" x14ac:dyDescent="0.3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spans="1:26" ht="14.25" customHeight="1" x14ac:dyDescent="0.3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spans="1:26" ht="14.25" customHeight="1" x14ac:dyDescent="0.3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spans="1:26" ht="14.25" customHeight="1" x14ac:dyDescent="0.3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spans="1:26" ht="14.25" customHeight="1" x14ac:dyDescent="0.3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spans="1:26" ht="14.25" customHeight="1" x14ac:dyDescent="0.3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spans="1:26" ht="14.25" customHeight="1" x14ac:dyDescent="0.3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spans="1:26" ht="14.25" customHeight="1" x14ac:dyDescent="0.3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spans="1:26" ht="14.25" customHeight="1" x14ac:dyDescent="0.3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spans="1:26" ht="14.25" customHeight="1" x14ac:dyDescent="0.3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spans="1:26" ht="14.25" customHeight="1" x14ac:dyDescent="0.3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spans="1:26" ht="14.25" customHeight="1" x14ac:dyDescent="0.3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spans="1:26" ht="14.25" customHeight="1" x14ac:dyDescent="0.3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spans="1:26" ht="14.25" customHeight="1" x14ac:dyDescent="0.3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spans="1:26" ht="14.25" customHeight="1" x14ac:dyDescent="0.3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spans="1:26" ht="14.25" customHeight="1" x14ac:dyDescent="0.3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spans="1:26" ht="14.25" customHeight="1" x14ac:dyDescent="0.3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spans="1:26" ht="14.25" customHeight="1" x14ac:dyDescent="0.3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spans="1:26" ht="14.25" customHeight="1" x14ac:dyDescent="0.3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spans="1:26" ht="14.25" customHeight="1" x14ac:dyDescent="0.3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spans="1:26" ht="14.25" customHeight="1" x14ac:dyDescent="0.3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spans="1:26" ht="14.25" customHeight="1" x14ac:dyDescent="0.3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spans="1:26" ht="14.25" customHeight="1" x14ac:dyDescent="0.3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spans="1:26" ht="14.25" customHeight="1" x14ac:dyDescent="0.3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spans="1:26" ht="14.25" customHeight="1" x14ac:dyDescent="0.3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spans="1:26" ht="14.25" customHeight="1" x14ac:dyDescent="0.3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spans="1:26" ht="14.25" customHeight="1" x14ac:dyDescent="0.3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spans="1:26" ht="14.25" customHeight="1" x14ac:dyDescent="0.3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spans="1:26" ht="14.25" customHeight="1" x14ac:dyDescent="0.3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spans="1:26" ht="14.25" customHeight="1" x14ac:dyDescent="0.3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spans="1:26" ht="14.25" customHeight="1" x14ac:dyDescent="0.3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spans="1:26" ht="14.25" customHeight="1" x14ac:dyDescent="0.3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spans="1:26" ht="14.25" customHeight="1" x14ac:dyDescent="0.3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spans="1:26" ht="14.25" customHeight="1" x14ac:dyDescent="0.3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spans="1:26" ht="14.25" customHeight="1" x14ac:dyDescent="0.3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spans="1:26" ht="14.25" customHeight="1" x14ac:dyDescent="0.3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spans="1:26" ht="14.25" customHeight="1" x14ac:dyDescent="0.3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spans="1:26" ht="14.25" customHeight="1" x14ac:dyDescent="0.3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spans="1:26" ht="14.25" customHeight="1" x14ac:dyDescent="0.3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spans="1:26" ht="14.25" customHeight="1" x14ac:dyDescent="0.3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spans="1:26" ht="14.25" customHeight="1" x14ac:dyDescent="0.3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spans="1:26" ht="14.25" customHeight="1" x14ac:dyDescent="0.3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spans="1:26" ht="14.25" customHeight="1" x14ac:dyDescent="0.3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spans="1:26" ht="14.25" customHeight="1" x14ac:dyDescent="0.3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spans="1:26" ht="14.25" customHeight="1" x14ac:dyDescent="0.3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spans="1:26" ht="14.25" customHeight="1" x14ac:dyDescent="0.3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spans="1:26" ht="14.25" customHeight="1" x14ac:dyDescent="0.3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spans="1:26" ht="14.25" customHeight="1" x14ac:dyDescent="0.3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spans="1:26" ht="14.25" customHeight="1" x14ac:dyDescent="0.3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spans="1:26" ht="14.25" customHeight="1" x14ac:dyDescent="0.3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spans="1:26" ht="14.25" customHeight="1" x14ac:dyDescent="0.3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spans="1:26" ht="14.25" customHeight="1" x14ac:dyDescent="0.3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spans="1:26" ht="14.25" customHeight="1" x14ac:dyDescent="0.3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spans="1:26" ht="14.25" customHeight="1" x14ac:dyDescent="0.3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spans="1:26" ht="14.25" customHeight="1" x14ac:dyDescent="0.3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spans="1:26" ht="14.25" customHeight="1" x14ac:dyDescent="0.3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spans="1:26" ht="14.25" customHeight="1" x14ac:dyDescent="0.3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spans="1:26" ht="14.25" customHeight="1" x14ac:dyDescent="0.3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spans="1:26" ht="14.25" customHeight="1" x14ac:dyDescent="0.3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spans="1:26" ht="14.25" customHeight="1" x14ac:dyDescent="0.3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spans="1:26" ht="14.25" customHeight="1" x14ac:dyDescent="0.3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spans="1:26" ht="14.25" customHeight="1" x14ac:dyDescent="0.3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spans="1:26" ht="14.25" customHeight="1" x14ac:dyDescent="0.3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spans="1:26" ht="14.25" customHeight="1" x14ac:dyDescent="0.3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spans="1:26" ht="14.25" customHeight="1" x14ac:dyDescent="0.3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spans="1:26" ht="14.25" customHeight="1" x14ac:dyDescent="0.3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spans="1:26" ht="14.25" customHeight="1" x14ac:dyDescent="0.3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spans="1:26" ht="14.25" customHeight="1" x14ac:dyDescent="0.3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spans="1:26" ht="14.25" customHeight="1" x14ac:dyDescent="0.3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spans="1:26" ht="14.25" customHeight="1" x14ac:dyDescent="0.3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spans="1:26" ht="14.25" customHeight="1" x14ac:dyDescent="0.3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spans="1:26" ht="14.25" customHeight="1" x14ac:dyDescent="0.3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spans="1:26" ht="14.25" customHeight="1" x14ac:dyDescent="0.3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spans="1:26" ht="14.25" customHeight="1" x14ac:dyDescent="0.3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spans="1:26" ht="14.25" customHeight="1" x14ac:dyDescent="0.3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spans="1:26" ht="14.25" customHeight="1" x14ac:dyDescent="0.3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spans="1:26" ht="14.25" customHeight="1" x14ac:dyDescent="0.3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spans="1:26" ht="14.25" customHeight="1" x14ac:dyDescent="0.3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spans="1:26" ht="14.25" customHeight="1" x14ac:dyDescent="0.3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spans="1:26" ht="14.25" customHeight="1" x14ac:dyDescent="0.3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</sheetPr>
  <dimension ref="A1:Z1028"/>
  <sheetViews>
    <sheetView view="pageBreakPreview" topLeftCell="A119" zoomScaleNormal="100" zoomScaleSheetLayoutView="100" workbookViewId="0">
      <selection activeCell="H106" sqref="H106"/>
    </sheetView>
  </sheetViews>
  <sheetFormatPr defaultColWidth="14.44140625" defaultRowHeight="15" customHeight="1" x14ac:dyDescent="0.3"/>
  <cols>
    <col min="1" max="1" width="9" customWidth="1"/>
    <col min="2" max="2" width="6.6640625" customWidth="1"/>
    <col min="3" max="3" width="8.44140625" customWidth="1"/>
    <col min="4" max="4" width="11" customWidth="1"/>
    <col min="5" max="5" width="9" customWidth="1"/>
    <col min="6" max="6" width="13" customWidth="1"/>
    <col min="7" max="7" width="9" customWidth="1"/>
    <col min="8" max="8" width="9.5546875" customWidth="1"/>
    <col min="9" max="10" width="9" customWidth="1"/>
    <col min="11" max="11" width="8.33203125" customWidth="1"/>
    <col min="12" max="26" width="8.6640625" customWidth="1"/>
  </cols>
  <sheetData>
    <row r="1" spans="1:26" ht="14.25" customHeight="1" x14ac:dyDescent="0.3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spans="1:26" ht="14.25" customHeight="1" x14ac:dyDescent="0.3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 spans="1:26" ht="14.25" customHeight="1" x14ac:dyDescent="0.3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spans="1:26" ht="14.25" customHeight="1" x14ac:dyDescent="0.3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 spans="1:26" ht="14.25" customHeight="1" x14ac:dyDescent="0.3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spans="1:26" ht="14.25" customHeight="1" x14ac:dyDescent="0.3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 spans="1:26" ht="14.25" customHeight="1" x14ac:dyDescent="0.3">
      <c r="A7" s="149" t="s">
        <v>190</v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 spans="1:26" ht="14.25" customHeight="1" x14ac:dyDescent="0.3">
      <c r="A8" s="151" t="s">
        <v>191</v>
      </c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 spans="1:26" ht="14.25" customHeight="1" x14ac:dyDescent="0.3">
      <c r="A9" s="102"/>
      <c r="B9" s="103"/>
      <c r="C9" s="103"/>
      <c r="D9" s="216" t="s">
        <v>302</v>
      </c>
      <c r="E9" s="215"/>
      <c r="F9" s="201" t="s">
        <v>292</v>
      </c>
      <c r="G9" s="201"/>
      <c r="H9" s="201"/>
      <c r="I9" s="201"/>
      <c r="J9" s="103"/>
      <c r="K9" s="103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spans="1:26" ht="14.25" customHeight="1" x14ac:dyDescent="0.3">
      <c r="A10" s="102"/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spans="1:26" ht="14.25" customHeight="1" x14ac:dyDescent="0.3">
      <c r="A11" s="102"/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spans="1:26" ht="14.25" customHeight="1" x14ac:dyDescent="0.3">
      <c r="A12" s="102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spans="1:26" ht="14.25" customHeight="1" x14ac:dyDescent="0.3">
      <c r="A13" s="102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spans="1:26" ht="14.25" customHeight="1" x14ac:dyDescent="0.3">
      <c r="A14" s="102"/>
      <c r="B14" s="102"/>
      <c r="C14" s="105" t="s">
        <v>192</v>
      </c>
      <c r="D14" s="106"/>
      <c r="E14" s="106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26" ht="14.25" customHeight="1" x14ac:dyDescent="0.3">
      <c r="A15" s="102"/>
      <c r="B15" s="102"/>
      <c r="C15" s="107" t="s">
        <v>193</v>
      </c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26" ht="14.25" customHeight="1" x14ac:dyDescent="0.3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spans="1:26" ht="14.25" customHeight="1" x14ac:dyDescent="0.3">
      <c r="A17" s="102"/>
      <c r="B17" s="102"/>
      <c r="C17" s="103" t="s">
        <v>194</v>
      </c>
      <c r="D17" s="102"/>
      <c r="E17" s="102"/>
      <c r="F17" s="103" t="s">
        <v>195</v>
      </c>
      <c r="G17" s="103"/>
      <c r="H17" s="102"/>
      <c r="I17" s="200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ht="14.25" customHeight="1" x14ac:dyDescent="0.3">
      <c r="A18" s="102"/>
      <c r="B18" s="102"/>
      <c r="C18" s="108" t="s">
        <v>196</v>
      </c>
      <c r="D18" s="102"/>
      <c r="E18" s="102"/>
      <c r="F18" s="103"/>
      <c r="G18" s="103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ht="14.25" customHeight="1" x14ac:dyDescent="0.3">
      <c r="A19" s="102"/>
      <c r="B19" s="102"/>
      <c r="C19" s="109" t="s">
        <v>197</v>
      </c>
      <c r="D19" s="102"/>
      <c r="E19" s="102"/>
      <c r="F19" s="103" t="str">
        <f>CONCATENATE(":"," ",'U95'!C30)</f>
        <v>: -</v>
      </c>
      <c r="G19" s="103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spans="1:26" ht="14.25" customHeight="1" x14ac:dyDescent="0.3">
      <c r="A20" s="102"/>
      <c r="B20" s="102"/>
      <c r="C20" s="110" t="s">
        <v>198</v>
      </c>
      <c r="D20" s="102"/>
      <c r="E20" s="102"/>
      <c r="F20" s="103"/>
      <c r="G20" s="103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spans="1:26" ht="14.25" customHeight="1" x14ac:dyDescent="0.3">
      <c r="A21" s="102"/>
      <c r="B21" s="102"/>
      <c r="C21" s="109" t="s">
        <v>91</v>
      </c>
      <c r="D21" s="102"/>
      <c r="E21" s="102"/>
      <c r="F21" s="103" t="str">
        <f>CONCATENATE(":"," ",'U95'!C31)</f>
        <v>: F1</v>
      </c>
      <c r="G21" s="103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 spans="1:26" ht="14.25" customHeight="1" x14ac:dyDescent="0.3">
      <c r="A22" s="102"/>
      <c r="B22" s="102"/>
      <c r="C22" s="110" t="s">
        <v>199</v>
      </c>
      <c r="D22" s="102"/>
      <c r="E22" s="102"/>
      <c r="F22" s="103"/>
      <c r="G22" s="103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 spans="1:26" ht="14.25" customHeight="1" x14ac:dyDescent="0.3">
      <c r="A23" s="102"/>
      <c r="B23" s="102"/>
      <c r="C23" s="103" t="s">
        <v>200</v>
      </c>
      <c r="D23" s="102"/>
      <c r="E23" s="102"/>
      <c r="F23" s="103" t="str">
        <f>CONCATENATE(":"," ",'U95'!C33)</f>
        <v>: -</v>
      </c>
      <c r="G23" s="103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 spans="1:26" ht="14.25" customHeight="1" x14ac:dyDescent="0.3">
      <c r="A24" s="102"/>
      <c r="B24" s="102"/>
      <c r="C24" s="108" t="s">
        <v>201</v>
      </c>
      <c r="D24" s="102"/>
      <c r="E24" s="102"/>
      <c r="F24" s="103"/>
      <c r="G24" s="103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spans="1:26" ht="14.25" customHeight="1" x14ac:dyDescent="0.3">
      <c r="A25" s="102"/>
      <c r="B25" s="102"/>
      <c r="C25" s="103" t="s">
        <v>202</v>
      </c>
      <c r="D25" s="102"/>
      <c r="E25" s="102"/>
      <c r="F25" s="103" t="str">
        <f>CONCATENATE(":"," ",'U95'!C32)</f>
        <v>: 124918</v>
      </c>
      <c r="G25" s="103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spans="1:26" ht="14.25" customHeight="1" x14ac:dyDescent="0.3">
      <c r="A26" s="102"/>
      <c r="B26" s="102"/>
      <c r="C26" s="108" t="s">
        <v>203</v>
      </c>
      <c r="D26" s="102"/>
      <c r="E26" s="102"/>
      <c r="F26" s="103"/>
      <c r="G26" s="103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spans="1:26" ht="14.25" customHeight="1" x14ac:dyDescent="0.3">
      <c r="A27" s="102"/>
      <c r="B27" s="102"/>
      <c r="C27" s="103" t="s">
        <v>204</v>
      </c>
      <c r="D27" s="102"/>
      <c r="E27" s="102"/>
      <c r="F27" s="103" t="s">
        <v>205</v>
      </c>
      <c r="G27" s="102"/>
      <c r="H27" s="103" t="str">
        <f>CONCATENATE(":","0,001 g -2000g ",)</f>
        <v xml:space="preserve">:0,001 g -2000g </v>
      </c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 spans="1:26" ht="14.25" customHeight="1" x14ac:dyDescent="0.3">
      <c r="A28" s="102"/>
      <c r="B28" s="102"/>
      <c r="C28" s="110" t="s">
        <v>206</v>
      </c>
      <c r="D28" s="102"/>
      <c r="E28" s="102"/>
      <c r="F28" s="103" t="s">
        <v>207</v>
      </c>
      <c r="G28" s="102"/>
      <c r="H28" s="103" t="s">
        <v>208</v>
      </c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 spans="1:26" ht="14.25" customHeight="1" x14ac:dyDescent="0.3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spans="1:26" ht="14.25" customHeight="1" x14ac:dyDescent="0.3">
      <c r="A30" s="102"/>
      <c r="B30" s="102"/>
      <c r="C30" s="111" t="s">
        <v>209</v>
      </c>
      <c r="D30" s="111"/>
      <c r="E30" s="111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 spans="1:26" ht="14.25" customHeight="1" x14ac:dyDescent="0.3">
      <c r="A31" s="102"/>
      <c r="B31" s="102"/>
      <c r="C31" s="112" t="s">
        <v>210</v>
      </c>
      <c r="D31" s="112"/>
      <c r="E31" s="11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spans="1:26" ht="14.25" customHeight="1" x14ac:dyDescent="0.3">
      <c r="A32" s="102"/>
      <c r="B32" s="102"/>
      <c r="C32" s="113"/>
      <c r="D32" s="113"/>
      <c r="E32" s="113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spans="1:26" ht="14.25" customHeight="1" x14ac:dyDescent="0.3">
      <c r="A33" s="102"/>
      <c r="B33" s="102"/>
      <c r="C33" s="103" t="s">
        <v>211</v>
      </c>
      <c r="D33" s="103" t="str">
        <f>CONCATENATE(":"," ",'U95'!C26)</f>
        <v>: PT. XXXXXX</v>
      </c>
      <c r="E33" s="114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spans="1:26" ht="14.25" customHeight="1" x14ac:dyDescent="0.3">
      <c r="A34" s="102"/>
      <c r="B34" s="102"/>
      <c r="C34" s="108" t="s">
        <v>212</v>
      </c>
      <c r="D34" s="103"/>
      <c r="E34" s="114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spans="1:26" ht="15" customHeight="1" x14ac:dyDescent="0.3">
      <c r="A35" s="102"/>
      <c r="B35" s="102"/>
      <c r="C35" s="103" t="s">
        <v>213</v>
      </c>
      <c r="D35" s="198" t="str">
        <f>CONCATENATE(":"," ",'U95'!C27)</f>
        <v xml:space="preserve">: Jalan, Desa, Kecamatan, Kabupaten, Provinsi </v>
      </c>
      <c r="E35" s="199"/>
      <c r="F35" s="199"/>
      <c r="G35" s="199"/>
      <c r="H35" s="199"/>
      <c r="I35" s="199"/>
      <c r="J35" s="199"/>
      <c r="K35" s="199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spans="1:26" ht="14.25" customHeight="1" x14ac:dyDescent="0.3">
      <c r="A36" s="102"/>
      <c r="B36" s="102"/>
      <c r="C36" s="108" t="s">
        <v>214</v>
      </c>
      <c r="D36" s="199"/>
      <c r="E36" s="199"/>
      <c r="F36" s="199"/>
      <c r="G36" s="199"/>
      <c r="H36" s="199"/>
      <c r="I36" s="199"/>
      <c r="J36" s="199"/>
      <c r="K36" s="199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spans="1:26" ht="14.25" customHeight="1" x14ac:dyDescent="0.3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spans="1:26" ht="14.25" customHeight="1" x14ac:dyDescent="0.3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spans="1:26" ht="14.25" customHeight="1" x14ac:dyDescent="0.3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spans="1:26" ht="14.25" customHeight="1" x14ac:dyDescent="0.3">
      <c r="A40" s="102"/>
      <c r="B40" s="102"/>
      <c r="C40" s="102"/>
      <c r="D40" s="102"/>
      <c r="E40" s="102"/>
      <c r="F40" s="102"/>
      <c r="G40" s="102"/>
      <c r="H40" s="102"/>
      <c r="I40" s="104" t="s">
        <v>295</v>
      </c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spans="1:26" ht="14.25" customHeight="1" x14ac:dyDescent="0.3">
      <c r="A41" s="102"/>
      <c r="B41" s="102"/>
      <c r="C41" s="102"/>
      <c r="D41" s="102"/>
      <c r="E41" s="102"/>
      <c r="F41" s="102"/>
      <c r="G41" s="102"/>
      <c r="H41" s="102"/>
      <c r="I41" s="115" t="s">
        <v>215</v>
      </c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spans="1:26" ht="14.25" customHeight="1" x14ac:dyDescent="0.3">
      <c r="A42" s="102"/>
      <c r="B42" s="102"/>
      <c r="C42" s="102"/>
      <c r="D42" s="102"/>
      <c r="E42" s="102"/>
      <c r="F42" s="102"/>
      <c r="G42" s="102"/>
      <c r="H42" s="102"/>
      <c r="I42" s="116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spans="1:26" ht="14.25" customHeight="1" x14ac:dyDescent="0.3">
      <c r="A43" s="102"/>
      <c r="B43" s="102"/>
      <c r="C43" s="102"/>
      <c r="D43" s="102"/>
      <c r="E43" s="102"/>
      <c r="F43" s="102"/>
      <c r="G43" s="102"/>
      <c r="H43" s="102"/>
      <c r="I43" s="117" t="s">
        <v>296</v>
      </c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spans="1:26" ht="14.25" customHeight="1" x14ac:dyDescent="0.3">
      <c r="A44" s="102"/>
      <c r="B44" s="102"/>
      <c r="C44" s="102"/>
      <c r="E44" s="102"/>
      <c r="F44" s="102"/>
      <c r="G44" s="102"/>
      <c r="H44" s="102"/>
      <c r="I44" s="115" t="s">
        <v>216</v>
      </c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spans="1:26" ht="14.25" customHeight="1" x14ac:dyDescent="0.3">
      <c r="A45" s="102"/>
      <c r="B45" s="102"/>
      <c r="E45" s="102"/>
      <c r="F45" s="118" t="s">
        <v>217</v>
      </c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spans="1:26" ht="14.25" customHeight="1" x14ac:dyDescent="0.3">
      <c r="A46" s="102"/>
      <c r="E46" s="102"/>
      <c r="F46" s="119" t="s">
        <v>218</v>
      </c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spans="1:26" ht="14.25" customHeight="1" x14ac:dyDescent="0.3">
      <c r="A47" s="102"/>
      <c r="D47" s="102"/>
      <c r="E47" s="102"/>
      <c r="F47" s="109" t="s">
        <v>219</v>
      </c>
      <c r="G47" s="102"/>
      <c r="H47" s="120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spans="1:26" ht="14.25" customHeight="1" x14ac:dyDescent="0.3">
      <c r="A48" s="102"/>
      <c r="D48" s="102"/>
      <c r="E48" s="102"/>
      <c r="F48" s="102"/>
      <c r="G48" s="102"/>
      <c r="H48" s="120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spans="1:26" ht="14.25" customHeight="1" x14ac:dyDescent="0.3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spans="1:26" ht="14.25" customHeight="1" x14ac:dyDescent="0.3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spans="1:26" ht="14.25" customHeight="1" x14ac:dyDescent="0.3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spans="1:26" ht="14.25" customHeight="1" x14ac:dyDescent="0.3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spans="1:26" ht="14.25" customHeight="1" x14ac:dyDescent="0.3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spans="1:26" ht="14.25" customHeight="1" x14ac:dyDescent="0.3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spans="1:26" ht="14.25" customHeight="1" x14ac:dyDescent="0.3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spans="1:26" ht="14.25" customHeight="1" x14ac:dyDescent="0.3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spans="1:26" ht="14.25" customHeight="1" x14ac:dyDescent="0.3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spans="1:26" ht="14.25" customHeight="1" x14ac:dyDescent="0.3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spans="1:26" ht="14.25" customHeight="1" x14ac:dyDescent="0.3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spans="1:26" ht="14.25" customHeight="1" x14ac:dyDescent="0.3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spans="1:26" ht="14.25" customHeight="1" x14ac:dyDescent="0.3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spans="1:26" ht="14.25" customHeight="1" x14ac:dyDescent="0.3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spans="1:26" ht="14.25" customHeight="1" x14ac:dyDescent="0.3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spans="1:26" ht="14.25" customHeight="1" x14ac:dyDescent="0.3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spans="1:26" ht="14.25" customHeight="1" x14ac:dyDescent="0.3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spans="1:26" ht="4.8" customHeight="1" x14ac:dyDescent="0.3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spans="1:26" ht="14.25" customHeight="1" x14ac:dyDescent="0.3">
      <c r="A67" s="102"/>
      <c r="B67" s="102"/>
      <c r="C67" s="102"/>
      <c r="D67" s="102"/>
      <c r="E67" s="102"/>
      <c r="F67" s="121" t="s">
        <v>220</v>
      </c>
      <c r="G67" s="121" t="str">
        <f>CONCATENATE(":"," ",$F$9)</f>
        <v>: 013-2.1/INT/KALIBRASI BBLM/I/2026</v>
      </c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spans="1:26" ht="14.25" customHeight="1" x14ac:dyDescent="0.3">
      <c r="A68" s="102"/>
      <c r="B68" s="102"/>
      <c r="C68" s="102"/>
      <c r="D68" s="102"/>
      <c r="E68" s="102"/>
      <c r="F68" s="121" t="s">
        <v>221</v>
      </c>
      <c r="G68" s="121" t="str">
        <f>CONCATENATE(": ",'U95'!C25)</f>
        <v>: K519-1</v>
      </c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spans="1:26" ht="14.25" customHeight="1" x14ac:dyDescent="0.3">
      <c r="A69" s="102"/>
      <c r="B69" s="102"/>
      <c r="C69" s="102"/>
      <c r="D69" s="102"/>
      <c r="E69" s="102"/>
      <c r="F69" s="121" t="s">
        <v>222</v>
      </c>
      <c r="G69" s="121" t="s">
        <v>294</v>
      </c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spans="1:26" ht="7.5" customHeight="1" x14ac:dyDescent="0.3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spans="1:26" ht="14.25" customHeight="1" x14ac:dyDescent="0.3">
      <c r="A71" s="102"/>
      <c r="B71" s="102"/>
      <c r="C71" s="152" t="s">
        <v>223</v>
      </c>
      <c r="D71" s="150"/>
      <c r="E71" s="150"/>
      <c r="F71" s="150"/>
      <c r="G71" s="150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spans="1:26" ht="14.25" customHeight="1" x14ac:dyDescent="0.3">
      <c r="A72" s="102"/>
      <c r="B72" s="102"/>
      <c r="C72" s="103" t="s">
        <v>224</v>
      </c>
      <c r="D72" s="102"/>
      <c r="E72" s="103" t="str">
        <f>F17</f>
        <v>: Anak Timbangan</v>
      </c>
      <c r="F72" s="103"/>
      <c r="G72" s="103"/>
      <c r="H72" s="103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spans="1:26" ht="14.25" customHeight="1" x14ac:dyDescent="0.3">
      <c r="A73" s="102"/>
      <c r="B73" s="102"/>
      <c r="C73" s="103" t="s">
        <v>225</v>
      </c>
      <c r="D73" s="102"/>
      <c r="E73" s="103" t="str">
        <f>CONCATENATE(":"," ",'U95'!C30," ","/"," ",'U95'!C31)</f>
        <v>: - / F1</v>
      </c>
      <c r="F73" s="103"/>
      <c r="G73" s="103"/>
      <c r="H73" s="103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spans="1:26" ht="14.25" customHeight="1" x14ac:dyDescent="0.3">
      <c r="A74" s="102"/>
      <c r="B74" s="102"/>
      <c r="C74" s="103" t="s">
        <v>226</v>
      </c>
      <c r="D74" s="102"/>
      <c r="E74" s="103" t="str">
        <f>F23</f>
        <v>: -</v>
      </c>
      <c r="F74" s="103"/>
      <c r="G74" s="103"/>
      <c r="H74" s="103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spans="1:26" ht="14.25" customHeight="1" x14ac:dyDescent="0.3">
      <c r="A75" s="102"/>
      <c r="B75" s="102"/>
      <c r="C75" s="103" t="s">
        <v>227</v>
      </c>
      <c r="D75" s="102"/>
      <c r="E75" s="103" t="str">
        <f>F25</f>
        <v>: 124918</v>
      </c>
      <c r="F75" s="103"/>
      <c r="G75" s="103"/>
      <c r="H75" s="103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spans="1:26" ht="14.25" customHeight="1" x14ac:dyDescent="0.3">
      <c r="A76" s="102"/>
      <c r="B76" s="102"/>
      <c r="C76" s="103" t="s">
        <v>228</v>
      </c>
      <c r="D76" s="102"/>
      <c r="E76" s="103" t="str">
        <f t="shared" ref="E76:E77" si="0">H27</f>
        <v xml:space="preserve">:0,001 g -2000g </v>
      </c>
      <c r="F76" s="103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spans="1:26" ht="14.25" customHeight="1" x14ac:dyDescent="0.3">
      <c r="A77" s="102"/>
      <c r="B77" s="102"/>
      <c r="C77" s="103" t="s">
        <v>229</v>
      </c>
      <c r="D77" s="102"/>
      <c r="E77" s="103" t="str">
        <f t="shared" si="0"/>
        <v>: -</v>
      </c>
      <c r="F77" s="103"/>
      <c r="G77" s="103" t="s">
        <v>230</v>
      </c>
      <c r="H77" s="102"/>
      <c r="I77" s="119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spans="1:26" ht="14.25" customHeight="1" x14ac:dyDescent="0.3">
      <c r="A78" s="102"/>
      <c r="B78" s="102"/>
      <c r="C78" s="103" t="s">
        <v>231</v>
      </c>
      <c r="D78" s="102"/>
      <c r="E78" s="103" t="s">
        <v>232</v>
      </c>
      <c r="F78" s="103"/>
      <c r="G78" s="103" t="s">
        <v>233</v>
      </c>
      <c r="H78" s="102"/>
      <c r="I78" s="103" t="str">
        <f>CONCATENATE(":"," ","(",'Koreksi themohygro rotronic 202'!C10,")"," ºC")</f>
        <v>: (20,16 ± 0,00) ºC</v>
      </c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spans="1:26" ht="14.25" customHeight="1" x14ac:dyDescent="0.3">
      <c r="A79" s="102"/>
      <c r="B79" s="102"/>
      <c r="C79" s="103" t="s">
        <v>109</v>
      </c>
      <c r="D79" s="102"/>
      <c r="E79" s="103" t="str">
        <f>CONCATENATE(":"," ",'U95'!C43)</f>
        <v>: 22 September 2025</v>
      </c>
      <c r="F79" s="103"/>
      <c r="G79" s="103" t="s">
        <v>234</v>
      </c>
      <c r="H79" s="102"/>
      <c r="I79" s="103" t="str">
        <f>CONCATENATE(":"," ","(",'Koreksi themohygro rotronic 202'!D10,")"," %RH")</f>
        <v>: (59,78 ± 0,00) %RH</v>
      </c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spans="1:26" ht="14.25" customHeight="1" x14ac:dyDescent="0.3">
      <c r="A80" s="102"/>
      <c r="B80" s="102"/>
      <c r="C80" s="103" t="s">
        <v>111</v>
      </c>
      <c r="D80" s="102"/>
      <c r="E80" s="103" t="str">
        <f>CONCATENATE(":"," ",'U95'!C44)</f>
        <v>: 2 Oktober 2025</v>
      </c>
      <c r="F80" s="122"/>
      <c r="G80" s="103" t="s">
        <v>235</v>
      </c>
      <c r="H80" s="102"/>
      <c r="I80" s="103" t="str">
        <f>CONCATENATE(":"," ","(",FIXED('U95'!E42,1)," ","± 0,7",")"," mmHg")</f>
        <v>: (691,6 ± 0,7) mmHg</v>
      </c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spans="1:26" ht="14.25" customHeight="1" x14ac:dyDescent="0.3">
      <c r="A81" s="102"/>
      <c r="B81" s="102"/>
      <c r="C81" s="103" t="s">
        <v>83</v>
      </c>
      <c r="D81" s="102"/>
      <c r="E81" s="103" t="str">
        <f>CONCATENATE(":"," ",'U95'!C28)</f>
        <v>: Lab massa BBLM</v>
      </c>
      <c r="F81" s="103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spans="1:26" ht="14.25" customHeight="1" x14ac:dyDescent="0.3">
      <c r="A82" s="102"/>
      <c r="B82" s="102"/>
      <c r="C82" s="103"/>
      <c r="D82" s="102"/>
      <c r="E82" s="103"/>
      <c r="F82" s="103"/>
      <c r="G82" s="103"/>
      <c r="H82" s="103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spans="1:26" ht="14.25" customHeight="1" x14ac:dyDescent="0.3">
      <c r="A83" s="102"/>
      <c r="B83" s="102"/>
      <c r="C83" s="102"/>
      <c r="D83" s="102"/>
      <c r="E83" s="102"/>
      <c r="F83" s="123" t="s">
        <v>236</v>
      </c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spans="1:26" ht="7.5" customHeight="1" x14ac:dyDescent="0.3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spans="1:26" ht="27.75" customHeight="1" x14ac:dyDescent="0.3">
      <c r="A85" s="102"/>
      <c r="B85" s="102"/>
      <c r="C85" s="157" t="s">
        <v>237</v>
      </c>
      <c r="D85" s="153" t="s">
        <v>238</v>
      </c>
      <c r="E85" s="155"/>
      <c r="F85" s="156" t="s">
        <v>239</v>
      </c>
      <c r="G85" s="155"/>
      <c r="H85" s="153" t="s">
        <v>240</v>
      </c>
      <c r="I85" s="154"/>
      <c r="J85" s="155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spans="1:26" ht="14.25" customHeight="1" x14ac:dyDescent="0.3">
      <c r="A86" s="102"/>
      <c r="B86" s="102"/>
      <c r="C86" s="158"/>
      <c r="D86" s="159" t="s">
        <v>130</v>
      </c>
      <c r="E86" s="143"/>
      <c r="F86" s="141" t="s">
        <v>130</v>
      </c>
      <c r="G86" s="143"/>
      <c r="H86" s="141" t="s">
        <v>241</v>
      </c>
      <c r="I86" s="142"/>
      <c r="J86" s="143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spans="1:26" ht="19.5" customHeight="1" x14ac:dyDescent="0.3">
      <c r="A87" s="102"/>
      <c r="B87" s="102"/>
      <c r="C87" s="124">
        <v>1</v>
      </c>
      <c r="D87" s="202">
        <v>1E-3</v>
      </c>
      <c r="E87" s="203"/>
      <c r="F87" s="213">
        <f>'0,001'!G85</f>
        <v>1.008E-3</v>
      </c>
      <c r="G87" s="214"/>
      <c r="H87" s="146">
        <f>MAX('0,001'!$K$107,'0,001'!$K$108)</f>
        <v>2.5999999999999999E-2</v>
      </c>
      <c r="I87" s="204"/>
      <c r="J87" s="205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spans="1:26" ht="19.5" customHeight="1" x14ac:dyDescent="0.3">
      <c r="A88" s="102"/>
      <c r="B88" s="102"/>
      <c r="C88" s="124">
        <v>2</v>
      </c>
      <c r="D88" s="202">
        <v>2E-3</v>
      </c>
      <c r="E88" s="203"/>
      <c r="F88" s="213">
        <f>'0,002'!G85</f>
        <v>2.0049999999999998E-3</v>
      </c>
      <c r="G88" s="214"/>
      <c r="H88" s="146">
        <f>MAX('0,002'!$K$107,'0,002'!$K$108)</f>
        <v>2.5999999999999999E-2</v>
      </c>
      <c r="I88" s="204"/>
      <c r="J88" s="205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spans="1:26" ht="19.5" customHeight="1" x14ac:dyDescent="0.3">
      <c r="A89" s="102"/>
      <c r="B89" s="102"/>
      <c r="C89" s="124">
        <v>3</v>
      </c>
      <c r="D89" s="202" t="s">
        <v>40</v>
      </c>
      <c r="E89" s="203"/>
      <c r="F89" s="213">
        <f>'0,002t'!G85</f>
        <v>1.9990000000000003E-3</v>
      </c>
      <c r="G89" s="214"/>
      <c r="H89" s="146">
        <f>MAX('0,002t'!$K$107,'0,002t'!$K$108)</f>
        <v>2.5999999999999999E-2</v>
      </c>
      <c r="I89" s="204"/>
      <c r="J89" s="205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spans="1:26" ht="19.5" customHeight="1" x14ac:dyDescent="0.3">
      <c r="A90" s="102"/>
      <c r="B90" s="102"/>
      <c r="C90" s="124">
        <v>4</v>
      </c>
      <c r="D90" s="202">
        <v>5.0000000000000001E-3</v>
      </c>
      <c r="E90" s="203"/>
      <c r="F90" s="213">
        <f>'0,005'!G85</f>
        <v>5.0130000000000001E-3</v>
      </c>
      <c r="G90" s="214"/>
      <c r="H90" s="146">
        <f>MAX('0,005'!$K$107,'0,005'!$K$108)</f>
        <v>2.5999999999999999E-2</v>
      </c>
      <c r="I90" s="204"/>
      <c r="J90" s="205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spans="1:26" ht="19.5" customHeight="1" x14ac:dyDescent="0.3">
      <c r="A91" s="102"/>
      <c r="B91" s="102"/>
      <c r="C91" s="124">
        <v>5</v>
      </c>
      <c r="D91" s="202">
        <v>0.01</v>
      </c>
      <c r="E91" s="203"/>
      <c r="F91" s="213">
        <f>'0,01'!G85</f>
        <v>1.0014E-2</v>
      </c>
      <c r="G91" s="214"/>
      <c r="H91" s="146">
        <f>MAX('0,01'!$K$107,'0,01'!$K$108)</f>
        <v>2.5999999999999999E-2</v>
      </c>
      <c r="I91" s="204"/>
      <c r="J91" s="205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spans="1:26" ht="19.5" customHeight="1" x14ac:dyDescent="0.3">
      <c r="A92" s="102"/>
      <c r="B92" s="102"/>
      <c r="C92" s="124">
        <v>6</v>
      </c>
      <c r="D92" s="202">
        <v>0.02</v>
      </c>
      <c r="E92" s="203"/>
      <c r="F92" s="213">
        <f>'0,02'!G85</f>
        <v>2.0018999999999999E-2</v>
      </c>
      <c r="G92" s="214"/>
      <c r="H92" s="146">
        <f>MAX('0,02'!$K$107,'0,02'!$K$108)</f>
        <v>2.5999999999999999E-2</v>
      </c>
      <c r="I92" s="204"/>
      <c r="J92" s="205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spans="1:26" ht="19.5" customHeight="1" x14ac:dyDescent="0.3">
      <c r="A93" s="102"/>
      <c r="B93" s="102"/>
      <c r="C93" s="124">
        <v>7</v>
      </c>
      <c r="D93" s="202" t="s">
        <v>39</v>
      </c>
      <c r="E93" s="203"/>
      <c r="F93" s="213">
        <f>'0,02t'!G85</f>
        <v>2.0011999999999999E-2</v>
      </c>
      <c r="G93" s="214"/>
      <c r="H93" s="146">
        <f>MAX('0,02t'!$K$107,'0,02t'!$K$108)</f>
        <v>2.5999999999999999E-2</v>
      </c>
      <c r="I93" s="204"/>
      <c r="J93" s="205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spans="1:26" ht="19.5" customHeight="1" x14ac:dyDescent="0.3">
      <c r="A94" s="102"/>
      <c r="B94" s="102"/>
      <c r="C94" s="124">
        <v>8</v>
      </c>
      <c r="D94" s="202">
        <v>0.05</v>
      </c>
      <c r="E94" s="203"/>
      <c r="F94" s="213">
        <f>'0,05'!G85</f>
        <v>5.0018E-2</v>
      </c>
      <c r="G94" s="214"/>
      <c r="H94" s="146">
        <f>MAX('0,05'!$K$107,'0,05'!$K$108)</f>
        <v>2.5999999999999999E-2</v>
      </c>
      <c r="I94" s="204"/>
      <c r="J94" s="205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spans="1:26" ht="19.5" customHeight="1" x14ac:dyDescent="0.3">
      <c r="A95" s="102"/>
      <c r="B95" s="102"/>
      <c r="C95" s="124">
        <v>9</v>
      </c>
      <c r="D95" s="202">
        <v>0.1</v>
      </c>
      <c r="E95" s="203"/>
      <c r="F95" s="213">
        <f>'0,1'!G85</f>
        <v>0.100024</v>
      </c>
      <c r="G95" s="214"/>
      <c r="H95" s="146">
        <f>MAX('0,1'!$K$107,'0,1'!$K$108)</f>
        <v>2.5999999999999999E-2</v>
      </c>
      <c r="I95" s="204"/>
      <c r="J95" s="205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spans="1:26" ht="19.5" customHeight="1" x14ac:dyDescent="0.3">
      <c r="A96" s="102"/>
      <c r="B96" s="102"/>
      <c r="C96" s="124">
        <v>10</v>
      </c>
      <c r="D96" s="202">
        <v>0.2</v>
      </c>
      <c r="E96" s="203"/>
      <c r="F96" s="213">
        <f>'0,2'!G85</f>
        <v>0.20002899999999998</v>
      </c>
      <c r="G96" s="214"/>
      <c r="H96" s="146">
        <f>MAX('0,2'!$K$107,'0,2'!$K$108)</f>
        <v>2.5999999999999999E-2</v>
      </c>
      <c r="I96" s="204"/>
      <c r="J96" s="205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spans="1:26" ht="19.5" customHeight="1" x14ac:dyDescent="0.3">
      <c r="A97" s="102"/>
      <c r="B97" s="102"/>
      <c r="C97" s="124">
        <v>11</v>
      </c>
      <c r="D97" s="202" t="s">
        <v>38</v>
      </c>
      <c r="E97" s="203"/>
      <c r="F97" s="213">
        <f>'0,2t'!G85</f>
        <v>0.20003500000000002</v>
      </c>
      <c r="G97" s="214"/>
      <c r="H97" s="146">
        <f>MAX('0,2t'!$K$107,'0,2t'!$K$108)</f>
        <v>2.5999999999999999E-2</v>
      </c>
      <c r="I97" s="204"/>
      <c r="J97" s="205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spans="1:26" ht="19.5" customHeight="1" x14ac:dyDescent="0.3">
      <c r="A98" s="102"/>
      <c r="B98" s="102"/>
      <c r="C98" s="124">
        <v>12</v>
      </c>
      <c r="D98" s="202">
        <v>0.5</v>
      </c>
      <c r="E98" s="203"/>
      <c r="F98" s="213">
        <f>'0,5'!G85</f>
        <v>0.50003599999999992</v>
      </c>
      <c r="G98" s="214"/>
      <c r="H98" s="146">
        <f>MAX('0,5'!$K$107,'0,5'!$K$108)</f>
        <v>2.7E-2</v>
      </c>
      <c r="I98" s="204"/>
      <c r="J98" s="205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spans="1:26" ht="19.5" customHeight="1" x14ac:dyDescent="0.3">
      <c r="A99" s="102"/>
      <c r="B99" s="102"/>
      <c r="C99" s="124">
        <v>13</v>
      </c>
      <c r="D99" s="202">
        <v>1</v>
      </c>
      <c r="E99" s="203"/>
      <c r="F99" s="213">
        <f>'1'!G85</f>
        <v>1.0000720000000001</v>
      </c>
      <c r="G99" s="214"/>
      <c r="H99" s="146">
        <f>MAX('1'!$K$107,'1'!$K$108)</f>
        <v>2.7E-2</v>
      </c>
      <c r="I99" s="204"/>
      <c r="J99" s="205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spans="1:26" ht="19.5" customHeight="1" x14ac:dyDescent="0.3">
      <c r="A100" s="102"/>
      <c r="B100" s="102"/>
      <c r="C100" s="124">
        <v>14</v>
      </c>
      <c r="D100" s="202">
        <v>2</v>
      </c>
      <c r="E100" s="203"/>
      <c r="F100" s="213">
        <f>'2'!G85</f>
        <v>2.0000586</v>
      </c>
      <c r="G100" s="214"/>
      <c r="H100" s="146">
        <f>MAX('2'!$K$107,'2'!$K$108)</f>
        <v>2.8000000000000001E-2</v>
      </c>
      <c r="I100" s="204"/>
      <c r="J100" s="205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spans="1:26" ht="19.5" customHeight="1" x14ac:dyDescent="0.3">
      <c r="A101" s="102"/>
      <c r="B101" s="102"/>
      <c r="C101" s="124">
        <v>15</v>
      </c>
      <c r="D101" s="202" t="s">
        <v>37</v>
      </c>
      <c r="E101" s="203"/>
      <c r="F101" s="213">
        <f>'2'!G85</f>
        <v>2.0000586</v>
      </c>
      <c r="G101" s="214"/>
      <c r="H101" s="146">
        <f>MAX('2t'!$K$107,'2t'!$K$108)</f>
        <v>2.8000000000000001E-2</v>
      </c>
      <c r="I101" s="204"/>
      <c r="J101" s="205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spans="1:26" ht="19.5" customHeight="1" x14ac:dyDescent="0.3">
      <c r="A102" s="102"/>
      <c r="B102" s="102"/>
      <c r="C102" s="124">
        <v>16</v>
      </c>
      <c r="D102" s="202">
        <v>5</v>
      </c>
      <c r="E102" s="203"/>
      <c r="F102" s="213">
        <f>'5'!G85</f>
        <v>5.0001009999999999</v>
      </c>
      <c r="G102" s="214"/>
      <c r="H102" s="146">
        <f>MAX('5'!$K$107,'5'!$K$108)</f>
        <v>2.9000000000000001E-2</v>
      </c>
      <c r="I102" s="204"/>
      <c r="J102" s="205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spans="1:26" ht="19.5" customHeight="1" x14ac:dyDescent="0.3">
      <c r="A103" s="102"/>
      <c r="B103" s="102"/>
      <c r="C103" s="124">
        <v>17</v>
      </c>
      <c r="D103" s="202">
        <v>10</v>
      </c>
      <c r="E103" s="203"/>
      <c r="F103" s="213">
        <f>'10'!G85</f>
        <v>10.000192</v>
      </c>
      <c r="G103" s="214"/>
      <c r="H103" s="146">
        <f>MAX('10'!$K$107,'10'!$K$108)</f>
        <v>3.2000000000000001E-2</v>
      </c>
      <c r="I103" s="204"/>
      <c r="J103" s="205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spans="1:26" ht="19.5" customHeight="1" x14ac:dyDescent="0.3">
      <c r="A104" s="102"/>
      <c r="B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spans="1:26" ht="19.5" customHeight="1" x14ac:dyDescent="0.3">
      <c r="A105" s="102"/>
      <c r="B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spans="1:26" ht="19.5" customHeight="1" x14ac:dyDescent="0.3">
      <c r="E106" s="121"/>
      <c r="F106" s="125"/>
      <c r="G106" s="121"/>
      <c r="H106" s="121"/>
      <c r="I106" s="121"/>
      <c r="J106" s="121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spans="1:26" ht="18.75" customHeight="1" x14ac:dyDescent="0.3">
      <c r="E107" s="127"/>
      <c r="F107" s="127"/>
      <c r="G107" s="127"/>
      <c r="H107" s="127"/>
      <c r="I107" s="127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spans="1:26" ht="14.25" customHeight="1" x14ac:dyDescent="0.3">
      <c r="E108" s="127"/>
      <c r="F108" s="127"/>
      <c r="G108" s="127"/>
      <c r="H108" s="127"/>
      <c r="I108" s="127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spans="1:26" ht="18" customHeight="1" x14ac:dyDescent="0.3">
      <c r="E109" s="128"/>
      <c r="F109" s="128"/>
      <c r="G109" s="125"/>
      <c r="H109" s="125"/>
      <c r="I109" s="125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spans="1:26" ht="18" customHeight="1" x14ac:dyDescent="0.3">
      <c r="E110" s="128"/>
      <c r="F110" s="128"/>
      <c r="G110" s="125"/>
      <c r="H110" s="125"/>
      <c r="I110" s="125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spans="1:26" ht="18" customHeight="1" x14ac:dyDescent="0.3">
      <c r="E111" s="128"/>
      <c r="F111" s="128"/>
      <c r="G111" s="125"/>
      <c r="H111" s="125"/>
      <c r="I111" s="125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spans="1:26" ht="18" customHeight="1" x14ac:dyDescent="0.3">
      <c r="E112" s="128"/>
      <c r="F112" s="128"/>
      <c r="G112" s="125"/>
      <c r="H112" s="125"/>
      <c r="I112" s="125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spans="1:26" ht="18" customHeight="1" x14ac:dyDescent="0.3">
      <c r="E113" s="128"/>
      <c r="G113" s="125"/>
      <c r="H113" s="125"/>
      <c r="I113" s="125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spans="1:26" ht="18" customHeight="1" x14ac:dyDescent="0.3">
      <c r="E114" s="128"/>
      <c r="F114" s="128"/>
      <c r="G114" s="125"/>
      <c r="H114" s="125"/>
      <c r="I114" s="125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spans="1:26" ht="18" customHeight="1" x14ac:dyDescent="0.3">
      <c r="E115" s="128"/>
      <c r="F115" s="128"/>
      <c r="G115" s="125"/>
      <c r="H115" s="125"/>
      <c r="I115" s="125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spans="1:26" ht="18" customHeight="1" x14ac:dyDescent="0.3">
      <c r="E116" s="128"/>
      <c r="F116" s="128"/>
      <c r="G116" s="125"/>
      <c r="H116" s="125"/>
      <c r="I116" s="125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spans="1:26" ht="18" customHeight="1" x14ac:dyDescent="0.3">
      <c r="E117" s="128"/>
      <c r="F117" s="121" t="s">
        <v>220</v>
      </c>
      <c r="G117" s="121" t="str">
        <f>CONCATENATE(":"," ",$F$9)</f>
        <v>: 013-2.1/INT/KALIBRASI BBLM/I/2026</v>
      </c>
      <c r="H117" s="125"/>
      <c r="I117" s="125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spans="1:26" ht="16.5" customHeight="1" x14ac:dyDescent="0.3">
      <c r="E118" s="128"/>
      <c r="F118" s="121" t="s">
        <v>221</v>
      </c>
      <c r="G118" s="121" t="str">
        <f>CONCATENATE(": ",'U95'!C25)</f>
        <v>: K519-1</v>
      </c>
      <c r="H118" s="125"/>
      <c r="I118" s="125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spans="1:26" ht="16.5" customHeight="1" x14ac:dyDescent="0.3">
      <c r="E119" s="102"/>
      <c r="F119" s="121" t="s">
        <v>222</v>
      </c>
      <c r="G119" s="121" t="s">
        <v>293</v>
      </c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spans="1:26" ht="14.25" customHeight="1" x14ac:dyDescent="0.3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spans="1:26" ht="27.6" customHeight="1" x14ac:dyDescent="0.3">
      <c r="A121" s="102"/>
      <c r="B121" s="102"/>
      <c r="C121" s="157" t="s">
        <v>237</v>
      </c>
      <c r="D121" s="153" t="s">
        <v>238</v>
      </c>
      <c r="E121" s="155"/>
      <c r="F121" s="156" t="s">
        <v>239</v>
      </c>
      <c r="G121" s="155"/>
      <c r="H121" s="153" t="s">
        <v>240</v>
      </c>
      <c r="I121" s="154"/>
      <c r="J121" s="155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spans="1:26" ht="13.8" customHeight="1" x14ac:dyDescent="0.3">
      <c r="A122" s="102"/>
      <c r="B122" s="102"/>
      <c r="C122" s="158"/>
      <c r="D122" s="159" t="s">
        <v>130</v>
      </c>
      <c r="E122" s="143"/>
      <c r="F122" s="141" t="s">
        <v>130</v>
      </c>
      <c r="G122" s="143"/>
      <c r="H122" s="141" t="s">
        <v>241</v>
      </c>
      <c r="I122" s="142"/>
      <c r="J122" s="143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spans="1:26" ht="19.2" customHeight="1" x14ac:dyDescent="0.3">
      <c r="A123" s="102"/>
      <c r="B123" s="102"/>
      <c r="C123" s="124">
        <v>18</v>
      </c>
      <c r="D123" s="144">
        <v>20</v>
      </c>
      <c r="E123" s="145"/>
      <c r="F123" s="213">
        <f>'20'!G85</f>
        <v>20.000099000000002</v>
      </c>
      <c r="G123" s="214"/>
      <c r="H123" s="146">
        <f>MAX('20'!$K$107,'20'!$K$108)</f>
        <v>3.5999999999999997E-2</v>
      </c>
      <c r="I123" s="204"/>
      <c r="J123" s="205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spans="1:26" ht="19.2" customHeight="1" x14ac:dyDescent="0.3">
      <c r="A124" s="102"/>
      <c r="B124" s="102"/>
      <c r="C124" s="124">
        <v>19</v>
      </c>
      <c r="D124" s="144" t="s">
        <v>36</v>
      </c>
      <c r="E124" s="145"/>
      <c r="F124" s="213">
        <f>'20t'!G85</f>
        <v>20.000205999999999</v>
      </c>
      <c r="G124" s="214"/>
      <c r="H124" s="146">
        <f>MAX('20t'!$K$107,'20t'!$K$108)</f>
        <v>3.5999999999999997E-2</v>
      </c>
      <c r="I124" s="204"/>
      <c r="J124" s="205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spans="1:26" ht="19.2" customHeight="1" x14ac:dyDescent="0.3">
      <c r="A125" s="102"/>
      <c r="B125" s="102"/>
      <c r="C125" s="124">
        <v>20</v>
      </c>
      <c r="D125" s="144">
        <v>50</v>
      </c>
      <c r="E125" s="145"/>
      <c r="F125" s="213">
        <f>'50'!G85</f>
        <v>50.000073999999998</v>
      </c>
      <c r="G125" s="214"/>
      <c r="H125" s="146">
        <f>MAX('50'!$K$107,'50'!$K$108)</f>
        <v>4.2000000000000003E-2</v>
      </c>
      <c r="I125" s="204"/>
      <c r="J125" s="205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spans="1:26" ht="19.2" customHeight="1" x14ac:dyDescent="0.3">
      <c r="A126" s="102"/>
      <c r="B126" s="102"/>
      <c r="C126" s="124">
        <v>21</v>
      </c>
      <c r="D126" s="144">
        <v>100</v>
      </c>
      <c r="E126" s="145"/>
      <c r="F126" s="213">
        <f>'100'!G85</f>
        <v>100.00031600000001</v>
      </c>
      <c r="G126" s="214"/>
      <c r="H126" s="146">
        <f>MAX('100'!$K$107,'100'!$K$108)</f>
        <v>6.7000000000000004E-2</v>
      </c>
      <c r="I126" s="204"/>
      <c r="J126" s="205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spans="1:26" ht="19.2" customHeight="1" x14ac:dyDescent="0.3">
      <c r="A127" s="102"/>
      <c r="B127" s="102"/>
      <c r="C127" s="124">
        <v>22</v>
      </c>
      <c r="D127" s="144">
        <v>200</v>
      </c>
      <c r="E127" s="145"/>
      <c r="F127" s="211">
        <f>'200'!G85</f>
        <v>200.00029499999999</v>
      </c>
      <c r="G127" s="212"/>
      <c r="H127" s="147">
        <f>MAX('200'!$K$107,'200'!$K$108)</f>
        <v>0.11</v>
      </c>
      <c r="I127" s="148"/>
      <c r="J127" s="145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spans="1:26" ht="19.2" customHeight="1" x14ac:dyDescent="0.3">
      <c r="A128" s="102"/>
      <c r="B128" s="102"/>
      <c r="C128" s="124">
        <v>23</v>
      </c>
      <c r="D128" s="144" t="s">
        <v>35</v>
      </c>
      <c r="E128" s="145"/>
      <c r="F128" s="211">
        <f>'200t'!G85</f>
        <v>200.00013499999997</v>
      </c>
      <c r="G128" s="212"/>
      <c r="H128" s="147">
        <f>MAX('200t'!$K$107,'200t'!$K$108)</f>
        <v>0.11</v>
      </c>
      <c r="I128" s="148"/>
      <c r="J128" s="145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spans="1:26" ht="19.2" customHeight="1" x14ac:dyDescent="0.3">
      <c r="A129" s="102"/>
      <c r="B129" s="102"/>
      <c r="C129" s="124">
        <v>24</v>
      </c>
      <c r="D129" s="144">
        <v>500</v>
      </c>
      <c r="E129" s="145"/>
      <c r="F129" s="206">
        <f>'500'!G85</f>
        <v>500.00115</v>
      </c>
      <c r="G129" s="207"/>
      <c r="H129" s="208">
        <f>MAX('500'!$K$107,'500'!$K$108)</f>
        <v>1</v>
      </c>
      <c r="I129" s="209"/>
      <c r="J129" s="210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spans="1:26" ht="19.2" customHeight="1" x14ac:dyDescent="0.3">
      <c r="A130" s="102"/>
      <c r="B130" s="102"/>
      <c r="C130" s="124">
        <v>25</v>
      </c>
      <c r="D130" s="144">
        <v>1000</v>
      </c>
      <c r="E130" s="145"/>
      <c r="F130" s="206">
        <f>'1000'!G85</f>
        <v>1000.0012400000001</v>
      </c>
      <c r="G130" s="207"/>
      <c r="H130" s="208">
        <f>MAX('1000'!$K$107,'1000'!$K$108)</f>
        <v>1.1000000000000001</v>
      </c>
      <c r="I130" s="209"/>
      <c r="J130" s="210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spans="1:26" ht="19.2" customHeight="1" x14ac:dyDescent="0.3">
      <c r="A131" s="102"/>
      <c r="B131" s="102"/>
      <c r="C131" s="124">
        <v>26</v>
      </c>
      <c r="D131" s="144">
        <v>2000</v>
      </c>
      <c r="E131" s="145"/>
      <c r="F131" s="206">
        <f>'2000'!G85</f>
        <v>2000.0036200000002</v>
      </c>
      <c r="G131" s="207"/>
      <c r="H131" s="208">
        <f>MAX('2000'!$K$107,'2000'!$K$108)</f>
        <v>1.4217469749154432</v>
      </c>
      <c r="I131" s="209"/>
      <c r="J131" s="210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spans="1:26" ht="19.2" customHeight="1" x14ac:dyDescent="0.3">
      <c r="A132" s="102"/>
      <c r="B132" s="102"/>
      <c r="C132" s="124">
        <v>27</v>
      </c>
      <c r="D132" s="144" t="s">
        <v>34</v>
      </c>
      <c r="E132" s="145"/>
      <c r="F132" s="206">
        <f>'2000t'!G85</f>
        <v>2000.0049200000001</v>
      </c>
      <c r="G132" s="207"/>
      <c r="H132" s="208">
        <f>MAX('2000t'!$K$107,'2000t'!$K$108)</f>
        <v>1.4135163589356206</v>
      </c>
      <c r="I132" s="209"/>
      <c r="J132" s="210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spans="1:26" ht="14.4" x14ac:dyDescent="0.3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spans="1:26" ht="14.4" x14ac:dyDescent="0.3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spans="1:26" ht="14.4" x14ac:dyDescent="0.3">
      <c r="A135" s="102"/>
      <c r="B135" s="102"/>
      <c r="C135" s="102"/>
      <c r="D135" s="102"/>
      <c r="E135" s="102"/>
      <c r="F135" s="129"/>
      <c r="G135" s="129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spans="1:26" ht="14.25" customHeight="1" x14ac:dyDescent="0.3">
      <c r="A136" s="102"/>
      <c r="B136" s="102"/>
      <c r="C136" s="109" t="s">
        <v>242</v>
      </c>
      <c r="D136" s="102"/>
      <c r="E136" s="102"/>
      <c r="F136" s="121"/>
      <c r="G136" s="121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spans="1:26" ht="14.25" customHeight="1" x14ac:dyDescent="0.3">
      <c r="A137" s="102"/>
      <c r="B137" s="102"/>
      <c r="C137" s="109" t="s">
        <v>299</v>
      </c>
      <c r="D137" s="102"/>
      <c r="E137" s="102"/>
      <c r="F137" s="121"/>
      <c r="G137" s="121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spans="1:26" ht="14.25" customHeight="1" x14ac:dyDescent="0.3">
      <c r="A138" s="102"/>
      <c r="B138" s="102"/>
      <c r="C138" s="109" t="s">
        <v>300</v>
      </c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spans="1:26" ht="14.25" customHeight="1" x14ac:dyDescent="0.3">
      <c r="A139" s="102"/>
      <c r="B139" s="102"/>
      <c r="C139" s="126" t="s">
        <v>301</v>
      </c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spans="1:26" ht="14.25" customHeight="1" x14ac:dyDescent="0.3">
      <c r="A140" s="102"/>
      <c r="B140" s="102"/>
      <c r="C140" s="121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spans="1:26" ht="14.25" customHeight="1" x14ac:dyDescent="0.3">
      <c r="A141" s="102"/>
      <c r="B141" s="102"/>
      <c r="C141" s="102"/>
      <c r="D141" s="102"/>
      <c r="E141" s="102"/>
      <c r="F141" s="121"/>
      <c r="G141" s="121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spans="1:26" ht="14.25" customHeight="1" x14ac:dyDescent="0.3">
      <c r="A142" s="102"/>
      <c r="B142" s="102"/>
      <c r="C142" s="127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spans="1:26" ht="14.25" customHeight="1" x14ac:dyDescent="0.3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spans="1:26" ht="14.25" customHeight="1" x14ac:dyDescent="0.3">
      <c r="A144" s="102"/>
      <c r="B144" s="102"/>
      <c r="C144" s="103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spans="1:26" ht="14.25" customHeight="1" x14ac:dyDescent="0.3">
      <c r="A145" s="102"/>
      <c r="B145" s="102"/>
      <c r="C145" s="121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spans="1:26" ht="14.25" customHeight="1" x14ac:dyDescent="0.3">
      <c r="A146" s="102"/>
      <c r="B146" s="102"/>
      <c r="C146" s="121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spans="1:26" ht="14.25" customHeight="1" x14ac:dyDescent="0.3">
      <c r="A147" s="102"/>
      <c r="B147" s="102"/>
      <c r="C147" s="121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spans="1:26" ht="14.25" customHeight="1" x14ac:dyDescent="0.3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spans="1:26" ht="14.25" customHeight="1" x14ac:dyDescent="0.3">
      <c r="A149" s="102"/>
      <c r="B149" s="102"/>
      <c r="C149" s="127"/>
      <c r="D149" s="127"/>
      <c r="E149" s="127"/>
      <c r="F149" s="127"/>
      <c r="G149" s="127"/>
      <c r="H149" s="127"/>
      <c r="I149" s="127"/>
      <c r="J149" s="127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spans="1:26" ht="14.25" customHeight="1" x14ac:dyDescent="0.3">
      <c r="A150" s="102"/>
      <c r="B150" s="102"/>
      <c r="C150" s="127"/>
      <c r="D150" s="127"/>
      <c r="E150" s="127"/>
      <c r="F150" s="127"/>
      <c r="G150" s="127"/>
      <c r="H150" s="127"/>
      <c r="I150" s="127"/>
      <c r="J150" s="127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spans="1:26" ht="14.25" customHeight="1" x14ac:dyDescent="0.3">
      <c r="A151" s="102"/>
      <c r="B151" s="102"/>
      <c r="C151" s="127"/>
      <c r="D151" s="127"/>
      <c r="E151" s="127"/>
      <c r="F151" s="127"/>
      <c r="G151" s="127"/>
      <c r="H151" s="127"/>
      <c r="I151" s="127"/>
      <c r="J151" s="127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spans="1:26" ht="18" customHeight="1" x14ac:dyDescent="0.3">
      <c r="A152" s="102"/>
      <c r="B152" s="102"/>
      <c r="C152" s="117"/>
      <c r="D152" s="128"/>
      <c r="E152" s="128"/>
      <c r="F152" s="128"/>
      <c r="G152" s="128"/>
      <c r="H152" s="128"/>
      <c r="I152" s="121"/>
      <c r="J152" s="121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spans="1:26" ht="18" customHeight="1" x14ac:dyDescent="0.3">
      <c r="A153" s="102"/>
      <c r="B153" s="102"/>
      <c r="C153" s="117"/>
      <c r="D153" s="128"/>
      <c r="E153" s="128"/>
      <c r="F153" s="128"/>
      <c r="G153" s="128"/>
      <c r="H153" s="128"/>
      <c r="I153" s="121"/>
      <c r="J153" s="121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spans="1:26" ht="18" customHeight="1" x14ac:dyDescent="0.3">
      <c r="A154" s="102"/>
      <c r="B154" s="102"/>
      <c r="C154" s="117"/>
      <c r="D154" s="128"/>
      <c r="E154" s="128"/>
      <c r="F154" s="128"/>
      <c r="G154" s="128"/>
      <c r="H154" s="128"/>
      <c r="I154" s="121"/>
      <c r="J154" s="121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spans="1:26" ht="18" customHeight="1" x14ac:dyDescent="0.3">
      <c r="A155" s="102"/>
      <c r="B155" s="102"/>
      <c r="C155" s="117"/>
      <c r="D155" s="128"/>
      <c r="E155" s="128"/>
      <c r="F155" s="128"/>
      <c r="G155" s="128"/>
      <c r="H155" s="128"/>
      <c r="I155" s="121"/>
      <c r="J155" s="121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spans="1:26" ht="18" customHeight="1" x14ac:dyDescent="0.3">
      <c r="A156" s="102"/>
      <c r="B156" s="102"/>
      <c r="C156" s="117"/>
      <c r="D156" s="128"/>
      <c r="E156" s="128"/>
      <c r="F156" s="128"/>
      <c r="G156" s="128"/>
      <c r="H156" s="128"/>
      <c r="I156" s="121"/>
      <c r="J156" s="121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spans="1:26" ht="14.25" customHeight="1" x14ac:dyDescent="0.3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spans="1:26" ht="14.25" customHeight="1" x14ac:dyDescent="0.3">
      <c r="A158" s="102"/>
      <c r="B158" s="102"/>
      <c r="C158" s="119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spans="1:26" ht="14.25" customHeight="1" x14ac:dyDescent="0.3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spans="1:26" ht="14.25" customHeight="1" x14ac:dyDescent="0.3">
      <c r="A160" s="102"/>
      <c r="B160" s="102"/>
      <c r="C160" s="127"/>
      <c r="D160" s="127"/>
      <c r="E160" s="127"/>
      <c r="F160" s="127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spans="1:26" ht="14.25" customHeight="1" x14ac:dyDescent="0.3">
      <c r="A161" s="102"/>
      <c r="B161" s="102"/>
      <c r="C161" s="127"/>
      <c r="D161" s="127"/>
      <c r="E161" s="127"/>
      <c r="F161" s="127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spans="1:26" ht="14.25" customHeight="1" x14ac:dyDescent="0.3">
      <c r="A162" s="102"/>
      <c r="B162" s="102"/>
      <c r="C162" s="130"/>
      <c r="D162" s="130"/>
      <c r="E162" s="128"/>
      <c r="F162" s="128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spans="1:26" ht="14.25" customHeight="1" x14ac:dyDescent="0.3">
      <c r="A163" s="102"/>
      <c r="B163" s="102"/>
      <c r="C163" s="130"/>
      <c r="D163" s="130"/>
      <c r="E163" s="128"/>
      <c r="F163" s="128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spans="1:26" ht="14.25" customHeight="1" x14ac:dyDescent="0.3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spans="1:26" ht="14.25" customHeight="1" x14ac:dyDescent="0.3">
      <c r="A165" s="102"/>
      <c r="B165" s="102"/>
      <c r="C165" s="121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spans="1:26" ht="14.25" customHeight="1" x14ac:dyDescent="0.3">
      <c r="A166" s="102"/>
      <c r="B166" s="102"/>
      <c r="C166" s="121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spans="1:26" ht="14.25" customHeight="1" x14ac:dyDescent="0.3">
      <c r="A167" s="102"/>
      <c r="B167" s="102"/>
      <c r="C167" s="121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spans="1:26" ht="14.25" customHeight="1" x14ac:dyDescent="0.3">
      <c r="A168" s="102"/>
      <c r="B168" s="102"/>
      <c r="C168" s="121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spans="1:26" ht="14.25" customHeight="1" x14ac:dyDescent="0.3">
      <c r="A169" s="102"/>
      <c r="B169" s="102"/>
      <c r="C169" s="121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spans="1:26" ht="14.25" customHeight="1" x14ac:dyDescent="0.3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spans="1:26" ht="14.25" customHeight="1" x14ac:dyDescent="0.3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spans="1:26" ht="14.25" customHeight="1" x14ac:dyDescent="0.3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spans="1:26" ht="14.25" customHeight="1" x14ac:dyDescent="0.3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spans="1:26" ht="14.25" customHeight="1" x14ac:dyDescent="0.3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spans="1:26" ht="14.25" customHeight="1" x14ac:dyDescent="0.3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spans="1:26" ht="14.25" customHeight="1" x14ac:dyDescent="0.3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spans="1:26" ht="14.25" customHeight="1" x14ac:dyDescent="0.3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spans="1:26" ht="14.25" customHeight="1" x14ac:dyDescent="0.3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spans="1:26" ht="14.25" customHeight="1" x14ac:dyDescent="0.3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spans="1:26" ht="14.25" customHeight="1" x14ac:dyDescent="0.3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spans="1:26" ht="14.25" customHeight="1" x14ac:dyDescent="0.3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spans="1:26" ht="14.25" customHeight="1" x14ac:dyDescent="0.3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spans="1:26" ht="14.25" customHeight="1" x14ac:dyDescent="0.3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spans="1:26" ht="14.25" customHeight="1" x14ac:dyDescent="0.3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spans="1:26" ht="14.25" customHeight="1" x14ac:dyDescent="0.3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spans="1:26" ht="14.25" customHeight="1" x14ac:dyDescent="0.3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spans="1:26" ht="14.25" customHeight="1" x14ac:dyDescent="0.3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spans="1:26" ht="14.25" customHeight="1" x14ac:dyDescent="0.3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spans="1:26" ht="14.25" customHeight="1" x14ac:dyDescent="0.3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spans="1:26" ht="14.25" customHeight="1" x14ac:dyDescent="0.3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spans="1:26" ht="14.25" customHeight="1" x14ac:dyDescent="0.3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spans="1:26" ht="14.25" customHeight="1" x14ac:dyDescent="0.3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spans="1:26" ht="14.25" customHeight="1" x14ac:dyDescent="0.3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spans="1:26" ht="14.25" customHeight="1" x14ac:dyDescent="0.3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spans="1:26" ht="14.25" customHeight="1" x14ac:dyDescent="0.3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spans="1:26" ht="14.25" customHeight="1" x14ac:dyDescent="0.3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spans="1:26" ht="14.25" customHeight="1" x14ac:dyDescent="0.3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spans="1:26" ht="14.25" customHeight="1" x14ac:dyDescent="0.3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spans="1:26" ht="14.25" customHeight="1" x14ac:dyDescent="0.3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spans="1:26" ht="14.25" customHeight="1" x14ac:dyDescent="0.3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spans="1:26" ht="14.25" customHeight="1" x14ac:dyDescent="0.3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spans="1:26" ht="14.25" customHeight="1" x14ac:dyDescent="0.3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spans="1:26" ht="14.25" customHeight="1" x14ac:dyDescent="0.3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spans="1:26" ht="14.25" customHeight="1" x14ac:dyDescent="0.3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spans="1:26" ht="14.25" customHeight="1" x14ac:dyDescent="0.3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spans="1:26" ht="14.25" customHeight="1" x14ac:dyDescent="0.3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spans="1:26" ht="14.25" customHeight="1" x14ac:dyDescent="0.3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spans="1:26" ht="14.25" customHeight="1" x14ac:dyDescent="0.3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spans="1:26" ht="14.25" customHeight="1" x14ac:dyDescent="0.3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spans="1:26" ht="14.25" customHeight="1" x14ac:dyDescent="0.3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spans="1:26" ht="14.25" customHeight="1" x14ac:dyDescent="0.3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spans="1:26" ht="14.25" customHeight="1" x14ac:dyDescent="0.3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spans="1:26" ht="14.25" customHeight="1" x14ac:dyDescent="0.3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spans="1:26" ht="14.25" customHeight="1" x14ac:dyDescent="0.3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spans="1:26" ht="14.25" customHeight="1" x14ac:dyDescent="0.3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spans="1:26" ht="14.25" customHeight="1" x14ac:dyDescent="0.3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spans="1:26" ht="14.25" customHeight="1" x14ac:dyDescent="0.3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spans="1:26" ht="14.25" customHeight="1" x14ac:dyDescent="0.3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spans="1:26" ht="14.25" customHeight="1" x14ac:dyDescent="0.3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spans="1:26" ht="14.25" customHeight="1" x14ac:dyDescent="0.3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spans="1:26" ht="14.25" customHeight="1" x14ac:dyDescent="0.3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spans="1:26" ht="14.25" customHeight="1" x14ac:dyDescent="0.3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spans="1:26" ht="14.25" customHeight="1" x14ac:dyDescent="0.3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spans="1:26" ht="14.25" customHeight="1" x14ac:dyDescent="0.3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spans="1:26" ht="14.25" customHeight="1" x14ac:dyDescent="0.3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spans="1:26" ht="14.25" customHeight="1" x14ac:dyDescent="0.3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spans="1:26" ht="14.25" customHeight="1" x14ac:dyDescent="0.3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spans="1:26" ht="14.25" customHeight="1" x14ac:dyDescent="0.3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spans="1:26" ht="14.25" customHeight="1" x14ac:dyDescent="0.3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spans="1:26" ht="14.25" customHeight="1" x14ac:dyDescent="0.3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spans="1:26" ht="14.25" customHeight="1" x14ac:dyDescent="0.3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spans="1:26" ht="14.25" customHeight="1" x14ac:dyDescent="0.3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spans="1:26" ht="14.25" customHeight="1" x14ac:dyDescent="0.3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spans="1:26" ht="14.25" customHeight="1" x14ac:dyDescent="0.3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spans="1:26" ht="14.25" customHeight="1" x14ac:dyDescent="0.3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spans="1:26" ht="14.25" customHeight="1" x14ac:dyDescent="0.3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spans="1:26" ht="14.25" customHeight="1" x14ac:dyDescent="0.3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spans="1:26" ht="14.25" customHeight="1" x14ac:dyDescent="0.3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spans="1:26" ht="14.25" customHeight="1" x14ac:dyDescent="0.3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spans="1:26" ht="14.25" customHeight="1" x14ac:dyDescent="0.3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spans="1:26" ht="14.25" customHeight="1" x14ac:dyDescent="0.3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spans="1:26" ht="14.25" customHeight="1" x14ac:dyDescent="0.3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spans="1:26" ht="14.25" customHeight="1" x14ac:dyDescent="0.3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spans="1:26" ht="14.25" customHeight="1" x14ac:dyDescent="0.3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spans="1:26" ht="14.25" customHeight="1" x14ac:dyDescent="0.3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spans="1:26" ht="14.25" customHeight="1" x14ac:dyDescent="0.3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spans="1:26" ht="14.25" customHeight="1" x14ac:dyDescent="0.3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spans="1:26" ht="14.25" customHeight="1" x14ac:dyDescent="0.3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spans="1:26" ht="14.25" customHeight="1" x14ac:dyDescent="0.3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spans="1:26" ht="14.25" customHeight="1" x14ac:dyDescent="0.3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spans="1:26" ht="14.25" customHeight="1" x14ac:dyDescent="0.3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spans="1:26" ht="14.25" customHeight="1" x14ac:dyDescent="0.3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spans="1:26" ht="14.25" customHeight="1" x14ac:dyDescent="0.3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spans="1:26" ht="14.25" customHeight="1" x14ac:dyDescent="0.3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spans="1:26" ht="14.25" customHeight="1" x14ac:dyDescent="0.3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 spans="1:26" ht="14.25" customHeight="1" x14ac:dyDescent="0.3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 spans="1:26" ht="14.25" customHeight="1" x14ac:dyDescent="0.3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 spans="1:26" ht="14.25" customHeight="1" x14ac:dyDescent="0.3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 spans="1:26" ht="14.25" customHeight="1" x14ac:dyDescent="0.3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 spans="1:26" ht="14.25" customHeight="1" x14ac:dyDescent="0.3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 spans="1:26" ht="14.25" customHeight="1" x14ac:dyDescent="0.3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 spans="1:26" ht="14.25" customHeight="1" x14ac:dyDescent="0.3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 spans="1:26" ht="14.25" customHeight="1" x14ac:dyDescent="0.3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 spans="1:26" ht="14.25" customHeight="1" x14ac:dyDescent="0.3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 spans="1:26" ht="14.25" customHeight="1" x14ac:dyDescent="0.3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 spans="1:26" ht="14.25" customHeight="1" x14ac:dyDescent="0.3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 spans="1:26" ht="14.25" customHeight="1" x14ac:dyDescent="0.3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 spans="1:26" ht="14.25" customHeight="1" x14ac:dyDescent="0.3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 spans="1:26" ht="14.25" customHeight="1" x14ac:dyDescent="0.3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 spans="1:26" ht="14.25" customHeight="1" x14ac:dyDescent="0.3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 spans="1:26" ht="14.25" customHeight="1" x14ac:dyDescent="0.3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 spans="1:26" ht="14.25" customHeight="1" x14ac:dyDescent="0.3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 spans="1:26" ht="14.25" customHeight="1" x14ac:dyDescent="0.3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 spans="1:26" ht="14.25" customHeight="1" x14ac:dyDescent="0.3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 spans="1:26" ht="14.25" customHeight="1" x14ac:dyDescent="0.3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 spans="1:26" ht="14.25" customHeight="1" x14ac:dyDescent="0.3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 spans="1:26" ht="14.25" customHeight="1" x14ac:dyDescent="0.3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 spans="1:26" ht="14.25" customHeight="1" x14ac:dyDescent="0.3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 spans="1:26" ht="14.25" customHeight="1" x14ac:dyDescent="0.3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 spans="1:26" ht="14.25" customHeight="1" x14ac:dyDescent="0.3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 spans="1:26" ht="14.25" customHeight="1" x14ac:dyDescent="0.3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 spans="1:26" ht="14.25" customHeight="1" x14ac:dyDescent="0.3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 spans="1:26" ht="14.25" customHeight="1" x14ac:dyDescent="0.3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 spans="1:26" ht="14.25" customHeight="1" x14ac:dyDescent="0.3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 spans="1:26" ht="14.25" customHeight="1" x14ac:dyDescent="0.3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 spans="1:26" ht="14.25" customHeight="1" x14ac:dyDescent="0.3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 spans="1:26" ht="14.25" customHeight="1" x14ac:dyDescent="0.3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 spans="1:26" ht="14.25" customHeight="1" x14ac:dyDescent="0.3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 spans="1:26" ht="14.25" customHeight="1" x14ac:dyDescent="0.3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 spans="1:26" ht="14.25" customHeight="1" x14ac:dyDescent="0.3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 spans="1:26" ht="14.25" customHeight="1" x14ac:dyDescent="0.3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 spans="1:26" ht="14.25" customHeight="1" x14ac:dyDescent="0.3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 spans="1:26" ht="14.25" customHeight="1" x14ac:dyDescent="0.3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 spans="1:26" ht="14.25" customHeight="1" x14ac:dyDescent="0.3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 spans="1:26" ht="14.25" customHeight="1" x14ac:dyDescent="0.3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 spans="1:26" ht="14.25" customHeight="1" x14ac:dyDescent="0.3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 spans="1:26" ht="14.25" customHeight="1" x14ac:dyDescent="0.3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spans="1:26" ht="14.25" customHeight="1" x14ac:dyDescent="0.3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spans="1:26" ht="14.25" customHeight="1" x14ac:dyDescent="0.3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spans="1:26" ht="14.25" customHeight="1" x14ac:dyDescent="0.3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spans="1:26" ht="14.25" customHeight="1" x14ac:dyDescent="0.3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 spans="1:26" ht="14.25" customHeight="1" x14ac:dyDescent="0.3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 spans="1:26" ht="14.25" customHeight="1" x14ac:dyDescent="0.3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 spans="1:26" ht="14.25" customHeight="1" x14ac:dyDescent="0.3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 spans="1:26" ht="14.25" customHeight="1" x14ac:dyDescent="0.3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 spans="1:26" ht="14.25" customHeight="1" x14ac:dyDescent="0.3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 spans="1:26" ht="14.25" customHeight="1" x14ac:dyDescent="0.3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 spans="1:26" ht="14.25" customHeight="1" x14ac:dyDescent="0.3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 spans="1:26" ht="14.25" customHeight="1" x14ac:dyDescent="0.3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 spans="1:26" ht="14.25" customHeight="1" x14ac:dyDescent="0.3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 spans="1:26" ht="14.25" customHeight="1" x14ac:dyDescent="0.3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 spans="1:26" ht="14.25" customHeight="1" x14ac:dyDescent="0.3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 spans="1:26" ht="14.25" customHeight="1" x14ac:dyDescent="0.3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 spans="1:26" ht="14.25" customHeight="1" x14ac:dyDescent="0.3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 spans="1:26" ht="14.25" customHeight="1" x14ac:dyDescent="0.3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 spans="1:26" ht="14.25" customHeight="1" x14ac:dyDescent="0.3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 spans="1:26" ht="14.25" customHeight="1" x14ac:dyDescent="0.3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 spans="1:26" ht="14.25" customHeight="1" x14ac:dyDescent="0.3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 spans="1:26" ht="14.25" customHeight="1" x14ac:dyDescent="0.3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 spans="1:26" ht="14.25" customHeight="1" x14ac:dyDescent="0.3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 spans="1:26" ht="14.25" customHeight="1" x14ac:dyDescent="0.3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spans="1:26" ht="14.25" customHeight="1" x14ac:dyDescent="0.3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 spans="1:26" ht="14.25" customHeight="1" x14ac:dyDescent="0.3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 spans="1:26" ht="14.25" customHeight="1" x14ac:dyDescent="0.3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 spans="1:26" ht="14.25" customHeight="1" x14ac:dyDescent="0.3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 spans="1:26" ht="14.25" customHeight="1" x14ac:dyDescent="0.3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 spans="1:26" ht="14.25" customHeight="1" x14ac:dyDescent="0.3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 spans="1:26" ht="14.25" customHeight="1" x14ac:dyDescent="0.3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 spans="1:26" ht="14.25" customHeight="1" x14ac:dyDescent="0.3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 spans="1:26" ht="14.25" customHeight="1" x14ac:dyDescent="0.3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 spans="1:26" ht="14.25" customHeight="1" x14ac:dyDescent="0.3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 spans="1:26" ht="14.25" customHeight="1" x14ac:dyDescent="0.3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 spans="1:26" ht="14.25" customHeight="1" x14ac:dyDescent="0.3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 spans="1:26" ht="14.25" customHeight="1" x14ac:dyDescent="0.3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 spans="1:26" ht="14.25" customHeight="1" x14ac:dyDescent="0.3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 spans="1:26" ht="14.25" customHeight="1" x14ac:dyDescent="0.3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 spans="1:26" ht="14.25" customHeight="1" x14ac:dyDescent="0.3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 spans="1:26" ht="14.25" customHeight="1" x14ac:dyDescent="0.3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 spans="1:26" ht="14.25" customHeight="1" x14ac:dyDescent="0.3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 spans="1:26" ht="14.25" customHeight="1" x14ac:dyDescent="0.3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 spans="1:26" ht="14.25" customHeight="1" x14ac:dyDescent="0.3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 spans="1:26" ht="14.25" customHeight="1" x14ac:dyDescent="0.3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 spans="1:26" ht="14.25" customHeight="1" x14ac:dyDescent="0.3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 spans="1:26" ht="14.25" customHeight="1" x14ac:dyDescent="0.3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 spans="1:26" ht="14.25" customHeight="1" x14ac:dyDescent="0.3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 spans="1:26" ht="14.25" customHeight="1" x14ac:dyDescent="0.3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 spans="1:26" ht="14.25" customHeight="1" x14ac:dyDescent="0.3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 spans="1:26" ht="14.25" customHeight="1" x14ac:dyDescent="0.3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 spans="1:26" ht="14.25" customHeight="1" x14ac:dyDescent="0.3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 spans="1:26" ht="14.25" customHeight="1" x14ac:dyDescent="0.3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 spans="1:26" ht="14.25" customHeight="1" x14ac:dyDescent="0.3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 spans="1:26" ht="14.25" customHeight="1" x14ac:dyDescent="0.3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 spans="1:26" ht="14.25" customHeight="1" x14ac:dyDescent="0.3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 spans="1:26" ht="14.25" customHeight="1" x14ac:dyDescent="0.3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 spans="1:26" ht="14.25" customHeight="1" x14ac:dyDescent="0.3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 spans="1:26" ht="14.25" customHeight="1" x14ac:dyDescent="0.3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 spans="1:26" ht="14.25" customHeight="1" x14ac:dyDescent="0.3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 spans="1:26" ht="14.25" customHeight="1" x14ac:dyDescent="0.3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 spans="1:26" ht="14.25" customHeight="1" x14ac:dyDescent="0.3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 spans="1:26" ht="14.25" customHeight="1" x14ac:dyDescent="0.3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 spans="1:26" ht="14.25" customHeight="1" x14ac:dyDescent="0.3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 spans="1:26" ht="14.25" customHeight="1" x14ac:dyDescent="0.3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 spans="1:26" ht="14.25" customHeight="1" x14ac:dyDescent="0.3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 spans="1:26" ht="14.25" customHeight="1" x14ac:dyDescent="0.3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 spans="1:26" ht="14.25" customHeight="1" x14ac:dyDescent="0.3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 spans="1:26" ht="14.25" customHeight="1" x14ac:dyDescent="0.3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 spans="1:26" ht="14.25" customHeight="1" x14ac:dyDescent="0.3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 spans="1:26" ht="14.25" customHeight="1" x14ac:dyDescent="0.3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 spans="1:26" ht="14.25" customHeight="1" x14ac:dyDescent="0.3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 spans="1:26" ht="14.25" customHeight="1" x14ac:dyDescent="0.3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 spans="1:26" ht="14.25" customHeight="1" x14ac:dyDescent="0.3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 spans="1:26" ht="14.25" customHeight="1" x14ac:dyDescent="0.3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 spans="1:26" ht="14.25" customHeight="1" x14ac:dyDescent="0.3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 spans="1:26" ht="14.25" customHeight="1" x14ac:dyDescent="0.3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 spans="1:26" ht="14.25" customHeight="1" x14ac:dyDescent="0.3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 spans="1:26" ht="14.25" customHeight="1" x14ac:dyDescent="0.3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 spans="1:26" ht="14.25" customHeight="1" x14ac:dyDescent="0.3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 spans="1:26" ht="14.25" customHeight="1" x14ac:dyDescent="0.3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 spans="1:26" ht="14.25" customHeight="1" x14ac:dyDescent="0.3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 spans="1:26" ht="14.25" customHeight="1" x14ac:dyDescent="0.3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 spans="1:26" ht="14.25" customHeight="1" x14ac:dyDescent="0.3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 spans="1:26" ht="14.25" customHeight="1" x14ac:dyDescent="0.3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 spans="1:26" ht="14.25" customHeight="1" x14ac:dyDescent="0.3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 spans="1:26" ht="14.25" customHeight="1" x14ac:dyDescent="0.3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 spans="1:26" ht="14.25" customHeight="1" x14ac:dyDescent="0.3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 spans="1:26" ht="14.25" customHeight="1" x14ac:dyDescent="0.3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 spans="1:26" ht="14.25" customHeight="1" x14ac:dyDescent="0.3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 spans="1:26" ht="14.25" customHeight="1" x14ac:dyDescent="0.3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 spans="1:26" ht="14.25" customHeight="1" x14ac:dyDescent="0.3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 spans="1:26" ht="14.25" customHeight="1" x14ac:dyDescent="0.3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 spans="1:26" ht="14.25" customHeight="1" x14ac:dyDescent="0.3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 spans="1:26" ht="14.25" customHeight="1" x14ac:dyDescent="0.3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 spans="1:26" ht="14.25" customHeight="1" x14ac:dyDescent="0.3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 spans="1:26" ht="14.25" customHeight="1" x14ac:dyDescent="0.3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 spans="1:26" ht="14.25" customHeight="1" x14ac:dyDescent="0.3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 spans="1:26" ht="14.25" customHeight="1" x14ac:dyDescent="0.3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 spans="1:26" ht="14.25" customHeight="1" x14ac:dyDescent="0.3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 spans="1:26" ht="14.25" customHeight="1" x14ac:dyDescent="0.3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 spans="1:26" ht="14.25" customHeight="1" x14ac:dyDescent="0.3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 spans="1:26" ht="14.25" customHeight="1" x14ac:dyDescent="0.3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 spans="1:26" ht="14.25" customHeight="1" x14ac:dyDescent="0.3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 spans="1:26" ht="14.25" customHeight="1" x14ac:dyDescent="0.3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 spans="1:26" ht="14.25" customHeight="1" x14ac:dyDescent="0.3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 spans="1:26" ht="14.25" customHeight="1" x14ac:dyDescent="0.3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 spans="1:26" ht="14.25" customHeight="1" x14ac:dyDescent="0.3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 spans="1:26" ht="14.25" customHeight="1" x14ac:dyDescent="0.3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 spans="1:26" ht="14.25" customHeight="1" x14ac:dyDescent="0.3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 spans="1:26" ht="14.25" customHeight="1" x14ac:dyDescent="0.3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 spans="1:26" ht="14.25" customHeight="1" x14ac:dyDescent="0.3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 spans="1:26" ht="14.25" customHeight="1" x14ac:dyDescent="0.3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 spans="1:26" ht="14.25" customHeight="1" x14ac:dyDescent="0.3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 spans="1:26" ht="14.25" customHeight="1" x14ac:dyDescent="0.3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 spans="1:26" ht="14.25" customHeight="1" x14ac:dyDescent="0.3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 spans="1:26" ht="14.25" customHeight="1" x14ac:dyDescent="0.3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 spans="1:26" ht="14.25" customHeight="1" x14ac:dyDescent="0.3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 spans="1:26" ht="14.25" customHeight="1" x14ac:dyDescent="0.3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 spans="1:26" ht="14.25" customHeight="1" x14ac:dyDescent="0.3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 spans="1:26" ht="14.25" customHeight="1" x14ac:dyDescent="0.3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 spans="1:26" ht="14.25" customHeight="1" x14ac:dyDescent="0.3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 spans="1:26" ht="14.25" customHeight="1" x14ac:dyDescent="0.3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 spans="1:26" ht="14.25" customHeight="1" x14ac:dyDescent="0.3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 spans="1:26" ht="14.25" customHeight="1" x14ac:dyDescent="0.3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 spans="1:26" ht="14.25" customHeight="1" x14ac:dyDescent="0.3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 spans="1:26" ht="14.25" customHeight="1" x14ac:dyDescent="0.3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 spans="1:26" ht="14.25" customHeight="1" x14ac:dyDescent="0.3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 spans="1:26" ht="14.25" customHeight="1" x14ac:dyDescent="0.3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 spans="1:26" ht="14.25" customHeight="1" x14ac:dyDescent="0.3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 spans="1:26" ht="14.25" customHeight="1" x14ac:dyDescent="0.3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 spans="1:26" ht="14.25" customHeight="1" x14ac:dyDescent="0.3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 spans="1:26" ht="14.25" customHeight="1" x14ac:dyDescent="0.3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 spans="1:26" ht="14.25" customHeight="1" x14ac:dyDescent="0.3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 spans="1:26" ht="14.25" customHeight="1" x14ac:dyDescent="0.3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 spans="1:26" ht="14.25" customHeight="1" x14ac:dyDescent="0.3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 spans="1:26" ht="14.25" customHeight="1" x14ac:dyDescent="0.3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 spans="1:26" ht="14.25" customHeight="1" x14ac:dyDescent="0.3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 spans="1:26" ht="14.25" customHeight="1" x14ac:dyDescent="0.3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 spans="1:26" ht="14.25" customHeight="1" x14ac:dyDescent="0.3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 spans="1:26" ht="14.25" customHeight="1" x14ac:dyDescent="0.3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 spans="1:26" ht="14.25" customHeight="1" x14ac:dyDescent="0.3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 spans="1:26" ht="14.25" customHeight="1" x14ac:dyDescent="0.3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 spans="1:26" ht="14.25" customHeight="1" x14ac:dyDescent="0.3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 spans="1:26" ht="14.25" customHeight="1" x14ac:dyDescent="0.3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 spans="1:26" ht="14.25" customHeight="1" x14ac:dyDescent="0.3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 spans="1:26" ht="14.25" customHeight="1" x14ac:dyDescent="0.3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 spans="1:26" ht="14.25" customHeight="1" x14ac:dyDescent="0.3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 spans="1:26" ht="14.25" customHeight="1" x14ac:dyDescent="0.3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 spans="1:26" ht="14.25" customHeight="1" x14ac:dyDescent="0.3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 spans="1:26" ht="14.25" customHeight="1" x14ac:dyDescent="0.3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 spans="1:26" ht="14.25" customHeight="1" x14ac:dyDescent="0.3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 spans="1:26" ht="14.25" customHeight="1" x14ac:dyDescent="0.3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 spans="1:26" ht="14.25" customHeight="1" x14ac:dyDescent="0.3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 spans="1:26" ht="14.25" customHeight="1" x14ac:dyDescent="0.3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 spans="1:26" ht="14.25" customHeight="1" x14ac:dyDescent="0.3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 spans="1:26" ht="14.25" customHeight="1" x14ac:dyDescent="0.3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 spans="1:26" ht="14.25" customHeight="1" x14ac:dyDescent="0.3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 spans="1:26" ht="14.25" customHeight="1" x14ac:dyDescent="0.3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 spans="1:26" ht="14.25" customHeight="1" x14ac:dyDescent="0.3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 spans="1:26" ht="14.25" customHeight="1" x14ac:dyDescent="0.3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 spans="1:26" ht="14.25" customHeight="1" x14ac:dyDescent="0.3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 spans="1:26" ht="14.25" customHeight="1" x14ac:dyDescent="0.3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 spans="1:26" ht="14.25" customHeight="1" x14ac:dyDescent="0.3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 spans="1:26" ht="14.25" customHeight="1" x14ac:dyDescent="0.3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 spans="1:26" ht="14.25" customHeight="1" x14ac:dyDescent="0.3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 spans="1:26" ht="14.25" customHeight="1" x14ac:dyDescent="0.3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 spans="1:26" ht="14.25" customHeight="1" x14ac:dyDescent="0.3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 spans="1:26" ht="14.25" customHeight="1" x14ac:dyDescent="0.3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 spans="1:26" ht="14.25" customHeight="1" x14ac:dyDescent="0.3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 spans="1:26" ht="14.25" customHeight="1" x14ac:dyDescent="0.3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 spans="1:26" ht="14.25" customHeight="1" x14ac:dyDescent="0.3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 spans="1:26" ht="14.25" customHeight="1" x14ac:dyDescent="0.3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 spans="1:26" ht="14.25" customHeight="1" x14ac:dyDescent="0.3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 spans="1:26" ht="14.25" customHeight="1" x14ac:dyDescent="0.3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 spans="1:26" ht="14.25" customHeight="1" x14ac:dyDescent="0.3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 spans="1:26" ht="14.25" customHeight="1" x14ac:dyDescent="0.3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 spans="1:26" ht="14.25" customHeight="1" x14ac:dyDescent="0.3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 spans="1:26" ht="14.25" customHeight="1" x14ac:dyDescent="0.3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 spans="1:26" ht="14.25" customHeight="1" x14ac:dyDescent="0.3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 spans="1:26" ht="14.25" customHeight="1" x14ac:dyDescent="0.3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 spans="1:26" ht="14.25" customHeight="1" x14ac:dyDescent="0.3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 spans="1:26" ht="14.25" customHeight="1" x14ac:dyDescent="0.3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 spans="1:26" ht="14.25" customHeight="1" x14ac:dyDescent="0.3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 spans="1:26" ht="14.25" customHeight="1" x14ac:dyDescent="0.3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 spans="1:26" ht="14.25" customHeight="1" x14ac:dyDescent="0.3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 spans="1:26" ht="14.25" customHeight="1" x14ac:dyDescent="0.3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 spans="1:26" ht="14.25" customHeight="1" x14ac:dyDescent="0.3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 spans="1:26" ht="14.25" customHeight="1" x14ac:dyDescent="0.3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 spans="1:26" ht="14.25" customHeight="1" x14ac:dyDescent="0.3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 spans="1:26" ht="14.25" customHeight="1" x14ac:dyDescent="0.3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 spans="1:26" ht="14.25" customHeight="1" x14ac:dyDescent="0.3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 spans="1:26" ht="14.25" customHeight="1" x14ac:dyDescent="0.3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 spans="1:26" ht="14.25" customHeight="1" x14ac:dyDescent="0.3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 spans="1:26" ht="14.25" customHeight="1" x14ac:dyDescent="0.3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 spans="1:26" ht="14.25" customHeight="1" x14ac:dyDescent="0.3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 spans="1:26" ht="14.25" customHeight="1" x14ac:dyDescent="0.3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 spans="1:26" ht="14.25" customHeight="1" x14ac:dyDescent="0.3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 spans="1:26" ht="14.25" customHeight="1" x14ac:dyDescent="0.3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 spans="1:26" ht="14.25" customHeight="1" x14ac:dyDescent="0.3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 spans="1:26" ht="14.25" customHeight="1" x14ac:dyDescent="0.3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 spans="1:26" ht="14.25" customHeight="1" x14ac:dyDescent="0.3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 spans="1:26" ht="14.25" customHeight="1" x14ac:dyDescent="0.3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 spans="1:26" ht="14.25" customHeight="1" x14ac:dyDescent="0.3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 spans="1:26" ht="14.25" customHeight="1" x14ac:dyDescent="0.3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 spans="1:26" ht="14.25" customHeight="1" x14ac:dyDescent="0.3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 spans="1:26" ht="14.25" customHeight="1" x14ac:dyDescent="0.3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 spans="1:26" ht="14.25" customHeight="1" x14ac:dyDescent="0.3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 spans="1:26" ht="14.25" customHeight="1" x14ac:dyDescent="0.3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 spans="1:26" ht="14.25" customHeight="1" x14ac:dyDescent="0.3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 spans="1:26" ht="14.25" customHeight="1" x14ac:dyDescent="0.3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 spans="1:26" ht="14.25" customHeight="1" x14ac:dyDescent="0.3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 spans="1:26" ht="14.25" customHeight="1" x14ac:dyDescent="0.3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 spans="1:26" ht="14.25" customHeight="1" x14ac:dyDescent="0.3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 spans="1:26" ht="14.25" customHeight="1" x14ac:dyDescent="0.3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 spans="1:26" ht="14.25" customHeight="1" x14ac:dyDescent="0.3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 spans="1:26" ht="14.25" customHeight="1" x14ac:dyDescent="0.3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 spans="1:26" ht="14.25" customHeight="1" x14ac:dyDescent="0.3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 spans="1:26" ht="14.25" customHeight="1" x14ac:dyDescent="0.3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 spans="1:26" ht="14.25" customHeight="1" x14ac:dyDescent="0.3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 spans="1:26" ht="14.25" customHeight="1" x14ac:dyDescent="0.3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 spans="1:26" ht="14.25" customHeight="1" x14ac:dyDescent="0.3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 spans="1:26" ht="14.25" customHeight="1" x14ac:dyDescent="0.3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 spans="1:26" ht="14.25" customHeight="1" x14ac:dyDescent="0.3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 spans="1:26" ht="14.25" customHeight="1" x14ac:dyDescent="0.3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 spans="1:26" ht="14.25" customHeight="1" x14ac:dyDescent="0.3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 spans="1:26" ht="14.25" customHeight="1" x14ac:dyDescent="0.3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 spans="1:26" ht="14.25" customHeight="1" x14ac:dyDescent="0.3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 spans="1:26" ht="14.25" customHeight="1" x14ac:dyDescent="0.3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 spans="1:26" ht="14.25" customHeight="1" x14ac:dyDescent="0.3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 spans="1:26" ht="14.25" customHeight="1" x14ac:dyDescent="0.3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 spans="1:26" ht="14.25" customHeight="1" x14ac:dyDescent="0.3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 spans="1:26" ht="14.25" customHeight="1" x14ac:dyDescent="0.3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 spans="1:26" ht="14.25" customHeight="1" x14ac:dyDescent="0.3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 spans="1:26" ht="14.25" customHeight="1" x14ac:dyDescent="0.3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 spans="1:26" ht="14.25" customHeight="1" x14ac:dyDescent="0.3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 spans="1:26" ht="14.25" customHeight="1" x14ac:dyDescent="0.3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 spans="1:26" ht="14.25" customHeight="1" x14ac:dyDescent="0.3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 spans="1:26" ht="14.25" customHeight="1" x14ac:dyDescent="0.3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 spans="1:26" ht="14.25" customHeight="1" x14ac:dyDescent="0.3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 spans="1:26" ht="14.25" customHeight="1" x14ac:dyDescent="0.3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 spans="1:26" ht="14.25" customHeight="1" x14ac:dyDescent="0.3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 spans="1:26" ht="14.25" customHeight="1" x14ac:dyDescent="0.3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 spans="1:26" ht="14.25" customHeight="1" x14ac:dyDescent="0.3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 spans="1:26" ht="14.25" customHeight="1" x14ac:dyDescent="0.3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 spans="1:26" ht="14.25" customHeight="1" x14ac:dyDescent="0.3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 spans="1:26" ht="14.25" customHeight="1" x14ac:dyDescent="0.3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 spans="1:26" ht="14.25" customHeight="1" x14ac:dyDescent="0.3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 spans="1:26" ht="14.25" customHeight="1" x14ac:dyDescent="0.3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 spans="1:26" ht="14.25" customHeight="1" x14ac:dyDescent="0.3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 spans="1:26" ht="14.25" customHeight="1" x14ac:dyDescent="0.3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 spans="1:26" ht="14.25" customHeight="1" x14ac:dyDescent="0.3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 spans="1:26" ht="14.25" customHeight="1" x14ac:dyDescent="0.3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 spans="1:26" ht="14.25" customHeight="1" x14ac:dyDescent="0.3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 spans="1:26" ht="14.25" customHeight="1" x14ac:dyDescent="0.3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 spans="1:26" ht="14.25" customHeight="1" x14ac:dyDescent="0.3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 spans="1:26" ht="14.25" customHeight="1" x14ac:dyDescent="0.3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 spans="1:26" ht="14.25" customHeight="1" x14ac:dyDescent="0.3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 spans="1:26" ht="14.25" customHeight="1" x14ac:dyDescent="0.3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 spans="1:26" ht="14.25" customHeight="1" x14ac:dyDescent="0.3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 spans="1:26" ht="14.25" customHeight="1" x14ac:dyDescent="0.3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 spans="1:26" ht="14.25" customHeight="1" x14ac:dyDescent="0.3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 spans="1:26" ht="14.25" customHeight="1" x14ac:dyDescent="0.3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 spans="1:26" ht="14.25" customHeight="1" x14ac:dyDescent="0.3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 spans="1:26" ht="14.25" customHeight="1" x14ac:dyDescent="0.3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 spans="1:26" ht="14.25" customHeight="1" x14ac:dyDescent="0.3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 spans="1:26" ht="14.25" customHeight="1" x14ac:dyDescent="0.3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 spans="1:26" ht="14.25" customHeight="1" x14ac:dyDescent="0.3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 spans="1:26" ht="14.25" customHeight="1" x14ac:dyDescent="0.3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 spans="1:26" ht="14.25" customHeight="1" x14ac:dyDescent="0.3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 spans="1:26" ht="14.25" customHeight="1" x14ac:dyDescent="0.3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 spans="1:26" ht="14.25" customHeight="1" x14ac:dyDescent="0.3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 spans="1:26" ht="14.25" customHeight="1" x14ac:dyDescent="0.3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 spans="1:26" ht="14.25" customHeight="1" x14ac:dyDescent="0.3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 spans="1:26" ht="14.25" customHeight="1" x14ac:dyDescent="0.3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 spans="1:26" ht="14.25" customHeight="1" x14ac:dyDescent="0.3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 spans="1:26" ht="14.25" customHeight="1" x14ac:dyDescent="0.3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 spans="1:26" ht="14.25" customHeight="1" x14ac:dyDescent="0.3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 spans="1:26" ht="14.25" customHeight="1" x14ac:dyDescent="0.3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 spans="1:26" ht="14.25" customHeight="1" x14ac:dyDescent="0.3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 spans="1:26" ht="14.25" customHeight="1" x14ac:dyDescent="0.3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 spans="1:26" ht="14.25" customHeight="1" x14ac:dyDescent="0.3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 spans="1:26" ht="14.25" customHeight="1" x14ac:dyDescent="0.3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 spans="1:26" ht="14.25" customHeight="1" x14ac:dyDescent="0.3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 spans="1:26" ht="14.25" customHeight="1" x14ac:dyDescent="0.3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 spans="1:26" ht="14.25" customHeight="1" x14ac:dyDescent="0.3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 spans="1:26" ht="14.25" customHeight="1" x14ac:dyDescent="0.3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 spans="1:26" ht="14.25" customHeight="1" x14ac:dyDescent="0.3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 spans="1:26" ht="14.25" customHeight="1" x14ac:dyDescent="0.3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 spans="1:26" ht="14.25" customHeight="1" x14ac:dyDescent="0.3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 spans="1:26" ht="14.25" customHeight="1" x14ac:dyDescent="0.3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 spans="1:26" ht="14.25" customHeight="1" x14ac:dyDescent="0.3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 spans="1:26" ht="14.25" customHeight="1" x14ac:dyDescent="0.3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 spans="1:26" ht="14.25" customHeight="1" x14ac:dyDescent="0.3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 spans="1:26" ht="14.25" customHeight="1" x14ac:dyDescent="0.3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 spans="1:26" ht="14.25" customHeight="1" x14ac:dyDescent="0.3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 spans="1:26" ht="14.25" customHeight="1" x14ac:dyDescent="0.3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 spans="1:26" ht="14.25" customHeight="1" x14ac:dyDescent="0.3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 spans="1:26" ht="14.25" customHeight="1" x14ac:dyDescent="0.3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 spans="1:26" ht="14.25" customHeight="1" x14ac:dyDescent="0.3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 spans="1:26" ht="14.25" customHeight="1" x14ac:dyDescent="0.3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 spans="1:26" ht="14.25" customHeight="1" x14ac:dyDescent="0.3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 spans="1:26" ht="14.25" customHeight="1" x14ac:dyDescent="0.3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 spans="1:26" ht="14.25" customHeight="1" x14ac:dyDescent="0.3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 spans="1:26" ht="14.25" customHeight="1" x14ac:dyDescent="0.3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 spans="1:26" ht="14.25" customHeight="1" x14ac:dyDescent="0.3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 spans="1:26" ht="14.25" customHeight="1" x14ac:dyDescent="0.3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 spans="1:26" ht="14.25" customHeight="1" x14ac:dyDescent="0.3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 spans="1:26" ht="14.25" customHeight="1" x14ac:dyDescent="0.3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 spans="1:26" ht="14.25" customHeight="1" x14ac:dyDescent="0.3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 spans="1:26" ht="14.25" customHeight="1" x14ac:dyDescent="0.3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 spans="1:26" ht="14.25" customHeight="1" x14ac:dyDescent="0.3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 spans="1:26" ht="14.25" customHeight="1" x14ac:dyDescent="0.3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 spans="1:26" ht="14.25" customHeight="1" x14ac:dyDescent="0.3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 spans="1:26" ht="14.25" customHeight="1" x14ac:dyDescent="0.3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 spans="1:26" ht="14.25" customHeight="1" x14ac:dyDescent="0.3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 spans="1:26" ht="14.25" customHeight="1" x14ac:dyDescent="0.3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 spans="1:26" ht="14.25" customHeight="1" x14ac:dyDescent="0.3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 spans="1:26" ht="14.25" customHeight="1" x14ac:dyDescent="0.3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 spans="1:26" ht="14.25" customHeight="1" x14ac:dyDescent="0.3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 spans="1:26" ht="14.25" customHeight="1" x14ac:dyDescent="0.3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 spans="1:26" ht="14.25" customHeight="1" x14ac:dyDescent="0.3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 spans="1:26" ht="14.25" customHeight="1" x14ac:dyDescent="0.3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 spans="1:26" ht="14.25" customHeight="1" x14ac:dyDescent="0.3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 spans="1:26" ht="14.25" customHeight="1" x14ac:dyDescent="0.3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 spans="1:26" ht="14.25" customHeight="1" x14ac:dyDescent="0.3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 spans="1:26" ht="14.25" customHeight="1" x14ac:dyDescent="0.3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 spans="1:26" ht="14.25" customHeight="1" x14ac:dyDescent="0.3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 spans="1:26" ht="14.25" customHeight="1" x14ac:dyDescent="0.3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 spans="1:26" ht="14.25" customHeight="1" x14ac:dyDescent="0.3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 spans="1:26" ht="14.25" customHeight="1" x14ac:dyDescent="0.3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 spans="1:26" ht="14.25" customHeight="1" x14ac:dyDescent="0.3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 spans="1:26" ht="14.25" customHeight="1" x14ac:dyDescent="0.3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 spans="1:26" ht="14.25" customHeight="1" x14ac:dyDescent="0.3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 spans="1:26" ht="14.25" customHeight="1" x14ac:dyDescent="0.3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 spans="1:26" ht="14.25" customHeight="1" x14ac:dyDescent="0.3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 spans="1:26" ht="14.25" customHeight="1" x14ac:dyDescent="0.3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 spans="1:26" ht="14.25" customHeight="1" x14ac:dyDescent="0.3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 spans="1:26" ht="14.25" customHeight="1" x14ac:dyDescent="0.3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 spans="1:26" ht="14.25" customHeight="1" x14ac:dyDescent="0.3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 spans="1:26" ht="14.25" customHeight="1" x14ac:dyDescent="0.3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 spans="1:26" ht="14.25" customHeight="1" x14ac:dyDescent="0.3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 spans="1:26" ht="14.25" customHeight="1" x14ac:dyDescent="0.3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 spans="1:26" ht="14.25" customHeight="1" x14ac:dyDescent="0.3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 spans="1:26" ht="14.25" customHeight="1" x14ac:dyDescent="0.3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 spans="1:26" ht="14.25" customHeight="1" x14ac:dyDescent="0.3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 spans="1:26" ht="14.25" customHeight="1" x14ac:dyDescent="0.3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spans="1:26" ht="14.25" customHeight="1" x14ac:dyDescent="0.3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spans="1:26" ht="14.25" customHeight="1" x14ac:dyDescent="0.3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 spans="1:26" ht="14.25" customHeight="1" x14ac:dyDescent="0.3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 spans="1:26" ht="14.25" customHeight="1" x14ac:dyDescent="0.3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 spans="1:26" ht="14.25" customHeight="1" x14ac:dyDescent="0.3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 spans="1:26" ht="14.25" customHeight="1" x14ac:dyDescent="0.3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 spans="1:26" ht="14.25" customHeight="1" x14ac:dyDescent="0.3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 spans="1:26" ht="14.25" customHeight="1" x14ac:dyDescent="0.3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 spans="1:26" ht="14.25" customHeight="1" x14ac:dyDescent="0.3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 spans="1:26" ht="14.25" customHeight="1" x14ac:dyDescent="0.3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 spans="1:26" ht="14.25" customHeight="1" x14ac:dyDescent="0.3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 spans="1:26" ht="14.25" customHeight="1" x14ac:dyDescent="0.3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 spans="1:26" ht="14.25" customHeight="1" x14ac:dyDescent="0.3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 spans="1:26" ht="14.25" customHeight="1" x14ac:dyDescent="0.3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 spans="1:26" ht="14.25" customHeight="1" x14ac:dyDescent="0.3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 spans="1:26" ht="14.25" customHeight="1" x14ac:dyDescent="0.3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 spans="1:26" ht="14.25" customHeight="1" x14ac:dyDescent="0.3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 spans="1:26" ht="14.25" customHeight="1" x14ac:dyDescent="0.3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 spans="1:26" ht="14.25" customHeight="1" x14ac:dyDescent="0.3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 spans="1:26" ht="14.25" customHeight="1" x14ac:dyDescent="0.3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 spans="1:26" ht="14.25" customHeight="1" x14ac:dyDescent="0.3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 spans="1:26" ht="14.25" customHeight="1" x14ac:dyDescent="0.3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 spans="1:26" ht="14.25" customHeight="1" x14ac:dyDescent="0.3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 spans="1:26" ht="14.25" customHeight="1" x14ac:dyDescent="0.3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 spans="1:26" ht="14.25" customHeight="1" x14ac:dyDescent="0.3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 spans="1:26" ht="14.25" customHeight="1" x14ac:dyDescent="0.3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 spans="1:26" ht="14.25" customHeight="1" x14ac:dyDescent="0.3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 spans="1:26" ht="14.25" customHeight="1" x14ac:dyDescent="0.3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 spans="1:26" ht="14.25" customHeight="1" x14ac:dyDescent="0.3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 spans="1:26" ht="14.25" customHeight="1" x14ac:dyDescent="0.3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 spans="1:26" ht="14.25" customHeight="1" x14ac:dyDescent="0.3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 spans="1:26" ht="14.25" customHeight="1" x14ac:dyDescent="0.3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 spans="1:26" ht="14.25" customHeight="1" x14ac:dyDescent="0.3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 spans="1:26" ht="14.25" customHeight="1" x14ac:dyDescent="0.3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 spans="1:26" ht="14.25" customHeight="1" x14ac:dyDescent="0.3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 spans="1:26" ht="14.25" customHeight="1" x14ac:dyDescent="0.3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 spans="1:26" ht="14.25" customHeight="1" x14ac:dyDescent="0.3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 spans="1:26" ht="14.25" customHeight="1" x14ac:dyDescent="0.3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 spans="1:26" ht="14.25" customHeight="1" x14ac:dyDescent="0.3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spans="1:26" ht="14.25" customHeight="1" x14ac:dyDescent="0.3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spans="1:26" ht="14.25" customHeight="1" x14ac:dyDescent="0.3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 spans="1:26" ht="14.25" customHeight="1" x14ac:dyDescent="0.3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 spans="1:26" ht="14.25" customHeight="1" x14ac:dyDescent="0.3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 spans="1:26" ht="14.25" customHeight="1" x14ac:dyDescent="0.3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spans="1:26" ht="14.25" customHeight="1" x14ac:dyDescent="0.3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spans="1:26" ht="14.25" customHeight="1" x14ac:dyDescent="0.3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 spans="1:26" ht="14.25" customHeight="1" x14ac:dyDescent="0.3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 spans="1:26" ht="14.25" customHeight="1" x14ac:dyDescent="0.3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 spans="1:26" ht="14.25" customHeight="1" x14ac:dyDescent="0.3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 spans="1:26" ht="14.25" customHeight="1" x14ac:dyDescent="0.3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 spans="1:26" ht="14.25" customHeight="1" x14ac:dyDescent="0.3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 spans="1:26" ht="14.25" customHeight="1" x14ac:dyDescent="0.3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 spans="1:26" ht="14.25" customHeight="1" x14ac:dyDescent="0.3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 spans="1:26" ht="14.25" customHeight="1" x14ac:dyDescent="0.3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 spans="1:26" ht="14.25" customHeight="1" x14ac:dyDescent="0.3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 spans="1:26" ht="14.25" customHeight="1" x14ac:dyDescent="0.3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 spans="1:26" ht="14.25" customHeight="1" x14ac:dyDescent="0.3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 spans="1:26" ht="14.25" customHeight="1" x14ac:dyDescent="0.3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 spans="1:26" ht="14.25" customHeight="1" x14ac:dyDescent="0.3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 spans="1:26" ht="14.25" customHeight="1" x14ac:dyDescent="0.3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 spans="1:26" ht="14.25" customHeight="1" x14ac:dyDescent="0.3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 spans="1:26" ht="14.25" customHeight="1" x14ac:dyDescent="0.3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 spans="1:26" ht="14.25" customHeight="1" x14ac:dyDescent="0.3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 spans="1:26" ht="14.25" customHeight="1" x14ac:dyDescent="0.3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 spans="1:26" ht="14.25" customHeight="1" x14ac:dyDescent="0.3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 spans="1:26" ht="14.25" customHeight="1" x14ac:dyDescent="0.3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 spans="1:26" ht="14.25" customHeight="1" x14ac:dyDescent="0.3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 spans="1:26" ht="14.25" customHeight="1" x14ac:dyDescent="0.3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 spans="1:26" ht="14.25" customHeight="1" x14ac:dyDescent="0.3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 spans="1:26" ht="14.25" customHeight="1" x14ac:dyDescent="0.3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 spans="1:26" ht="14.25" customHeight="1" x14ac:dyDescent="0.3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 spans="1:26" ht="14.25" customHeight="1" x14ac:dyDescent="0.3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 spans="1:26" ht="14.25" customHeight="1" x14ac:dyDescent="0.3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 spans="1:26" ht="14.25" customHeight="1" x14ac:dyDescent="0.3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 spans="1:26" ht="14.25" customHeight="1" x14ac:dyDescent="0.3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 spans="1:26" ht="14.25" customHeight="1" x14ac:dyDescent="0.3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 spans="1:26" ht="14.25" customHeight="1" x14ac:dyDescent="0.3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 spans="1:26" ht="14.25" customHeight="1" x14ac:dyDescent="0.3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 spans="1:26" ht="14.25" customHeight="1" x14ac:dyDescent="0.3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 spans="1:26" ht="14.25" customHeight="1" x14ac:dyDescent="0.3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 spans="1:26" ht="14.25" customHeight="1" x14ac:dyDescent="0.3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 spans="1:26" ht="14.25" customHeight="1" x14ac:dyDescent="0.3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 spans="1:26" ht="14.25" customHeight="1" x14ac:dyDescent="0.3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 spans="1:26" ht="14.25" customHeight="1" x14ac:dyDescent="0.3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 spans="1:26" ht="14.25" customHeight="1" x14ac:dyDescent="0.3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 spans="1:26" ht="14.25" customHeight="1" x14ac:dyDescent="0.3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spans="1:26" ht="14.25" customHeight="1" x14ac:dyDescent="0.3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spans="1:26" ht="14.25" customHeight="1" x14ac:dyDescent="0.3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 spans="1:26" ht="14.25" customHeight="1" x14ac:dyDescent="0.3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 spans="1:26" ht="14.25" customHeight="1" x14ac:dyDescent="0.3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 spans="1:26" ht="14.25" customHeight="1" x14ac:dyDescent="0.3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 spans="1:26" ht="14.25" customHeight="1" x14ac:dyDescent="0.3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 spans="1:26" ht="14.25" customHeight="1" x14ac:dyDescent="0.3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 spans="1:26" ht="14.25" customHeight="1" x14ac:dyDescent="0.3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 spans="1:26" ht="14.25" customHeight="1" x14ac:dyDescent="0.3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 spans="1:26" ht="14.25" customHeight="1" x14ac:dyDescent="0.3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 spans="1:26" ht="14.25" customHeight="1" x14ac:dyDescent="0.3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 spans="1:26" ht="14.25" customHeight="1" x14ac:dyDescent="0.3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 spans="1:26" ht="14.25" customHeight="1" x14ac:dyDescent="0.3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 spans="1:26" ht="14.25" customHeight="1" x14ac:dyDescent="0.3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 spans="1:26" ht="14.25" customHeight="1" x14ac:dyDescent="0.3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 spans="1:26" ht="14.25" customHeight="1" x14ac:dyDescent="0.3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 spans="1:26" ht="14.25" customHeight="1" x14ac:dyDescent="0.3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 spans="1:26" ht="14.25" customHeight="1" x14ac:dyDescent="0.3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 spans="1:26" ht="14.25" customHeight="1" x14ac:dyDescent="0.3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 spans="1:26" ht="14.25" customHeight="1" x14ac:dyDescent="0.3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 spans="1:26" ht="14.25" customHeight="1" x14ac:dyDescent="0.3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 spans="1:26" ht="14.25" customHeight="1" x14ac:dyDescent="0.3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 spans="1:26" ht="14.25" customHeight="1" x14ac:dyDescent="0.3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 spans="1:26" ht="14.25" customHeight="1" x14ac:dyDescent="0.3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 spans="1:26" ht="14.25" customHeight="1" x14ac:dyDescent="0.3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 spans="1:26" ht="14.25" customHeight="1" x14ac:dyDescent="0.3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 spans="1:26" ht="14.25" customHeight="1" x14ac:dyDescent="0.3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 spans="1:26" ht="14.25" customHeight="1" x14ac:dyDescent="0.3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 spans="1:26" ht="14.25" customHeight="1" x14ac:dyDescent="0.3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 spans="1:26" ht="14.25" customHeight="1" x14ac:dyDescent="0.3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 spans="1:26" ht="14.25" customHeight="1" x14ac:dyDescent="0.3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 spans="1:26" ht="14.25" customHeight="1" x14ac:dyDescent="0.3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 spans="1:26" ht="14.25" customHeight="1" x14ac:dyDescent="0.3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 spans="1:26" ht="14.25" customHeight="1" x14ac:dyDescent="0.3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 spans="1:26" ht="14.25" customHeight="1" x14ac:dyDescent="0.3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 spans="1:26" ht="14.25" customHeight="1" x14ac:dyDescent="0.3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 spans="1:26" ht="14.25" customHeight="1" x14ac:dyDescent="0.3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 spans="1:26" ht="14.25" customHeight="1" x14ac:dyDescent="0.3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 spans="1:26" ht="14.25" customHeight="1" x14ac:dyDescent="0.3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 spans="1:26" ht="14.25" customHeight="1" x14ac:dyDescent="0.3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 spans="1:26" ht="14.25" customHeight="1" x14ac:dyDescent="0.3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 spans="1:26" ht="14.25" customHeight="1" x14ac:dyDescent="0.3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 spans="1:26" ht="14.25" customHeight="1" x14ac:dyDescent="0.3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 spans="1:26" ht="14.25" customHeight="1" x14ac:dyDescent="0.3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 spans="1:26" ht="14.25" customHeight="1" x14ac:dyDescent="0.3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 spans="1:26" ht="14.25" customHeight="1" x14ac:dyDescent="0.3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 spans="1:26" ht="14.25" customHeight="1" x14ac:dyDescent="0.3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spans="1:26" ht="14.25" customHeight="1" x14ac:dyDescent="0.3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spans="1:26" ht="14.25" customHeight="1" x14ac:dyDescent="0.3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 spans="1:26" ht="14.25" customHeight="1" x14ac:dyDescent="0.3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 spans="1:26" ht="14.25" customHeight="1" x14ac:dyDescent="0.3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 spans="1:26" ht="14.25" customHeight="1" x14ac:dyDescent="0.3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 spans="1:26" ht="14.25" customHeight="1" x14ac:dyDescent="0.3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 spans="1:26" ht="14.25" customHeight="1" x14ac:dyDescent="0.3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 spans="1:26" ht="14.25" customHeight="1" x14ac:dyDescent="0.3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 spans="1:26" ht="14.25" customHeight="1" x14ac:dyDescent="0.3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 spans="1:26" ht="14.25" customHeight="1" x14ac:dyDescent="0.3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 spans="1:26" ht="14.25" customHeight="1" x14ac:dyDescent="0.3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 spans="1:26" ht="14.25" customHeight="1" x14ac:dyDescent="0.3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 spans="1:26" ht="14.25" customHeight="1" x14ac:dyDescent="0.3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 spans="1:26" ht="14.25" customHeight="1" x14ac:dyDescent="0.3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 spans="1:26" ht="14.25" customHeight="1" x14ac:dyDescent="0.3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 spans="1:26" ht="14.25" customHeight="1" x14ac:dyDescent="0.3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 spans="1:26" ht="14.25" customHeight="1" x14ac:dyDescent="0.3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 spans="1:26" ht="14.25" customHeight="1" x14ac:dyDescent="0.3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 spans="1:26" ht="14.25" customHeight="1" x14ac:dyDescent="0.3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 spans="1:26" ht="14.25" customHeight="1" x14ac:dyDescent="0.3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 spans="1:26" ht="14.25" customHeight="1" x14ac:dyDescent="0.3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 spans="1:26" ht="14.25" customHeight="1" x14ac:dyDescent="0.3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 spans="1:26" ht="14.25" customHeight="1" x14ac:dyDescent="0.3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 spans="1:26" ht="14.25" customHeight="1" x14ac:dyDescent="0.3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 spans="1:26" ht="14.25" customHeight="1" x14ac:dyDescent="0.3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 spans="1:26" ht="14.25" customHeight="1" x14ac:dyDescent="0.3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 spans="1:26" ht="14.25" customHeight="1" x14ac:dyDescent="0.3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 spans="1:26" ht="14.25" customHeight="1" x14ac:dyDescent="0.3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 spans="1:26" ht="14.25" customHeight="1" x14ac:dyDescent="0.3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 spans="1:26" ht="14.25" customHeight="1" x14ac:dyDescent="0.3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 spans="1:26" ht="14.25" customHeight="1" x14ac:dyDescent="0.3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 spans="1:26" ht="14.25" customHeight="1" x14ac:dyDescent="0.3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 spans="1:26" ht="14.25" customHeight="1" x14ac:dyDescent="0.3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 spans="1:26" ht="14.25" customHeight="1" x14ac:dyDescent="0.3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 spans="1:26" ht="14.25" customHeight="1" x14ac:dyDescent="0.3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 spans="1:26" ht="14.25" customHeight="1" x14ac:dyDescent="0.3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 spans="1:26" ht="14.25" customHeight="1" x14ac:dyDescent="0.3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 spans="1:26" ht="14.25" customHeight="1" x14ac:dyDescent="0.3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 spans="1:26" ht="14.25" customHeight="1" x14ac:dyDescent="0.3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 spans="1:26" ht="14.25" customHeight="1" x14ac:dyDescent="0.3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 spans="1:26" ht="14.25" customHeight="1" x14ac:dyDescent="0.3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 spans="1:26" ht="14.25" customHeight="1" x14ac:dyDescent="0.3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 spans="1:26" ht="14.25" customHeight="1" x14ac:dyDescent="0.3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 spans="1:26" ht="14.25" customHeight="1" x14ac:dyDescent="0.3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 spans="1:26" ht="14.25" customHeight="1" x14ac:dyDescent="0.3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 spans="1:26" ht="14.25" customHeight="1" x14ac:dyDescent="0.3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 spans="1:26" ht="14.25" customHeight="1" x14ac:dyDescent="0.3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 spans="1:26" ht="14.25" customHeight="1" x14ac:dyDescent="0.3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 spans="1:26" ht="14.25" customHeight="1" x14ac:dyDescent="0.3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 spans="1:26" ht="14.25" customHeight="1" x14ac:dyDescent="0.3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 spans="1:26" ht="14.25" customHeight="1" x14ac:dyDescent="0.3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 spans="1:26" ht="14.25" customHeight="1" x14ac:dyDescent="0.3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 spans="1:26" ht="14.25" customHeight="1" x14ac:dyDescent="0.3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 spans="1:26" ht="14.25" customHeight="1" x14ac:dyDescent="0.3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 spans="1:26" ht="14.25" customHeight="1" x14ac:dyDescent="0.3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 spans="1:26" ht="14.25" customHeight="1" x14ac:dyDescent="0.3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 spans="1:26" ht="14.25" customHeight="1" x14ac:dyDescent="0.3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 spans="1:26" ht="14.25" customHeight="1" x14ac:dyDescent="0.3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 spans="1:26" ht="14.25" customHeight="1" x14ac:dyDescent="0.3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 spans="1:26" ht="14.25" customHeight="1" x14ac:dyDescent="0.3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 spans="1:26" ht="14.25" customHeight="1" x14ac:dyDescent="0.3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 spans="1:26" ht="14.25" customHeight="1" x14ac:dyDescent="0.3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 spans="1:26" ht="14.25" customHeight="1" x14ac:dyDescent="0.3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 spans="1:26" ht="14.25" customHeight="1" x14ac:dyDescent="0.3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 spans="1:26" ht="14.25" customHeight="1" x14ac:dyDescent="0.3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 spans="1:26" ht="14.25" customHeight="1" x14ac:dyDescent="0.3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 spans="1:26" ht="14.25" customHeight="1" x14ac:dyDescent="0.3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 spans="1:26" ht="14.25" customHeight="1" x14ac:dyDescent="0.3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 spans="1:26" ht="14.25" customHeight="1" x14ac:dyDescent="0.3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 spans="1:26" ht="14.25" customHeight="1" x14ac:dyDescent="0.3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 spans="1:26" ht="14.25" customHeight="1" x14ac:dyDescent="0.3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 spans="1:26" ht="14.25" customHeight="1" x14ac:dyDescent="0.3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 spans="1:26" ht="14.25" customHeight="1" x14ac:dyDescent="0.3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 spans="1:26" ht="14.25" customHeight="1" x14ac:dyDescent="0.3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 spans="1:26" ht="14.25" customHeight="1" x14ac:dyDescent="0.3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 spans="1:26" ht="14.25" customHeight="1" x14ac:dyDescent="0.3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 spans="1:26" ht="14.25" customHeight="1" x14ac:dyDescent="0.3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 spans="1:26" ht="14.25" customHeight="1" x14ac:dyDescent="0.3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 spans="1:26" ht="14.25" customHeight="1" x14ac:dyDescent="0.3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 spans="1:26" ht="14.25" customHeight="1" x14ac:dyDescent="0.3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 spans="1:26" ht="14.25" customHeight="1" x14ac:dyDescent="0.3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 spans="1:26" ht="14.25" customHeight="1" x14ac:dyDescent="0.3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 spans="1:26" ht="14.25" customHeight="1" x14ac:dyDescent="0.3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 spans="1:26" ht="14.25" customHeight="1" x14ac:dyDescent="0.3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 spans="1:26" ht="14.25" customHeight="1" x14ac:dyDescent="0.3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 spans="1:26" ht="14.25" customHeight="1" x14ac:dyDescent="0.3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 spans="1:26" ht="14.25" customHeight="1" x14ac:dyDescent="0.3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 spans="1:26" ht="14.25" customHeight="1" x14ac:dyDescent="0.3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 spans="1:26" ht="14.25" customHeight="1" x14ac:dyDescent="0.3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 spans="1:26" ht="14.25" customHeight="1" x14ac:dyDescent="0.3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 spans="1:26" ht="14.25" customHeight="1" x14ac:dyDescent="0.3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 spans="1:26" ht="14.25" customHeight="1" x14ac:dyDescent="0.3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 spans="1:26" ht="14.25" customHeight="1" x14ac:dyDescent="0.3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 spans="1:26" ht="14.25" customHeight="1" x14ac:dyDescent="0.3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 spans="1:26" ht="14.25" customHeight="1" x14ac:dyDescent="0.3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 spans="1:26" ht="14.25" customHeight="1" x14ac:dyDescent="0.3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 spans="1:26" ht="14.25" customHeight="1" x14ac:dyDescent="0.3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 spans="1:26" ht="14.25" customHeight="1" x14ac:dyDescent="0.3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 spans="1:26" ht="14.25" customHeight="1" x14ac:dyDescent="0.3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 spans="1:26" ht="14.25" customHeight="1" x14ac:dyDescent="0.3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 spans="1:26" ht="14.25" customHeight="1" x14ac:dyDescent="0.3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 spans="1:26" ht="14.25" customHeight="1" x14ac:dyDescent="0.3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 spans="1:26" ht="14.25" customHeight="1" x14ac:dyDescent="0.3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 spans="1:26" ht="14.25" customHeight="1" x14ac:dyDescent="0.3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 spans="1:26" ht="14.25" customHeight="1" x14ac:dyDescent="0.3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 spans="1:26" ht="14.25" customHeight="1" x14ac:dyDescent="0.3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 spans="1:26" ht="14.25" customHeight="1" x14ac:dyDescent="0.3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 spans="1:26" ht="14.25" customHeight="1" x14ac:dyDescent="0.3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 spans="1:26" ht="14.25" customHeight="1" x14ac:dyDescent="0.3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 spans="1:26" ht="14.25" customHeight="1" x14ac:dyDescent="0.3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 spans="1:26" ht="14.25" customHeight="1" x14ac:dyDescent="0.3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 spans="1:26" ht="14.25" customHeight="1" x14ac:dyDescent="0.3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 spans="1:26" ht="14.25" customHeight="1" x14ac:dyDescent="0.3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 spans="1:26" ht="14.25" customHeight="1" x14ac:dyDescent="0.3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 spans="1:26" ht="14.25" customHeight="1" x14ac:dyDescent="0.3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 spans="1:26" ht="14.25" customHeight="1" x14ac:dyDescent="0.3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 spans="1:26" ht="14.25" customHeight="1" x14ac:dyDescent="0.3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 spans="1:26" ht="14.25" customHeight="1" x14ac:dyDescent="0.3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 spans="1:26" ht="14.25" customHeight="1" x14ac:dyDescent="0.3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 spans="1:26" ht="14.25" customHeight="1" x14ac:dyDescent="0.3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 spans="1:26" ht="14.25" customHeight="1" x14ac:dyDescent="0.3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 spans="1:26" ht="14.25" customHeight="1" x14ac:dyDescent="0.3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 spans="1:26" ht="14.25" customHeight="1" x14ac:dyDescent="0.3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 spans="1:26" ht="14.25" customHeight="1" x14ac:dyDescent="0.3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 spans="1:26" ht="14.25" customHeight="1" x14ac:dyDescent="0.3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 spans="1:26" ht="14.25" customHeight="1" x14ac:dyDescent="0.3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 spans="1:26" ht="14.25" customHeight="1" x14ac:dyDescent="0.3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 spans="1:26" ht="14.25" customHeight="1" x14ac:dyDescent="0.3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 spans="1:26" ht="14.25" customHeight="1" x14ac:dyDescent="0.3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 spans="1:26" ht="14.25" customHeight="1" x14ac:dyDescent="0.3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 spans="1:26" ht="14.25" customHeight="1" x14ac:dyDescent="0.3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 spans="1:26" ht="14.25" customHeight="1" x14ac:dyDescent="0.3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 spans="1:26" ht="14.25" customHeight="1" x14ac:dyDescent="0.3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 spans="1:26" ht="14.25" customHeight="1" x14ac:dyDescent="0.3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 spans="1:26" ht="14.25" customHeight="1" x14ac:dyDescent="0.3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 spans="1:26" ht="14.25" customHeight="1" x14ac:dyDescent="0.3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 spans="1:26" ht="14.25" customHeight="1" x14ac:dyDescent="0.3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 spans="1:26" ht="14.25" customHeight="1" x14ac:dyDescent="0.3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 spans="1:26" ht="14.25" customHeight="1" x14ac:dyDescent="0.3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 spans="1:26" ht="14.25" customHeight="1" x14ac:dyDescent="0.3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 spans="1:26" ht="14.25" customHeight="1" x14ac:dyDescent="0.3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 spans="1:26" ht="14.25" customHeight="1" x14ac:dyDescent="0.3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 spans="1:26" ht="14.25" customHeight="1" x14ac:dyDescent="0.3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 spans="1:26" ht="14.25" customHeight="1" x14ac:dyDescent="0.3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 spans="1:26" ht="14.25" customHeight="1" x14ac:dyDescent="0.3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 spans="1:26" ht="14.25" customHeight="1" x14ac:dyDescent="0.3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 spans="1:26" ht="14.25" customHeight="1" x14ac:dyDescent="0.3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 spans="1:26" ht="14.25" customHeight="1" x14ac:dyDescent="0.3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 spans="1:26" ht="14.25" customHeight="1" x14ac:dyDescent="0.3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 spans="1:26" ht="14.25" customHeight="1" x14ac:dyDescent="0.3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 spans="1:26" ht="14.25" customHeight="1" x14ac:dyDescent="0.3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 spans="1:26" ht="14.25" customHeight="1" x14ac:dyDescent="0.3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 spans="1:26" ht="14.25" customHeight="1" x14ac:dyDescent="0.3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 spans="1:26" ht="14.25" customHeight="1" x14ac:dyDescent="0.3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 spans="1:26" ht="14.25" customHeight="1" x14ac:dyDescent="0.3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 spans="1:26" ht="14.25" customHeight="1" x14ac:dyDescent="0.3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 spans="1:26" ht="14.25" customHeight="1" x14ac:dyDescent="0.3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 spans="1:26" ht="14.25" customHeight="1" x14ac:dyDescent="0.3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 spans="1:26" ht="14.25" customHeight="1" x14ac:dyDescent="0.3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 spans="1:26" ht="14.25" customHeight="1" x14ac:dyDescent="0.3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 spans="1:26" ht="14.25" customHeight="1" x14ac:dyDescent="0.3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 spans="1:26" ht="14.25" customHeight="1" x14ac:dyDescent="0.3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 spans="1:26" ht="14.25" customHeight="1" x14ac:dyDescent="0.3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 spans="1:26" ht="14.25" customHeight="1" x14ac:dyDescent="0.3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 spans="1:26" ht="14.25" customHeight="1" x14ac:dyDescent="0.3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 spans="1:26" ht="14.25" customHeight="1" x14ac:dyDescent="0.3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 spans="1:26" ht="14.25" customHeight="1" x14ac:dyDescent="0.3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 spans="1:26" ht="14.25" customHeight="1" x14ac:dyDescent="0.3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 spans="1:26" ht="14.25" customHeight="1" x14ac:dyDescent="0.3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 spans="1:26" ht="14.25" customHeight="1" x14ac:dyDescent="0.3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 spans="1:26" ht="14.25" customHeight="1" x14ac:dyDescent="0.3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 spans="1:26" ht="14.25" customHeight="1" x14ac:dyDescent="0.3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 spans="1:26" ht="14.25" customHeight="1" x14ac:dyDescent="0.3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 spans="1:26" ht="14.25" customHeight="1" x14ac:dyDescent="0.3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 spans="1:26" ht="14.25" customHeight="1" x14ac:dyDescent="0.3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 spans="1:26" ht="14.25" customHeight="1" x14ac:dyDescent="0.3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 spans="1:26" ht="14.25" customHeight="1" x14ac:dyDescent="0.3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 spans="1:26" ht="14.25" customHeight="1" x14ac:dyDescent="0.3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 spans="1:26" ht="14.25" customHeight="1" x14ac:dyDescent="0.3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 spans="1:26" ht="14.25" customHeight="1" x14ac:dyDescent="0.3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 spans="1:26" ht="14.25" customHeight="1" x14ac:dyDescent="0.3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 spans="1:26" ht="14.25" customHeight="1" x14ac:dyDescent="0.3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 spans="1:26" ht="14.25" customHeight="1" x14ac:dyDescent="0.3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 spans="1:26" ht="14.25" customHeight="1" x14ac:dyDescent="0.3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 spans="1:26" ht="14.25" customHeight="1" x14ac:dyDescent="0.3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 spans="1:26" ht="14.25" customHeight="1" x14ac:dyDescent="0.3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 spans="1:26" ht="14.25" customHeight="1" x14ac:dyDescent="0.3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 spans="1:26" ht="14.25" customHeight="1" x14ac:dyDescent="0.3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 spans="1:26" ht="14.25" customHeight="1" x14ac:dyDescent="0.3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 spans="1:26" ht="14.25" customHeight="1" x14ac:dyDescent="0.3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 spans="1:26" ht="14.25" customHeight="1" x14ac:dyDescent="0.3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 spans="1:26" ht="14.25" customHeight="1" x14ac:dyDescent="0.3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 spans="1:26" ht="14.25" customHeight="1" x14ac:dyDescent="0.3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 spans="1:26" ht="14.25" customHeight="1" x14ac:dyDescent="0.3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 spans="1:26" ht="14.25" customHeight="1" x14ac:dyDescent="0.3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 spans="1:26" ht="14.25" customHeight="1" x14ac:dyDescent="0.3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 spans="1:26" ht="14.25" customHeight="1" x14ac:dyDescent="0.3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 spans="1:26" ht="14.25" customHeight="1" x14ac:dyDescent="0.3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 spans="1:26" ht="14.25" customHeight="1" x14ac:dyDescent="0.3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 spans="1:26" ht="14.25" customHeight="1" x14ac:dyDescent="0.3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 spans="1:26" ht="14.25" customHeight="1" x14ac:dyDescent="0.3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 spans="1:26" ht="14.25" customHeight="1" x14ac:dyDescent="0.3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 spans="1:26" ht="14.25" customHeight="1" x14ac:dyDescent="0.3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 spans="1:26" ht="14.25" customHeight="1" x14ac:dyDescent="0.3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 spans="1:26" ht="14.25" customHeight="1" x14ac:dyDescent="0.3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 spans="1:26" ht="14.25" customHeight="1" x14ac:dyDescent="0.3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 spans="1:26" ht="14.25" customHeight="1" x14ac:dyDescent="0.3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 spans="1:26" ht="14.25" customHeight="1" x14ac:dyDescent="0.3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 spans="1:26" ht="14.25" customHeight="1" x14ac:dyDescent="0.3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 spans="1:26" ht="14.25" customHeight="1" x14ac:dyDescent="0.3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 spans="1:26" ht="14.25" customHeight="1" x14ac:dyDescent="0.3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 spans="1:26" ht="14.25" customHeight="1" x14ac:dyDescent="0.3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 spans="1:26" ht="14.25" customHeight="1" x14ac:dyDescent="0.3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 spans="1:26" ht="14.25" customHeight="1" x14ac:dyDescent="0.3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 spans="1:26" ht="14.25" customHeight="1" x14ac:dyDescent="0.3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 spans="1:26" ht="14.25" customHeight="1" x14ac:dyDescent="0.3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 spans="1:26" ht="14.25" customHeight="1" x14ac:dyDescent="0.3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 spans="1:26" ht="14.25" customHeight="1" x14ac:dyDescent="0.3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 spans="1:26" ht="14.25" customHeight="1" x14ac:dyDescent="0.3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 spans="1:26" ht="14.25" customHeight="1" x14ac:dyDescent="0.3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 spans="1:26" ht="14.25" customHeight="1" x14ac:dyDescent="0.3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 spans="1:26" ht="14.25" customHeight="1" x14ac:dyDescent="0.3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 spans="1:26" ht="14.25" customHeight="1" x14ac:dyDescent="0.3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  <row r="1001" spans="1:26" ht="14.25" customHeight="1" x14ac:dyDescent="0.3">
      <c r="A1001" s="102"/>
      <c r="B1001" s="102"/>
      <c r="C1001" s="102"/>
      <c r="D1001" s="102"/>
      <c r="E1001" s="102"/>
      <c r="F1001" s="102"/>
      <c r="G1001" s="102"/>
      <c r="H1001" s="102"/>
      <c r="I1001" s="102"/>
      <c r="J1001" s="102"/>
      <c r="K1001" s="102"/>
      <c r="L1001" s="102"/>
      <c r="M1001" s="102"/>
      <c r="N1001" s="102"/>
      <c r="O1001" s="102"/>
      <c r="P1001" s="102"/>
      <c r="Q1001" s="102"/>
      <c r="R1001" s="102"/>
      <c r="S1001" s="102"/>
      <c r="T1001" s="102"/>
      <c r="U1001" s="102"/>
      <c r="V1001" s="102"/>
      <c r="W1001" s="102"/>
      <c r="X1001" s="102"/>
      <c r="Y1001" s="102"/>
      <c r="Z1001" s="102"/>
    </row>
    <row r="1002" spans="1:26" ht="14.25" customHeight="1" x14ac:dyDescent="0.3">
      <c r="A1002" s="102"/>
      <c r="B1002" s="102"/>
      <c r="C1002" s="102"/>
      <c r="D1002" s="102"/>
      <c r="E1002" s="102"/>
      <c r="F1002" s="102"/>
      <c r="G1002" s="102"/>
      <c r="H1002" s="102"/>
      <c r="I1002" s="102"/>
      <c r="J1002" s="102"/>
      <c r="K1002" s="102"/>
      <c r="L1002" s="102"/>
      <c r="M1002" s="102"/>
      <c r="N1002" s="102"/>
      <c r="O1002" s="102"/>
      <c r="P1002" s="102"/>
      <c r="Q1002" s="102"/>
      <c r="R1002" s="102"/>
      <c r="S1002" s="102"/>
      <c r="T1002" s="102"/>
      <c r="U1002" s="102"/>
      <c r="V1002" s="102"/>
      <c r="W1002" s="102"/>
      <c r="X1002" s="102"/>
      <c r="Y1002" s="102"/>
      <c r="Z1002" s="102"/>
    </row>
    <row r="1003" spans="1:26" ht="14.25" customHeight="1" x14ac:dyDescent="0.3">
      <c r="A1003" s="102"/>
      <c r="B1003" s="102"/>
      <c r="C1003" s="102"/>
      <c r="D1003" s="102"/>
      <c r="E1003" s="102"/>
      <c r="F1003" s="102"/>
      <c r="G1003" s="102"/>
      <c r="H1003" s="102"/>
      <c r="I1003" s="102"/>
      <c r="J1003" s="102"/>
      <c r="K1003" s="102"/>
      <c r="L1003" s="102"/>
      <c r="M1003" s="102"/>
      <c r="N1003" s="102"/>
      <c r="O1003" s="102"/>
      <c r="P1003" s="102"/>
      <c r="Q1003" s="102"/>
      <c r="R1003" s="102"/>
      <c r="S1003" s="102"/>
      <c r="T1003" s="102"/>
      <c r="U1003" s="102"/>
      <c r="V1003" s="102"/>
      <c r="W1003" s="102"/>
      <c r="X1003" s="102"/>
      <c r="Y1003" s="102"/>
      <c r="Z1003" s="102"/>
    </row>
    <row r="1004" spans="1:26" ht="14.25" customHeight="1" x14ac:dyDescent="0.3">
      <c r="A1004" s="102"/>
      <c r="B1004" s="102"/>
      <c r="C1004" s="102"/>
      <c r="D1004" s="102"/>
      <c r="E1004" s="102"/>
      <c r="F1004" s="102"/>
      <c r="G1004" s="102"/>
      <c r="H1004" s="102"/>
      <c r="I1004" s="102"/>
      <c r="J1004" s="102"/>
      <c r="K1004" s="102"/>
      <c r="L1004" s="102"/>
      <c r="M1004" s="102"/>
      <c r="N1004" s="102"/>
      <c r="O1004" s="102"/>
      <c r="P1004" s="102"/>
      <c r="Q1004" s="102"/>
      <c r="R1004" s="102"/>
      <c r="S1004" s="102"/>
      <c r="T1004" s="102"/>
      <c r="U1004" s="102"/>
      <c r="V1004" s="102"/>
      <c r="W1004" s="102"/>
      <c r="X1004" s="102"/>
      <c r="Y1004" s="102"/>
      <c r="Z1004" s="102"/>
    </row>
    <row r="1005" spans="1:26" ht="14.25" customHeight="1" x14ac:dyDescent="0.3">
      <c r="A1005" s="102"/>
      <c r="B1005" s="102"/>
      <c r="C1005" s="102"/>
      <c r="D1005" s="102"/>
      <c r="E1005" s="102"/>
      <c r="F1005" s="102"/>
      <c r="G1005" s="102"/>
      <c r="H1005" s="102"/>
      <c r="I1005" s="102"/>
      <c r="J1005" s="102"/>
      <c r="K1005" s="102"/>
      <c r="L1005" s="102"/>
      <c r="M1005" s="102"/>
      <c r="N1005" s="102"/>
      <c r="O1005" s="102"/>
      <c r="P1005" s="102"/>
      <c r="Q1005" s="102"/>
      <c r="R1005" s="102"/>
      <c r="S1005" s="102"/>
      <c r="T1005" s="102"/>
      <c r="U1005" s="102"/>
      <c r="V1005" s="102"/>
      <c r="W1005" s="102"/>
      <c r="X1005" s="102"/>
      <c r="Y1005" s="102"/>
      <c r="Z1005" s="102"/>
    </row>
    <row r="1006" spans="1:26" ht="14.25" customHeight="1" x14ac:dyDescent="0.3">
      <c r="A1006" s="102"/>
      <c r="B1006" s="102"/>
      <c r="C1006" s="102"/>
      <c r="D1006" s="102"/>
      <c r="E1006" s="102"/>
      <c r="F1006" s="102"/>
      <c r="G1006" s="102"/>
      <c r="H1006" s="102"/>
      <c r="I1006" s="102"/>
      <c r="J1006" s="102"/>
      <c r="K1006" s="102"/>
      <c r="L1006" s="102"/>
      <c r="M1006" s="102"/>
      <c r="N1006" s="102"/>
      <c r="O1006" s="102"/>
      <c r="P1006" s="102"/>
      <c r="Q1006" s="102"/>
      <c r="R1006" s="102"/>
      <c r="S1006" s="102"/>
      <c r="T1006" s="102"/>
      <c r="U1006" s="102"/>
      <c r="V1006" s="102"/>
      <c r="W1006" s="102"/>
      <c r="X1006" s="102"/>
      <c r="Y1006" s="102"/>
      <c r="Z1006" s="102"/>
    </row>
    <row r="1007" spans="1:26" ht="14.25" customHeight="1" x14ac:dyDescent="0.3">
      <c r="A1007" s="102"/>
      <c r="B1007" s="102"/>
      <c r="C1007" s="102"/>
      <c r="D1007" s="102"/>
      <c r="E1007" s="102"/>
      <c r="F1007" s="102"/>
      <c r="G1007" s="102"/>
      <c r="H1007" s="102"/>
      <c r="I1007" s="102"/>
      <c r="J1007" s="102"/>
      <c r="K1007" s="102"/>
      <c r="L1007" s="102"/>
      <c r="M1007" s="102"/>
      <c r="N1007" s="102"/>
      <c r="O1007" s="102"/>
      <c r="P1007" s="102"/>
      <c r="Q1007" s="102"/>
      <c r="R1007" s="102"/>
      <c r="S1007" s="102"/>
      <c r="T1007" s="102"/>
      <c r="U1007" s="102"/>
      <c r="V1007" s="102"/>
      <c r="W1007" s="102"/>
      <c r="X1007" s="102"/>
      <c r="Y1007" s="102"/>
      <c r="Z1007" s="102"/>
    </row>
    <row r="1008" spans="1:26" ht="14.25" customHeight="1" x14ac:dyDescent="0.3">
      <c r="A1008" s="102"/>
      <c r="B1008" s="102"/>
      <c r="C1008" s="102"/>
      <c r="D1008" s="102"/>
      <c r="E1008" s="102"/>
      <c r="F1008" s="102"/>
      <c r="G1008" s="102"/>
      <c r="H1008" s="102"/>
      <c r="I1008" s="102"/>
      <c r="J1008" s="102"/>
      <c r="K1008" s="102"/>
      <c r="L1008" s="102"/>
      <c r="M1008" s="102"/>
      <c r="N1008" s="102"/>
      <c r="O1008" s="102"/>
      <c r="P1008" s="102"/>
      <c r="Q1008" s="102"/>
      <c r="R1008" s="102"/>
      <c r="S1008" s="102"/>
      <c r="T1008" s="102"/>
      <c r="U1008" s="102"/>
      <c r="V1008" s="102"/>
      <c r="W1008" s="102"/>
      <c r="X1008" s="102"/>
      <c r="Y1008" s="102"/>
      <c r="Z1008" s="102"/>
    </row>
    <row r="1009" spans="1:26" ht="14.25" customHeight="1" x14ac:dyDescent="0.3">
      <c r="A1009" s="102"/>
      <c r="B1009" s="102"/>
      <c r="C1009" s="102"/>
      <c r="D1009" s="102"/>
      <c r="E1009" s="102"/>
      <c r="F1009" s="102"/>
      <c r="G1009" s="102"/>
      <c r="H1009" s="102"/>
      <c r="I1009" s="102"/>
      <c r="J1009" s="102"/>
      <c r="K1009" s="102"/>
      <c r="L1009" s="102"/>
      <c r="M1009" s="102"/>
      <c r="N1009" s="102"/>
      <c r="O1009" s="102"/>
      <c r="P1009" s="102"/>
      <c r="Q1009" s="102"/>
      <c r="R1009" s="102"/>
      <c r="S1009" s="102"/>
      <c r="T1009" s="102"/>
      <c r="U1009" s="102"/>
      <c r="V1009" s="102"/>
      <c r="W1009" s="102"/>
      <c r="X1009" s="102"/>
      <c r="Y1009" s="102"/>
      <c r="Z1009" s="102"/>
    </row>
    <row r="1010" spans="1:26" ht="14.25" customHeight="1" x14ac:dyDescent="0.3">
      <c r="A1010" s="102"/>
      <c r="B1010" s="102"/>
      <c r="C1010" s="102"/>
      <c r="D1010" s="102"/>
      <c r="E1010" s="102"/>
      <c r="F1010" s="102"/>
      <c r="G1010" s="102"/>
      <c r="H1010" s="102"/>
      <c r="I1010" s="102"/>
      <c r="J1010" s="102"/>
      <c r="K1010" s="102"/>
      <c r="L1010" s="102"/>
      <c r="M1010" s="102"/>
      <c r="N1010" s="102"/>
      <c r="O1010" s="102"/>
      <c r="P1010" s="102"/>
      <c r="Q1010" s="102"/>
      <c r="R1010" s="102"/>
      <c r="S1010" s="102"/>
      <c r="T1010" s="102"/>
      <c r="U1010" s="102"/>
      <c r="V1010" s="102"/>
      <c r="W1010" s="102"/>
      <c r="X1010" s="102"/>
      <c r="Y1010" s="102"/>
      <c r="Z1010" s="102"/>
    </row>
    <row r="1011" spans="1:26" ht="14.25" customHeight="1" x14ac:dyDescent="0.3">
      <c r="A1011" s="102"/>
      <c r="B1011" s="102"/>
      <c r="C1011" s="102"/>
      <c r="D1011" s="102"/>
      <c r="E1011" s="102"/>
      <c r="F1011" s="102"/>
      <c r="G1011" s="102"/>
      <c r="H1011" s="102"/>
      <c r="I1011" s="102"/>
      <c r="J1011" s="102"/>
      <c r="K1011" s="102"/>
      <c r="L1011" s="102"/>
      <c r="M1011" s="102"/>
      <c r="N1011" s="102"/>
      <c r="O1011" s="102"/>
      <c r="P1011" s="102"/>
      <c r="Q1011" s="102"/>
      <c r="R1011" s="102"/>
      <c r="S1011" s="102"/>
      <c r="T1011" s="102"/>
      <c r="U1011" s="102"/>
      <c r="V1011" s="102"/>
      <c r="W1011" s="102"/>
      <c r="X1011" s="102"/>
      <c r="Y1011" s="102"/>
      <c r="Z1011" s="102"/>
    </row>
    <row r="1012" spans="1:26" ht="14.25" customHeight="1" x14ac:dyDescent="0.3">
      <c r="A1012" s="102"/>
      <c r="B1012" s="102"/>
      <c r="C1012" s="102"/>
      <c r="D1012" s="102"/>
      <c r="E1012" s="102"/>
      <c r="F1012" s="102"/>
      <c r="G1012" s="102"/>
      <c r="H1012" s="102"/>
      <c r="I1012" s="102"/>
      <c r="J1012" s="102"/>
      <c r="K1012" s="102"/>
      <c r="L1012" s="102"/>
      <c r="M1012" s="102"/>
      <c r="N1012" s="102"/>
      <c r="O1012" s="102"/>
      <c r="P1012" s="102"/>
      <c r="Q1012" s="102"/>
      <c r="R1012" s="102"/>
      <c r="S1012" s="102"/>
      <c r="T1012" s="102"/>
      <c r="U1012" s="102"/>
      <c r="V1012" s="102"/>
      <c r="W1012" s="102"/>
      <c r="X1012" s="102"/>
      <c r="Y1012" s="102"/>
      <c r="Z1012" s="102"/>
    </row>
    <row r="1013" spans="1:26" ht="14.25" customHeight="1" x14ac:dyDescent="0.3">
      <c r="A1013" s="102"/>
      <c r="B1013" s="102"/>
      <c r="C1013" s="102"/>
      <c r="D1013" s="102"/>
      <c r="E1013" s="102"/>
      <c r="F1013" s="102"/>
      <c r="G1013" s="102"/>
      <c r="H1013" s="102"/>
      <c r="I1013" s="102"/>
      <c r="J1013" s="102"/>
      <c r="K1013" s="102"/>
      <c r="L1013" s="102"/>
      <c r="M1013" s="102"/>
      <c r="N1013" s="102"/>
      <c r="O1013" s="102"/>
      <c r="P1013" s="102"/>
      <c r="Q1013" s="102"/>
      <c r="R1013" s="102"/>
      <c r="S1013" s="102"/>
      <c r="T1013" s="102"/>
      <c r="U1013" s="102"/>
      <c r="V1013" s="102"/>
      <c r="W1013" s="102"/>
      <c r="X1013" s="102"/>
      <c r="Y1013" s="102"/>
      <c r="Z1013" s="102"/>
    </row>
    <row r="1014" spans="1:26" ht="14.25" customHeight="1" x14ac:dyDescent="0.3">
      <c r="A1014" s="102"/>
      <c r="B1014" s="102"/>
      <c r="C1014" s="102"/>
      <c r="D1014" s="102"/>
      <c r="E1014" s="102"/>
      <c r="F1014" s="102"/>
      <c r="G1014" s="102"/>
      <c r="H1014" s="102"/>
      <c r="I1014" s="102"/>
      <c r="J1014" s="102"/>
      <c r="K1014" s="102"/>
      <c r="L1014" s="102"/>
      <c r="M1014" s="102"/>
      <c r="N1014" s="102"/>
      <c r="O1014" s="102"/>
      <c r="P1014" s="102"/>
      <c r="Q1014" s="102"/>
      <c r="R1014" s="102"/>
      <c r="S1014" s="102"/>
      <c r="T1014" s="102"/>
      <c r="U1014" s="102"/>
      <c r="V1014" s="102"/>
      <c r="W1014" s="102"/>
      <c r="X1014" s="102"/>
      <c r="Y1014" s="102"/>
      <c r="Z1014" s="102"/>
    </row>
    <row r="1015" spans="1:26" ht="14.25" customHeight="1" x14ac:dyDescent="0.3">
      <c r="A1015" s="102"/>
      <c r="B1015" s="102"/>
      <c r="C1015" s="102"/>
      <c r="D1015" s="102"/>
      <c r="E1015" s="102"/>
      <c r="F1015" s="102"/>
      <c r="G1015" s="102"/>
      <c r="H1015" s="102"/>
      <c r="I1015" s="102"/>
      <c r="J1015" s="102"/>
      <c r="K1015" s="102"/>
      <c r="L1015" s="102"/>
      <c r="M1015" s="102"/>
      <c r="N1015" s="102"/>
      <c r="O1015" s="102"/>
      <c r="P1015" s="102"/>
      <c r="Q1015" s="102"/>
      <c r="R1015" s="102"/>
      <c r="S1015" s="102"/>
      <c r="T1015" s="102"/>
      <c r="U1015" s="102"/>
      <c r="V1015" s="102"/>
      <c r="W1015" s="102"/>
      <c r="X1015" s="102"/>
      <c r="Y1015" s="102"/>
      <c r="Z1015" s="102"/>
    </row>
    <row r="1016" spans="1:26" ht="14.25" customHeight="1" x14ac:dyDescent="0.3">
      <c r="A1016" s="102"/>
      <c r="B1016" s="102"/>
      <c r="C1016" s="102"/>
      <c r="D1016" s="102"/>
      <c r="E1016" s="102"/>
      <c r="F1016" s="102"/>
      <c r="G1016" s="102"/>
      <c r="H1016" s="102"/>
      <c r="I1016" s="102"/>
      <c r="J1016" s="102"/>
      <c r="K1016" s="102"/>
      <c r="L1016" s="102"/>
      <c r="M1016" s="102"/>
      <c r="N1016" s="102"/>
      <c r="O1016" s="102"/>
      <c r="P1016" s="102"/>
      <c r="Q1016" s="102"/>
      <c r="R1016" s="102"/>
      <c r="S1016" s="102"/>
      <c r="T1016" s="102"/>
      <c r="U1016" s="102"/>
      <c r="V1016" s="102"/>
      <c r="W1016" s="102"/>
      <c r="X1016" s="102"/>
      <c r="Y1016" s="102"/>
      <c r="Z1016" s="102"/>
    </row>
    <row r="1017" spans="1:26" ht="14.25" customHeight="1" x14ac:dyDescent="0.3">
      <c r="A1017" s="102"/>
      <c r="B1017" s="102"/>
      <c r="C1017" s="102"/>
      <c r="D1017" s="102"/>
      <c r="E1017" s="102"/>
      <c r="F1017" s="102"/>
      <c r="G1017" s="102"/>
      <c r="H1017" s="102"/>
      <c r="I1017" s="102"/>
      <c r="J1017" s="102"/>
      <c r="K1017" s="102"/>
      <c r="L1017" s="102"/>
      <c r="M1017" s="102"/>
      <c r="N1017" s="102"/>
      <c r="O1017" s="102"/>
      <c r="P1017" s="102"/>
      <c r="Q1017" s="102"/>
      <c r="R1017" s="102"/>
      <c r="S1017" s="102"/>
      <c r="T1017" s="102"/>
      <c r="U1017" s="102"/>
      <c r="V1017" s="102"/>
      <c r="W1017" s="102"/>
      <c r="X1017" s="102"/>
      <c r="Y1017" s="102"/>
      <c r="Z1017" s="102"/>
    </row>
    <row r="1018" spans="1:26" ht="14.25" customHeight="1" x14ac:dyDescent="0.3">
      <c r="A1018" s="102"/>
      <c r="B1018" s="102"/>
      <c r="C1018" s="102"/>
      <c r="D1018" s="102"/>
      <c r="E1018" s="102"/>
      <c r="F1018" s="102"/>
      <c r="G1018" s="102"/>
      <c r="H1018" s="102"/>
      <c r="I1018" s="102"/>
      <c r="J1018" s="102"/>
      <c r="K1018" s="102"/>
      <c r="L1018" s="102"/>
      <c r="M1018" s="102"/>
      <c r="N1018" s="102"/>
      <c r="O1018" s="102"/>
      <c r="P1018" s="102"/>
      <c r="Q1018" s="102"/>
      <c r="R1018" s="102"/>
      <c r="S1018" s="102"/>
      <c r="T1018" s="102"/>
      <c r="U1018" s="102"/>
      <c r="V1018" s="102"/>
      <c r="W1018" s="102"/>
      <c r="X1018" s="102"/>
      <c r="Y1018" s="102"/>
      <c r="Z1018" s="102"/>
    </row>
    <row r="1019" spans="1:26" ht="14.25" customHeight="1" x14ac:dyDescent="0.3">
      <c r="A1019" s="102"/>
      <c r="B1019" s="102"/>
      <c r="C1019" s="102"/>
      <c r="D1019" s="102"/>
      <c r="E1019" s="102"/>
      <c r="F1019" s="102"/>
      <c r="G1019" s="102"/>
      <c r="H1019" s="102"/>
      <c r="I1019" s="102"/>
      <c r="J1019" s="102"/>
      <c r="K1019" s="102"/>
      <c r="L1019" s="102"/>
      <c r="M1019" s="102"/>
      <c r="N1019" s="102"/>
      <c r="O1019" s="102"/>
      <c r="P1019" s="102"/>
      <c r="Q1019" s="102"/>
      <c r="R1019" s="102"/>
      <c r="S1019" s="102"/>
      <c r="T1019" s="102"/>
      <c r="U1019" s="102"/>
      <c r="V1019" s="102"/>
      <c r="W1019" s="102"/>
      <c r="X1019" s="102"/>
      <c r="Y1019" s="102"/>
      <c r="Z1019" s="102"/>
    </row>
    <row r="1020" spans="1:26" ht="14.25" customHeight="1" x14ac:dyDescent="0.3">
      <c r="A1020" s="102"/>
      <c r="B1020" s="102"/>
      <c r="C1020" s="102"/>
      <c r="D1020" s="102"/>
      <c r="E1020" s="102"/>
      <c r="F1020" s="102"/>
      <c r="G1020" s="102"/>
      <c r="H1020" s="102"/>
      <c r="I1020" s="102"/>
      <c r="J1020" s="102"/>
      <c r="K1020" s="102"/>
      <c r="L1020" s="102"/>
      <c r="M1020" s="102"/>
      <c r="N1020" s="102"/>
      <c r="O1020" s="102"/>
      <c r="P1020" s="102"/>
      <c r="Q1020" s="102"/>
      <c r="R1020" s="102"/>
      <c r="S1020" s="102"/>
      <c r="T1020" s="102"/>
      <c r="U1020" s="102"/>
      <c r="V1020" s="102"/>
      <c r="W1020" s="102"/>
      <c r="X1020" s="102"/>
      <c r="Y1020" s="102"/>
      <c r="Z1020" s="102"/>
    </row>
    <row r="1021" spans="1:26" ht="14.25" customHeight="1" x14ac:dyDescent="0.3">
      <c r="A1021" s="102"/>
      <c r="B1021" s="102"/>
      <c r="C1021" s="102"/>
      <c r="D1021" s="102"/>
      <c r="E1021" s="102"/>
      <c r="F1021" s="102"/>
      <c r="G1021" s="102"/>
      <c r="H1021" s="102"/>
      <c r="I1021" s="102"/>
      <c r="J1021" s="102"/>
      <c r="K1021" s="102"/>
      <c r="L1021" s="102"/>
      <c r="M1021" s="102"/>
      <c r="N1021" s="102"/>
      <c r="O1021" s="102"/>
      <c r="P1021" s="102"/>
      <c r="Q1021" s="102"/>
      <c r="R1021" s="102"/>
      <c r="S1021" s="102"/>
      <c r="T1021" s="102"/>
      <c r="U1021" s="102"/>
      <c r="V1021" s="102"/>
      <c r="W1021" s="102"/>
      <c r="X1021" s="102"/>
      <c r="Y1021" s="102"/>
      <c r="Z1021" s="102"/>
    </row>
    <row r="1022" spans="1:26" ht="14.25" customHeight="1" x14ac:dyDescent="0.3">
      <c r="A1022" s="102"/>
      <c r="B1022" s="102"/>
      <c r="C1022" s="102"/>
      <c r="D1022" s="102"/>
      <c r="E1022" s="102"/>
      <c r="F1022" s="102"/>
      <c r="G1022" s="102"/>
      <c r="H1022" s="102"/>
      <c r="I1022" s="102"/>
      <c r="J1022" s="102"/>
      <c r="K1022" s="102"/>
      <c r="L1022" s="102"/>
      <c r="M1022" s="102"/>
      <c r="N1022" s="102"/>
      <c r="O1022" s="102"/>
      <c r="P1022" s="102"/>
      <c r="Q1022" s="102"/>
      <c r="R1022" s="102"/>
      <c r="S1022" s="102"/>
      <c r="T1022" s="102"/>
      <c r="U1022" s="102"/>
      <c r="V1022" s="102"/>
      <c r="W1022" s="102"/>
      <c r="X1022" s="102"/>
      <c r="Y1022" s="102"/>
      <c r="Z1022" s="102"/>
    </row>
    <row r="1023" spans="1:26" ht="14.25" customHeight="1" x14ac:dyDescent="0.3">
      <c r="A1023" s="102"/>
      <c r="B1023" s="102"/>
      <c r="C1023" s="102"/>
      <c r="D1023" s="102"/>
      <c r="E1023" s="102"/>
      <c r="F1023" s="102"/>
      <c r="G1023" s="102"/>
      <c r="H1023" s="102"/>
      <c r="I1023" s="102"/>
      <c r="J1023" s="102"/>
      <c r="K1023" s="102"/>
      <c r="L1023" s="102"/>
      <c r="M1023" s="102"/>
      <c r="N1023" s="102"/>
      <c r="O1023" s="102"/>
      <c r="P1023" s="102"/>
      <c r="Q1023" s="102"/>
      <c r="R1023" s="102"/>
      <c r="S1023" s="102"/>
      <c r="T1023" s="102"/>
      <c r="U1023" s="102"/>
      <c r="V1023" s="102"/>
      <c r="W1023" s="102"/>
      <c r="X1023" s="102"/>
      <c r="Y1023" s="102"/>
      <c r="Z1023" s="102"/>
    </row>
    <row r="1024" spans="1:26" ht="14.25" customHeight="1" x14ac:dyDescent="0.3">
      <c r="A1024" s="102"/>
      <c r="B1024" s="102"/>
      <c r="C1024" s="102"/>
      <c r="D1024" s="102"/>
      <c r="E1024" s="102"/>
      <c r="F1024" s="102"/>
      <c r="G1024" s="102"/>
      <c r="H1024" s="102"/>
      <c r="I1024" s="102"/>
      <c r="J1024" s="102"/>
      <c r="K1024" s="102"/>
      <c r="L1024" s="102"/>
      <c r="M1024" s="102"/>
      <c r="N1024" s="102"/>
      <c r="O1024" s="102"/>
      <c r="P1024" s="102"/>
      <c r="Q1024" s="102"/>
      <c r="R1024" s="102"/>
      <c r="S1024" s="102"/>
      <c r="T1024" s="102"/>
      <c r="U1024" s="102"/>
      <c r="V1024" s="102"/>
      <c r="W1024" s="102"/>
      <c r="X1024" s="102"/>
      <c r="Y1024" s="102"/>
      <c r="Z1024" s="102"/>
    </row>
    <row r="1025" spans="1:26" ht="14.25" customHeight="1" x14ac:dyDescent="0.3">
      <c r="A1025" s="102"/>
      <c r="B1025" s="102"/>
      <c r="C1025" s="102"/>
      <c r="D1025" s="102"/>
      <c r="E1025" s="102"/>
      <c r="F1025" s="102"/>
      <c r="G1025" s="102"/>
      <c r="H1025" s="102"/>
      <c r="I1025" s="102"/>
      <c r="J1025" s="102"/>
      <c r="K1025" s="102"/>
      <c r="L1025" s="102"/>
      <c r="M1025" s="102"/>
      <c r="N1025" s="102"/>
      <c r="O1025" s="102"/>
      <c r="P1025" s="102"/>
      <c r="Q1025" s="102"/>
      <c r="R1025" s="102"/>
      <c r="S1025" s="102"/>
      <c r="T1025" s="102"/>
      <c r="U1025" s="102"/>
      <c r="V1025" s="102"/>
      <c r="W1025" s="102"/>
      <c r="X1025" s="102"/>
      <c r="Y1025" s="102"/>
      <c r="Z1025" s="102"/>
    </row>
    <row r="1026" spans="1:26" ht="14.25" customHeight="1" x14ac:dyDescent="0.3">
      <c r="A1026" s="102"/>
      <c r="B1026" s="102"/>
      <c r="C1026" s="102"/>
      <c r="D1026" s="102"/>
      <c r="E1026" s="102"/>
      <c r="F1026" s="102"/>
      <c r="G1026" s="102"/>
      <c r="H1026" s="102"/>
      <c r="I1026" s="102"/>
      <c r="J1026" s="102"/>
      <c r="K1026" s="102"/>
      <c r="L1026" s="102"/>
      <c r="M1026" s="102"/>
      <c r="N1026" s="102"/>
      <c r="O1026" s="102"/>
      <c r="P1026" s="102"/>
      <c r="Q1026" s="102"/>
      <c r="R1026" s="102"/>
      <c r="S1026" s="102"/>
      <c r="T1026" s="102"/>
      <c r="U1026" s="102"/>
      <c r="V1026" s="102"/>
      <c r="W1026" s="102"/>
      <c r="X1026" s="102"/>
      <c r="Y1026" s="102"/>
      <c r="Z1026" s="102"/>
    </row>
    <row r="1027" spans="1:26" ht="14.25" customHeight="1" x14ac:dyDescent="0.3">
      <c r="A1027" s="102"/>
      <c r="B1027" s="102"/>
      <c r="C1027" s="102"/>
      <c r="D1027" s="102"/>
      <c r="E1027" s="102"/>
      <c r="F1027" s="102"/>
      <c r="G1027" s="102"/>
      <c r="H1027" s="102"/>
      <c r="I1027" s="102"/>
      <c r="J1027" s="102"/>
      <c r="K1027" s="102"/>
      <c r="L1027" s="102"/>
      <c r="M1027" s="102"/>
      <c r="N1027" s="102"/>
      <c r="O1027" s="102"/>
      <c r="P1027" s="102"/>
      <c r="Q1027" s="102"/>
      <c r="R1027" s="102"/>
      <c r="S1027" s="102"/>
      <c r="T1027" s="102"/>
      <c r="U1027" s="102"/>
      <c r="V1027" s="102"/>
      <c r="W1027" s="102"/>
      <c r="X1027" s="102"/>
      <c r="Y1027" s="102"/>
      <c r="Z1027" s="102"/>
    </row>
    <row r="1028" spans="1:26" ht="14.25" customHeight="1" x14ac:dyDescent="0.3">
      <c r="A1028" s="102"/>
      <c r="B1028" s="102"/>
      <c r="C1028" s="102"/>
      <c r="D1028" s="102"/>
      <c r="E1028" s="102"/>
      <c r="F1028" s="102"/>
      <c r="G1028" s="102"/>
      <c r="H1028" s="102"/>
      <c r="I1028" s="102"/>
      <c r="J1028" s="102"/>
      <c r="K1028" s="102"/>
      <c r="L1028" s="102"/>
      <c r="M1028" s="102"/>
      <c r="N1028" s="102"/>
      <c r="O1028" s="102"/>
      <c r="P1028" s="102"/>
      <c r="Q1028" s="102"/>
      <c r="R1028" s="102"/>
      <c r="S1028" s="102"/>
      <c r="T1028" s="102"/>
      <c r="U1028" s="102"/>
      <c r="V1028" s="102"/>
      <c r="W1028" s="102"/>
      <c r="X1028" s="102"/>
      <c r="Y1028" s="102"/>
      <c r="Z1028" s="102"/>
    </row>
  </sheetData>
  <mergeCells count="100">
    <mergeCell ref="D131:E131"/>
    <mergeCell ref="F131:G131"/>
    <mergeCell ref="H131:J131"/>
    <mergeCell ref="D132:E132"/>
    <mergeCell ref="F132:G132"/>
    <mergeCell ref="H132:J132"/>
    <mergeCell ref="D129:E129"/>
    <mergeCell ref="F129:G129"/>
    <mergeCell ref="H129:J129"/>
    <mergeCell ref="D130:E130"/>
    <mergeCell ref="F130:G130"/>
    <mergeCell ref="H130:J130"/>
    <mergeCell ref="D127:E127"/>
    <mergeCell ref="F127:G127"/>
    <mergeCell ref="H127:J127"/>
    <mergeCell ref="D128:E128"/>
    <mergeCell ref="F128:G128"/>
    <mergeCell ref="H128:J128"/>
    <mergeCell ref="D125:E125"/>
    <mergeCell ref="F125:G125"/>
    <mergeCell ref="H125:J125"/>
    <mergeCell ref="D126:E126"/>
    <mergeCell ref="F126:G126"/>
    <mergeCell ref="H126:J126"/>
    <mergeCell ref="D123:E123"/>
    <mergeCell ref="F123:G123"/>
    <mergeCell ref="H123:J123"/>
    <mergeCell ref="D124:E124"/>
    <mergeCell ref="F124:G124"/>
    <mergeCell ref="H124:J124"/>
    <mergeCell ref="C121:C122"/>
    <mergeCell ref="D121:E121"/>
    <mergeCell ref="F121:G121"/>
    <mergeCell ref="H121:J121"/>
    <mergeCell ref="D122:E122"/>
    <mergeCell ref="F122:G122"/>
    <mergeCell ref="H122:J122"/>
    <mergeCell ref="D103:E103"/>
    <mergeCell ref="F103:G103"/>
    <mergeCell ref="H103:J103"/>
    <mergeCell ref="D101:E101"/>
    <mergeCell ref="F101:G101"/>
    <mergeCell ref="H101:J101"/>
    <mergeCell ref="D102:E102"/>
    <mergeCell ref="F102:G102"/>
    <mergeCell ref="H102:J102"/>
    <mergeCell ref="D99:E99"/>
    <mergeCell ref="F99:G99"/>
    <mergeCell ref="H99:J99"/>
    <mergeCell ref="D100:E100"/>
    <mergeCell ref="F100:G100"/>
    <mergeCell ref="H100:J100"/>
    <mergeCell ref="D97:E97"/>
    <mergeCell ref="F97:G97"/>
    <mergeCell ref="H97:J97"/>
    <mergeCell ref="D98:E98"/>
    <mergeCell ref="F98:G98"/>
    <mergeCell ref="H98:J98"/>
    <mergeCell ref="D95:E95"/>
    <mergeCell ref="F95:G95"/>
    <mergeCell ref="H95:J95"/>
    <mergeCell ref="D96:E96"/>
    <mergeCell ref="F96:G96"/>
    <mergeCell ref="H96:J96"/>
    <mergeCell ref="D93:E93"/>
    <mergeCell ref="F93:G93"/>
    <mergeCell ref="H93:J93"/>
    <mergeCell ref="D94:E94"/>
    <mergeCell ref="F94:G94"/>
    <mergeCell ref="H94:J94"/>
    <mergeCell ref="D91:E91"/>
    <mergeCell ref="F91:G91"/>
    <mergeCell ref="H91:J91"/>
    <mergeCell ref="D92:E92"/>
    <mergeCell ref="F92:G92"/>
    <mergeCell ref="H92:J92"/>
    <mergeCell ref="D89:E89"/>
    <mergeCell ref="F89:G89"/>
    <mergeCell ref="H89:J89"/>
    <mergeCell ref="D90:E90"/>
    <mergeCell ref="F90:G90"/>
    <mergeCell ref="H90:J90"/>
    <mergeCell ref="D88:E88"/>
    <mergeCell ref="F88:G88"/>
    <mergeCell ref="H88:J88"/>
    <mergeCell ref="A7:L7"/>
    <mergeCell ref="A8:L8"/>
    <mergeCell ref="H86:J86"/>
    <mergeCell ref="D87:E87"/>
    <mergeCell ref="F87:G87"/>
    <mergeCell ref="H87:J87"/>
    <mergeCell ref="F9:I9"/>
    <mergeCell ref="D35:K36"/>
    <mergeCell ref="C71:G71"/>
    <mergeCell ref="H85:J85"/>
    <mergeCell ref="D85:E85"/>
    <mergeCell ref="F85:G85"/>
    <mergeCell ref="C85:C86"/>
    <mergeCell ref="D86:E86"/>
    <mergeCell ref="F86:G86"/>
  </mergeCells>
  <pageMargins left="0" right="0" top="0.35433070866141736" bottom="3.937007874015748E-2" header="0" footer="0"/>
  <pageSetup paperSize="9" scale="9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F4B2-FAC5-4C83-8997-F323C646A904}">
  <sheetPr>
    <tabColor rgb="FF00B050"/>
  </sheetPr>
  <dimension ref="A1:Z1000"/>
  <sheetViews>
    <sheetView topLeftCell="A35" zoomScale="79" zoomScaleNormal="79" workbookViewId="0">
      <selection activeCell="C48" sqref="C48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187" t="s">
        <v>31</v>
      </c>
      <c r="N2" s="187" t="s">
        <v>46</v>
      </c>
      <c r="O2" s="187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264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1E-3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1.0000000000000001E-5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N3</f>
        <v>1.003E-3</v>
      </c>
      <c r="D52" s="3" t="s">
        <v>113</v>
      </c>
    </row>
    <row r="53" spans="1:7" ht="14.25" customHeight="1" x14ac:dyDescent="0.3">
      <c r="B53" s="3" t="s">
        <v>122</v>
      </c>
      <c r="C53" s="36">
        <f>O3</f>
        <v>2E-3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61">
        <v>1E-3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62">
        <v>1E-3</v>
      </c>
      <c r="G58" s="49">
        <f>B58-B57</f>
        <v>0</v>
      </c>
    </row>
    <row r="59" spans="1:7" ht="14.25" customHeight="1" x14ac:dyDescent="0.3">
      <c r="A59" s="28" t="s">
        <v>133</v>
      </c>
      <c r="B59" s="162">
        <v>9.7999999999999997E-4</v>
      </c>
      <c r="G59" s="47"/>
    </row>
    <row r="60" spans="1:7" ht="14.25" customHeight="1" x14ac:dyDescent="0.3">
      <c r="A60" s="28" t="s">
        <v>134</v>
      </c>
      <c r="B60" s="162">
        <v>9.8999999999999999E-4</v>
      </c>
      <c r="G60" s="49">
        <f>B59-B60</f>
        <v>-1.0000000000000026E-5</v>
      </c>
    </row>
    <row r="61" spans="1:7" ht="14.25" customHeight="1" x14ac:dyDescent="0.3">
      <c r="A61" s="28" t="s">
        <v>135</v>
      </c>
      <c r="B61" s="50"/>
      <c r="C61" s="162">
        <v>9.7000000000000005E-4</v>
      </c>
      <c r="G61" s="47"/>
    </row>
    <row r="62" spans="1:7" ht="14.25" customHeight="1" x14ac:dyDescent="0.3">
      <c r="A62" s="28" t="s">
        <v>136</v>
      </c>
      <c r="B62" s="50"/>
      <c r="C62" s="162">
        <v>9.7000000000000005E-4</v>
      </c>
      <c r="G62" s="47">
        <f>C62-C61</f>
        <v>0</v>
      </c>
    </row>
    <row r="63" spans="1:7" ht="14.25" customHeight="1" x14ac:dyDescent="0.3">
      <c r="A63" s="28" t="s">
        <v>137</v>
      </c>
      <c r="B63" s="50"/>
      <c r="C63" s="162">
        <v>1E-3</v>
      </c>
      <c r="G63" s="47"/>
    </row>
    <row r="64" spans="1:7" ht="14.25" customHeight="1" x14ac:dyDescent="0.3">
      <c r="A64" s="28" t="s">
        <v>138</v>
      </c>
      <c r="B64" s="50"/>
      <c r="C64" s="162">
        <v>9.7999999999999997E-4</v>
      </c>
      <c r="G64" s="47">
        <f>C63-C64</f>
        <v>2.0000000000000052E-5</v>
      </c>
    </row>
    <row r="65" spans="1:19" ht="14.25" customHeight="1" x14ac:dyDescent="0.3">
      <c r="A65" s="28" t="s">
        <v>139</v>
      </c>
      <c r="B65" s="50"/>
      <c r="C65" s="163"/>
      <c r="D65" s="162">
        <v>9.8999999999999999E-4</v>
      </c>
      <c r="G65" s="47"/>
    </row>
    <row r="66" spans="1:19" ht="14.25" customHeight="1" x14ac:dyDescent="0.3">
      <c r="A66" s="28" t="s">
        <v>140</v>
      </c>
      <c r="B66" s="50"/>
      <c r="D66" s="162">
        <v>9.8999999999999999E-4</v>
      </c>
      <c r="G66" s="47">
        <f>D66-D65</f>
        <v>0</v>
      </c>
    </row>
    <row r="67" spans="1:19" ht="14.25" customHeight="1" x14ac:dyDescent="0.3">
      <c r="A67" s="28" t="s">
        <v>141</v>
      </c>
      <c r="B67" s="50"/>
      <c r="D67" s="162">
        <v>1E-3</v>
      </c>
      <c r="G67" s="47"/>
    </row>
    <row r="68" spans="1:19" ht="14.25" customHeight="1" x14ac:dyDescent="0.3">
      <c r="A68" s="28" t="s">
        <v>142</v>
      </c>
      <c r="B68" s="50"/>
      <c r="D68" s="162">
        <v>1E-3</v>
      </c>
      <c r="G68" s="47">
        <f>D67-D68</f>
        <v>0</v>
      </c>
    </row>
    <row r="69" spans="1:19" ht="14.25" customHeight="1" x14ac:dyDescent="0.3">
      <c r="A69" s="28" t="s">
        <v>143</v>
      </c>
      <c r="B69" s="50"/>
      <c r="E69" s="162">
        <v>9.7999999999999997E-4</v>
      </c>
      <c r="G69" s="47"/>
    </row>
    <row r="70" spans="1:19" ht="14.25" customHeight="1" x14ac:dyDescent="0.3">
      <c r="A70" s="28" t="s">
        <v>144</v>
      </c>
      <c r="B70" s="50"/>
      <c r="E70" s="162">
        <v>1E-3</v>
      </c>
      <c r="G70" s="47">
        <f>E70-E69</f>
        <v>2.0000000000000052E-5</v>
      </c>
    </row>
    <row r="71" spans="1:19" ht="14.25" customHeight="1" x14ac:dyDescent="0.3">
      <c r="A71" s="28" t="s">
        <v>145</v>
      </c>
      <c r="B71" s="50"/>
      <c r="E71" s="162">
        <v>9.7999999999999997E-4</v>
      </c>
      <c r="G71" s="47"/>
    </row>
    <row r="72" spans="1:19" ht="14.25" customHeight="1" x14ac:dyDescent="0.3">
      <c r="A72" s="28" t="s">
        <v>146</v>
      </c>
      <c r="B72" s="50"/>
      <c r="E72" s="162">
        <v>9.7999999999999997E-4</v>
      </c>
      <c r="G72" s="47">
        <f>E71-E72</f>
        <v>0</v>
      </c>
    </row>
    <row r="73" spans="1:19" ht="14.25" customHeight="1" x14ac:dyDescent="0.3">
      <c r="A73" s="28" t="s">
        <v>147</v>
      </c>
      <c r="B73" s="50"/>
      <c r="F73" s="162">
        <v>1.01E-3</v>
      </c>
      <c r="G73" s="47"/>
    </row>
    <row r="74" spans="1:19" ht="14.25" customHeight="1" x14ac:dyDescent="0.3">
      <c r="A74" s="28" t="s">
        <v>148</v>
      </c>
      <c r="B74" s="50"/>
      <c r="F74" s="162">
        <v>1.01E-3</v>
      </c>
      <c r="G74" s="47">
        <f>F74-F73</f>
        <v>0</v>
      </c>
    </row>
    <row r="75" spans="1:19" ht="14.25" customHeight="1" x14ac:dyDescent="0.3">
      <c r="A75" s="28" t="s">
        <v>149</v>
      </c>
      <c r="B75" s="50"/>
      <c r="F75" s="162">
        <v>1.01E-3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64">
        <v>9.8999999999999999E-4</v>
      </c>
      <c r="G76" s="53">
        <f>F75-F76</f>
        <v>2.0000000000000052E-5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5.0000000000000131E-6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1.0246950765959624E-5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4.0999999999999997E-6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1.008E-3</v>
      </c>
      <c r="H84" s="27" t="s">
        <v>113</v>
      </c>
    </row>
    <row r="85" spans="2:12" ht="14.25" customHeight="1" x14ac:dyDescent="0.3">
      <c r="G85" s="57">
        <f>G84</f>
        <v>1.008E-3</v>
      </c>
    </row>
    <row r="86" spans="2:12" ht="14.25" customHeight="1" x14ac:dyDescent="0.3">
      <c r="F86" s="27" t="s">
        <v>155</v>
      </c>
      <c r="G86" s="27">
        <f>IF(G80&gt;G82,G80,G82)</f>
        <v>1.0246950765959624E-5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1E-3</v>
      </c>
      <c r="D92" s="60" t="s">
        <v>113</v>
      </c>
      <c r="E92" s="66"/>
      <c r="F92" s="59" t="s">
        <v>289</v>
      </c>
      <c r="G92" s="59">
        <f>S26</f>
        <v>6.0000000000000001E-3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2E-3</v>
      </c>
      <c r="F97" s="71">
        <v>2</v>
      </c>
      <c r="G97" s="71">
        <v>60</v>
      </c>
      <c r="H97" s="71">
        <f t="shared" ref="H97:H101" si="1">E97/F97</f>
        <v>1E-3</v>
      </c>
      <c r="I97" s="71">
        <v>1</v>
      </c>
      <c r="J97" s="71">
        <f t="shared" ref="J97:J101" si="2">H97*I97</f>
        <v>1E-3</v>
      </c>
      <c r="K97" s="71">
        <f t="shared" ref="K97:K101" si="3">J97^2</f>
        <v>9.9999999999999995E-7</v>
      </c>
      <c r="L97" s="71">
        <f t="shared" ref="L97:L101" si="4">J97^4/G97</f>
        <v>1.6666666666666667E-14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3.2403703492039386E-3</v>
      </c>
      <c r="F98" s="74">
        <v>1</v>
      </c>
      <c r="G98" s="74">
        <f>IF(G80&gt;G82,9,1000)</f>
        <v>9</v>
      </c>
      <c r="H98" s="74">
        <f t="shared" si="1"/>
        <v>3.2403703492039386E-3</v>
      </c>
      <c r="I98" s="74">
        <v>1</v>
      </c>
      <c r="J98" s="74">
        <f t="shared" si="2"/>
        <v>3.2403703492039386E-3</v>
      </c>
      <c r="K98" s="74">
        <f t="shared" si="3"/>
        <v>1.0500000000000055E-5</v>
      </c>
      <c r="L98" s="74">
        <f t="shared" si="4"/>
        <v>1.2250000000000129E-11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v>5.0000000000000002E-5</v>
      </c>
      <c r="F99" s="77">
        <f>SQRT(3)</f>
        <v>1.7320508075688772</v>
      </c>
      <c r="G99" s="77">
        <v>1000</v>
      </c>
      <c r="H99" s="77">
        <f t="shared" si="1"/>
        <v>2.8867513459481293E-5</v>
      </c>
      <c r="I99" s="77">
        <v>1</v>
      </c>
      <c r="J99" s="77">
        <f t="shared" si="2"/>
        <v>2.8867513459481293E-5</v>
      </c>
      <c r="K99" s="77">
        <f t="shared" si="3"/>
        <v>8.3333333333333356E-10</v>
      </c>
      <c r="L99" s="77">
        <f t="shared" si="4"/>
        <v>6.9444444444444482E-22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195">
        <f>0.08*G92</f>
        <v>4.8000000000000001E-4</v>
      </c>
      <c r="F100" s="77">
        <v>1</v>
      </c>
      <c r="G100" s="77">
        <v>4</v>
      </c>
      <c r="H100" s="77">
        <f t="shared" si="1"/>
        <v>4.8000000000000001E-4</v>
      </c>
      <c r="I100" s="77">
        <v>1</v>
      </c>
      <c r="J100" s="77">
        <f t="shared" si="2"/>
        <v>4.8000000000000001E-4</v>
      </c>
      <c r="K100" s="77">
        <f t="shared" si="3"/>
        <v>2.304E-7</v>
      </c>
      <c r="L100" s="77">
        <f t="shared" si="4"/>
        <v>1.327104E-14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4.1040000000000007E-9</v>
      </c>
      <c r="F101" s="79">
        <v>1</v>
      </c>
      <c r="G101" s="79">
        <v>1000</v>
      </c>
      <c r="H101" s="79">
        <f t="shared" si="1"/>
        <v>4.1040000000000007E-9</v>
      </c>
      <c r="I101" s="79">
        <v>1</v>
      </c>
      <c r="J101" s="79">
        <f t="shared" si="2"/>
        <v>4.1040000000000007E-9</v>
      </c>
      <c r="K101" s="79">
        <f t="shared" si="3"/>
        <v>1.6842816000000006E-17</v>
      </c>
      <c r="L101" s="79">
        <f t="shared" si="4"/>
        <v>2.8368045080985618E-37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1.1731233333350232E-5</v>
      </c>
      <c r="L102" s="71">
        <f t="shared" si="5"/>
        <v>1.227993770736124E-11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3.4250888066370238E-3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11.207046713193815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2.2009851600916384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7.5385696354040689E-3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196">
        <f>K105*K103</f>
        <v>7.5385696354040689E-3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2.5999999999999999E-2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5EA9-21C3-4D17-BBEC-45C46E0EEF9E}">
  <sheetPr>
    <tabColor rgb="FF00B050"/>
  </sheetPr>
  <dimension ref="A1:Z1000"/>
  <sheetViews>
    <sheetView topLeftCell="A62" zoomScale="79" zoomScaleNormal="79" workbookViewId="0">
      <selection activeCell="K109" sqref="K109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264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2E-3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1.0000000000000001E-5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N4</f>
        <v>2.003E-3</v>
      </c>
      <c r="D52" s="3" t="s">
        <v>113</v>
      </c>
    </row>
    <row r="53" spans="1:7" ht="14.25" customHeight="1" x14ac:dyDescent="0.3">
      <c r="B53" s="3" t="s">
        <v>122</v>
      </c>
      <c r="C53" s="35">
        <f>O4</f>
        <v>2E-3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61">
        <v>2.0100000000000001E-3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62">
        <v>2.0100000000000001E-3</v>
      </c>
      <c r="G58" s="49">
        <f>B58-B57</f>
        <v>0</v>
      </c>
    </row>
    <row r="59" spans="1:7" ht="14.25" customHeight="1" x14ac:dyDescent="0.3">
      <c r="A59" s="28" t="s">
        <v>133</v>
      </c>
      <c r="B59" s="162">
        <v>2.0200000000000001E-3</v>
      </c>
      <c r="G59" s="47"/>
    </row>
    <row r="60" spans="1:7" ht="14.25" customHeight="1" x14ac:dyDescent="0.3">
      <c r="A60" s="28" t="s">
        <v>134</v>
      </c>
      <c r="B60" s="162">
        <v>2.0200000000000001E-3</v>
      </c>
      <c r="G60" s="49">
        <f>B59-B60</f>
        <v>0</v>
      </c>
    </row>
    <row r="61" spans="1:7" ht="14.25" customHeight="1" x14ac:dyDescent="0.3">
      <c r="A61" s="28" t="s">
        <v>135</v>
      </c>
      <c r="B61" s="50"/>
      <c r="C61" s="162">
        <v>2.0100000000000001E-3</v>
      </c>
      <c r="G61" s="47"/>
    </row>
    <row r="62" spans="1:7" ht="14.25" customHeight="1" x14ac:dyDescent="0.3">
      <c r="A62" s="28" t="s">
        <v>136</v>
      </c>
      <c r="B62" s="50"/>
      <c r="C62" s="162">
        <v>2E-3</v>
      </c>
      <c r="G62" s="47">
        <f>C62-C61</f>
        <v>-1.0000000000000026E-5</v>
      </c>
    </row>
    <row r="63" spans="1:7" ht="14.25" customHeight="1" x14ac:dyDescent="0.3">
      <c r="A63" s="28" t="s">
        <v>137</v>
      </c>
      <c r="B63" s="50"/>
      <c r="C63" s="162">
        <v>2.0100000000000001E-3</v>
      </c>
      <c r="G63" s="47"/>
    </row>
    <row r="64" spans="1:7" ht="14.25" customHeight="1" x14ac:dyDescent="0.3">
      <c r="A64" s="28" t="s">
        <v>138</v>
      </c>
      <c r="B64" s="50"/>
      <c r="C64" s="162">
        <v>2.0200000000000001E-3</v>
      </c>
      <c r="G64" s="47">
        <f>C63-C64</f>
        <v>-1.0000000000000026E-5</v>
      </c>
    </row>
    <row r="65" spans="1:19" ht="14.25" customHeight="1" x14ac:dyDescent="0.3">
      <c r="A65" s="28" t="s">
        <v>139</v>
      </c>
      <c r="B65" s="50"/>
      <c r="D65" s="162">
        <v>2.0200000000000001E-3</v>
      </c>
      <c r="G65" s="47"/>
    </row>
    <row r="66" spans="1:19" ht="14.25" customHeight="1" x14ac:dyDescent="0.3">
      <c r="A66" s="28" t="s">
        <v>140</v>
      </c>
      <c r="B66" s="50"/>
      <c r="D66" s="162">
        <v>1.99E-3</v>
      </c>
      <c r="G66" s="47">
        <f>D66-D65</f>
        <v>-3.0000000000000079E-5</v>
      </c>
    </row>
    <row r="67" spans="1:19" ht="14.25" customHeight="1" x14ac:dyDescent="0.3">
      <c r="A67" s="28" t="s">
        <v>141</v>
      </c>
      <c r="B67" s="50"/>
      <c r="D67" s="162">
        <v>2.0300000000000001E-3</v>
      </c>
      <c r="G67" s="47"/>
    </row>
    <row r="68" spans="1:19" ht="14.25" customHeight="1" x14ac:dyDescent="0.3">
      <c r="A68" s="28" t="s">
        <v>142</v>
      </c>
      <c r="B68" s="50"/>
      <c r="D68" s="162">
        <v>2.0200000000000001E-3</v>
      </c>
      <c r="G68" s="47">
        <f>D67-D68</f>
        <v>1.0000000000000026E-5</v>
      </c>
    </row>
    <row r="69" spans="1:19" ht="14.25" customHeight="1" x14ac:dyDescent="0.3">
      <c r="A69" s="28" t="s">
        <v>143</v>
      </c>
      <c r="B69" s="50"/>
      <c r="E69" s="162">
        <v>2.0300000000000001E-3</v>
      </c>
      <c r="G69" s="47"/>
    </row>
    <row r="70" spans="1:19" ht="14.25" customHeight="1" x14ac:dyDescent="0.3">
      <c r="A70" s="28" t="s">
        <v>144</v>
      </c>
      <c r="B70" s="50"/>
      <c r="E70" s="162">
        <v>2.0100000000000001E-3</v>
      </c>
      <c r="G70" s="47">
        <f>E70-E69</f>
        <v>-2.0000000000000052E-5</v>
      </c>
    </row>
    <row r="71" spans="1:19" ht="14.25" customHeight="1" x14ac:dyDescent="0.3">
      <c r="A71" s="28" t="s">
        <v>145</v>
      </c>
      <c r="B71" s="50"/>
      <c r="E71" s="162">
        <v>2.0200000000000001E-3</v>
      </c>
      <c r="G71" s="47"/>
    </row>
    <row r="72" spans="1:19" ht="14.25" customHeight="1" x14ac:dyDescent="0.3">
      <c r="A72" s="28" t="s">
        <v>146</v>
      </c>
      <c r="B72" s="50"/>
      <c r="E72" s="162">
        <v>2E-3</v>
      </c>
      <c r="G72" s="47">
        <f>E71-E72</f>
        <v>2.0000000000000052E-5</v>
      </c>
    </row>
    <row r="73" spans="1:19" ht="14.25" customHeight="1" x14ac:dyDescent="0.3">
      <c r="A73" s="28" t="s">
        <v>147</v>
      </c>
      <c r="B73" s="50"/>
      <c r="F73" s="162">
        <v>1.98E-3</v>
      </c>
      <c r="G73" s="47"/>
    </row>
    <row r="74" spans="1:19" ht="14.25" customHeight="1" x14ac:dyDescent="0.3">
      <c r="A74" s="28" t="s">
        <v>148</v>
      </c>
      <c r="B74" s="50"/>
      <c r="F74" s="162">
        <v>2.0200000000000001E-3</v>
      </c>
      <c r="G74" s="47">
        <f>F74-F73</f>
        <v>4.0000000000000105E-5</v>
      </c>
    </row>
    <row r="75" spans="1:19" ht="14.25" customHeight="1" x14ac:dyDescent="0.3">
      <c r="A75" s="28" t="s">
        <v>149</v>
      </c>
      <c r="B75" s="50"/>
      <c r="F75" s="162">
        <v>2.0300000000000001E-3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64">
        <v>2.0100000000000001E-3</v>
      </c>
      <c r="G76" s="53">
        <f>F75-F76</f>
        <v>2.0000000000000052E-5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2.0000000000000054E-6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1.989974874213245E-5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4.0999999999999997E-6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2.0049999999999998E-3</v>
      </c>
      <c r="H84" s="27" t="s">
        <v>113</v>
      </c>
    </row>
    <row r="85" spans="2:12" ht="14.25" customHeight="1" x14ac:dyDescent="0.3">
      <c r="G85" s="57">
        <f>G84</f>
        <v>2.0049999999999998E-3</v>
      </c>
    </row>
    <row r="86" spans="2:12" ht="14.25" customHeight="1" x14ac:dyDescent="0.3">
      <c r="F86" s="27" t="s">
        <v>155</v>
      </c>
      <c r="G86" s="27">
        <f>IF(G80&gt;G82,G80,G82)</f>
        <v>1.989974874213245E-5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2E-3</v>
      </c>
      <c r="D92" s="60" t="s">
        <v>113</v>
      </c>
      <c r="E92" s="66"/>
      <c r="F92" s="59" t="s">
        <v>290</v>
      </c>
      <c r="G92" s="59">
        <f>S25</f>
        <v>6.0000000000000001E-3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2E-3</v>
      </c>
      <c r="F97" s="71">
        <v>2</v>
      </c>
      <c r="G97" s="71">
        <v>60</v>
      </c>
      <c r="H97" s="71">
        <f t="shared" ref="H97:H101" si="1">E97/F97</f>
        <v>1E-3</v>
      </c>
      <c r="I97" s="71">
        <v>1</v>
      </c>
      <c r="J97" s="71">
        <f t="shared" ref="J97:J101" si="2">H97*I97</f>
        <v>1E-3</v>
      </c>
      <c r="K97" s="71">
        <f t="shared" ref="K97:K101" si="3">J97^2</f>
        <v>9.9999999999999995E-7</v>
      </c>
      <c r="L97" s="71">
        <f t="shared" ref="L97:L101" si="4">J97^4/G97</f>
        <v>1.6666666666666667E-14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6.2928530890209253E-3</v>
      </c>
      <c r="F98" s="74">
        <v>1</v>
      </c>
      <c r="G98" s="74">
        <f>IF(G80&gt;G82,9,1000)</f>
        <v>9</v>
      </c>
      <c r="H98" s="74">
        <f t="shared" si="1"/>
        <v>6.2928530890209253E-3</v>
      </c>
      <c r="I98" s="74">
        <v>1</v>
      </c>
      <c r="J98" s="74">
        <f t="shared" si="2"/>
        <v>6.2928530890209253E-3</v>
      </c>
      <c r="K98" s="74">
        <f t="shared" si="3"/>
        <v>3.9600000000000204E-5</v>
      </c>
      <c r="L98" s="74">
        <f t="shared" si="4"/>
        <v>1.7424000000000179E-10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v>5.0000000000000002E-5</v>
      </c>
      <c r="F99" s="77">
        <f>SQRT(3)</f>
        <v>1.7320508075688772</v>
      </c>
      <c r="G99" s="77">
        <v>1000</v>
      </c>
      <c r="H99" s="77">
        <f t="shared" si="1"/>
        <v>2.8867513459481293E-5</v>
      </c>
      <c r="I99" s="77">
        <v>1</v>
      </c>
      <c r="J99" s="77">
        <f t="shared" si="2"/>
        <v>2.8867513459481293E-5</v>
      </c>
      <c r="K99" s="77">
        <f t="shared" si="3"/>
        <v>8.3333333333333356E-10</v>
      </c>
      <c r="L99" s="77">
        <f t="shared" si="4"/>
        <v>6.9444444444444482E-22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4.8000000000000001E-4</v>
      </c>
      <c r="F100" s="77">
        <v>1</v>
      </c>
      <c r="G100" s="77">
        <v>4</v>
      </c>
      <c r="H100" s="77">
        <f t="shared" si="1"/>
        <v>4.8000000000000001E-4</v>
      </c>
      <c r="I100" s="77">
        <v>1</v>
      </c>
      <c r="J100" s="77">
        <f t="shared" si="2"/>
        <v>4.8000000000000001E-4</v>
      </c>
      <c r="K100" s="77">
        <f t="shared" si="3"/>
        <v>2.304E-7</v>
      </c>
      <c r="L100" s="77">
        <f t="shared" si="4"/>
        <v>1.327104E-14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8.2080000000000014E-9</v>
      </c>
      <c r="F101" s="79">
        <v>1</v>
      </c>
      <c r="G101" s="79">
        <v>1000</v>
      </c>
      <c r="H101" s="79">
        <f t="shared" si="1"/>
        <v>8.2080000000000014E-9</v>
      </c>
      <c r="I101" s="79">
        <v>1</v>
      </c>
      <c r="J101" s="79">
        <f t="shared" si="2"/>
        <v>8.2080000000000014E-9</v>
      </c>
      <c r="K101" s="79">
        <f t="shared" si="3"/>
        <v>6.7371264000000022E-17</v>
      </c>
      <c r="L101" s="79">
        <f t="shared" si="4"/>
        <v>4.5388872129576989E-36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4.0831233333400903E-5</v>
      </c>
      <c r="L102" s="71">
        <f t="shared" si="5"/>
        <v>1.742699377073629E-10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6.3899321853522753E-3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9.5667080476393043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2.2621571627982053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1.4455030862889439E-2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1.4455030862889439E-2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2.5999999999999999E-2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46FA-3713-4E11-A58D-4366A62C0E38}">
  <sheetPr>
    <tabColor rgb="FF00B050"/>
  </sheetPr>
  <dimension ref="A1:Z1000"/>
  <sheetViews>
    <sheetView topLeftCell="A72" zoomScale="79" zoomScaleNormal="79" workbookViewId="0">
      <selection activeCell="K109" sqref="K109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264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2E-3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1.0000000000000001E-5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N5</f>
        <v>2.0010000000000002E-3</v>
      </c>
      <c r="D52" s="3" t="s">
        <v>113</v>
      </c>
    </row>
    <row r="53" spans="1:7" ht="14.25" customHeight="1" x14ac:dyDescent="0.3">
      <c r="B53" s="3" t="s">
        <v>122</v>
      </c>
      <c r="C53" s="36">
        <f>O5</f>
        <v>2E-3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61">
        <v>2E-3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62">
        <v>1.99E-3</v>
      </c>
      <c r="G58" s="49">
        <f>B58-B57</f>
        <v>-1.0000000000000026E-5</v>
      </c>
    </row>
    <row r="59" spans="1:7" ht="14.25" customHeight="1" x14ac:dyDescent="0.3">
      <c r="A59" s="28" t="s">
        <v>133</v>
      </c>
      <c r="B59" s="162">
        <v>1.99E-3</v>
      </c>
      <c r="G59" s="47"/>
    </row>
    <row r="60" spans="1:7" ht="14.25" customHeight="1" x14ac:dyDescent="0.3">
      <c r="A60" s="28" t="s">
        <v>134</v>
      </c>
      <c r="B60" s="162">
        <v>1.99E-3</v>
      </c>
      <c r="G60" s="49">
        <f>B59-B60</f>
        <v>0</v>
      </c>
    </row>
    <row r="61" spans="1:7" ht="14.25" customHeight="1" x14ac:dyDescent="0.3">
      <c r="A61" s="28" t="s">
        <v>135</v>
      </c>
      <c r="B61" s="50"/>
      <c r="C61" s="162">
        <v>2E-3</v>
      </c>
      <c r="G61" s="47"/>
    </row>
    <row r="62" spans="1:7" ht="14.25" customHeight="1" x14ac:dyDescent="0.3">
      <c r="A62" s="28" t="s">
        <v>136</v>
      </c>
      <c r="B62" s="50"/>
      <c r="C62" s="162">
        <v>1.99E-3</v>
      </c>
      <c r="G62" s="47">
        <f>C62-C61</f>
        <v>-1.0000000000000026E-5</v>
      </c>
    </row>
    <row r="63" spans="1:7" ht="14.25" customHeight="1" x14ac:dyDescent="0.3">
      <c r="A63" s="28" t="s">
        <v>137</v>
      </c>
      <c r="B63" s="50"/>
      <c r="C63" s="162">
        <v>1.99E-3</v>
      </c>
      <c r="G63" s="47"/>
    </row>
    <row r="64" spans="1:7" ht="14.25" customHeight="1" x14ac:dyDescent="0.3">
      <c r="A64" s="28" t="s">
        <v>138</v>
      </c>
      <c r="B64" s="50"/>
      <c r="C64" s="162">
        <v>2.0100000000000001E-3</v>
      </c>
      <c r="G64" s="197">
        <f>C63-C64</f>
        <v>-2.0000000000000052E-5</v>
      </c>
    </row>
    <row r="65" spans="1:19" ht="14.25" customHeight="1" x14ac:dyDescent="0.3">
      <c r="A65" s="28" t="s">
        <v>139</v>
      </c>
      <c r="B65" s="50"/>
      <c r="D65" s="162">
        <v>2E-3</v>
      </c>
      <c r="G65" s="47"/>
    </row>
    <row r="66" spans="1:19" ht="14.25" customHeight="1" x14ac:dyDescent="0.3">
      <c r="A66" s="28" t="s">
        <v>140</v>
      </c>
      <c r="B66" s="50"/>
      <c r="D66" s="162">
        <v>1.99E-3</v>
      </c>
      <c r="G66" s="47">
        <f>D66-D65</f>
        <v>-1.0000000000000026E-5</v>
      </c>
    </row>
    <row r="67" spans="1:19" ht="14.25" customHeight="1" x14ac:dyDescent="0.3">
      <c r="A67" s="28" t="s">
        <v>141</v>
      </c>
      <c r="B67" s="50"/>
      <c r="D67" s="162">
        <v>2.0100000000000001E-3</v>
      </c>
      <c r="G67" s="47"/>
    </row>
    <row r="68" spans="1:19" ht="14.25" customHeight="1" x14ac:dyDescent="0.3">
      <c r="A68" s="28" t="s">
        <v>142</v>
      </c>
      <c r="B68" s="50"/>
      <c r="D68" s="162">
        <v>2E-3</v>
      </c>
      <c r="G68" s="47">
        <f>D67-D68</f>
        <v>1.0000000000000026E-5</v>
      </c>
    </row>
    <row r="69" spans="1:19" ht="14.25" customHeight="1" x14ac:dyDescent="0.3">
      <c r="A69" s="28" t="s">
        <v>143</v>
      </c>
      <c r="B69" s="50"/>
      <c r="E69" s="162">
        <v>2E-3</v>
      </c>
      <c r="G69" s="47"/>
    </row>
    <row r="70" spans="1:19" ht="14.25" customHeight="1" x14ac:dyDescent="0.3">
      <c r="A70" s="28" t="s">
        <v>144</v>
      </c>
      <c r="B70" s="50"/>
      <c r="E70" s="162">
        <v>2.0100000000000001E-3</v>
      </c>
      <c r="G70" s="47">
        <f>E70-E69</f>
        <v>1.0000000000000026E-5</v>
      </c>
    </row>
    <row r="71" spans="1:19" ht="14.25" customHeight="1" x14ac:dyDescent="0.3">
      <c r="A71" s="28" t="s">
        <v>145</v>
      </c>
      <c r="B71" s="50"/>
      <c r="E71" s="162">
        <v>1.99E-3</v>
      </c>
      <c r="G71" s="47"/>
    </row>
    <row r="72" spans="1:19" ht="14.25" customHeight="1" x14ac:dyDescent="0.3">
      <c r="A72" s="28" t="s">
        <v>146</v>
      </c>
      <c r="B72" s="50"/>
      <c r="E72" s="162">
        <v>1.99E-3</v>
      </c>
      <c r="G72" s="47">
        <f>E71-E72</f>
        <v>0</v>
      </c>
    </row>
    <row r="73" spans="1:19" ht="14.25" customHeight="1" x14ac:dyDescent="0.3">
      <c r="A73" s="28" t="s">
        <v>147</v>
      </c>
      <c r="B73" s="50"/>
      <c r="F73" s="162">
        <v>2E-3</v>
      </c>
      <c r="G73" s="47"/>
    </row>
    <row r="74" spans="1:19" ht="14.25" customHeight="1" x14ac:dyDescent="0.3">
      <c r="A74" s="28" t="s">
        <v>148</v>
      </c>
      <c r="B74" s="50"/>
      <c r="F74" s="162">
        <v>2E-3</v>
      </c>
      <c r="G74" s="47">
        <f>F74-F73</f>
        <v>0</v>
      </c>
    </row>
    <row r="75" spans="1:19" ht="14.25" customHeight="1" x14ac:dyDescent="0.3">
      <c r="A75" s="28" t="s">
        <v>149</v>
      </c>
      <c r="B75" s="50"/>
      <c r="F75" s="162">
        <v>2.0100000000000001E-3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64">
        <v>2E-3</v>
      </c>
      <c r="G76" s="53">
        <f>F75-F76</f>
        <v>1.0000000000000026E-5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-2.0000000000000054E-6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9.7979589711327372E-6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4.0999999999999997E-6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1.9990000000000003E-3</v>
      </c>
      <c r="H84" s="27" t="s">
        <v>113</v>
      </c>
    </row>
    <row r="85" spans="2:12" ht="14.25" customHeight="1" x14ac:dyDescent="0.3">
      <c r="G85" s="57">
        <f>G84</f>
        <v>1.9990000000000003E-3</v>
      </c>
    </row>
    <row r="86" spans="2:12" ht="14.25" customHeight="1" x14ac:dyDescent="0.3">
      <c r="F86" s="27" t="s">
        <v>155</v>
      </c>
      <c r="G86" s="27">
        <f>IF(G80&gt;G82,G80,G82)</f>
        <v>9.7979589711327372E-6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2E-3</v>
      </c>
      <c r="D92" s="60" t="s">
        <v>113</v>
      </c>
      <c r="E92" s="66"/>
      <c r="F92" s="59" t="s">
        <v>273</v>
      </c>
      <c r="G92" s="59">
        <f>S25</f>
        <v>6.0000000000000001E-3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2E-3</v>
      </c>
      <c r="F97" s="71">
        <v>2</v>
      </c>
      <c r="G97" s="71">
        <v>60</v>
      </c>
      <c r="H97" s="71">
        <f t="shared" ref="H97:H101" si="1">E97/F97</f>
        <v>1E-3</v>
      </c>
      <c r="I97" s="71">
        <v>1</v>
      </c>
      <c r="J97" s="71">
        <f t="shared" ref="J97:J101" si="2">H97*I97</f>
        <v>1E-3</v>
      </c>
      <c r="K97" s="71">
        <f t="shared" ref="K97:K101" si="3">J97^2</f>
        <v>9.9999999999999995E-7</v>
      </c>
      <c r="L97" s="71">
        <f t="shared" ref="L97:L101" si="4">J97^4/G97</f>
        <v>1.6666666666666667E-14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3.0983866769659411E-3</v>
      </c>
      <c r="F98" s="74">
        <v>1</v>
      </c>
      <c r="G98" s="74">
        <f>IF(G80&gt;G82,9,1000)</f>
        <v>9</v>
      </c>
      <c r="H98" s="74">
        <f t="shared" si="1"/>
        <v>3.0983866769659411E-3</v>
      </c>
      <c r="I98" s="74">
        <v>1</v>
      </c>
      <c r="J98" s="74">
        <f t="shared" si="2"/>
        <v>3.0983866769659411E-3</v>
      </c>
      <c r="K98" s="74">
        <f t="shared" si="3"/>
        <v>9.600000000000047E-6</v>
      </c>
      <c r="L98" s="74">
        <f t="shared" si="4"/>
        <v>1.02400000000001E-11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v>5.0000000000000002E-5</v>
      </c>
      <c r="F99" s="77">
        <f>SQRT(3)</f>
        <v>1.7320508075688772</v>
      </c>
      <c r="G99" s="77">
        <v>1000</v>
      </c>
      <c r="H99" s="77">
        <f t="shared" si="1"/>
        <v>2.8867513459481293E-5</v>
      </c>
      <c r="I99" s="77">
        <v>1</v>
      </c>
      <c r="J99" s="77">
        <f t="shared" si="2"/>
        <v>2.8867513459481293E-5</v>
      </c>
      <c r="K99" s="77">
        <f t="shared" si="3"/>
        <v>8.3333333333333356E-10</v>
      </c>
      <c r="L99" s="77">
        <f t="shared" si="4"/>
        <v>6.9444444444444482E-22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4.8000000000000001E-4</v>
      </c>
      <c r="F100" s="77">
        <v>1</v>
      </c>
      <c r="G100" s="77">
        <v>4</v>
      </c>
      <c r="H100" s="77">
        <f t="shared" si="1"/>
        <v>4.8000000000000001E-4</v>
      </c>
      <c r="I100" s="77">
        <v>1</v>
      </c>
      <c r="J100" s="77">
        <f t="shared" si="2"/>
        <v>4.8000000000000001E-4</v>
      </c>
      <c r="K100" s="77">
        <f t="shared" si="3"/>
        <v>2.304E-7</v>
      </c>
      <c r="L100" s="77">
        <f t="shared" si="4"/>
        <v>1.327104E-14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8.2080000000000014E-9</v>
      </c>
      <c r="F101" s="79">
        <v>1</v>
      </c>
      <c r="G101" s="79">
        <v>1000</v>
      </c>
      <c r="H101" s="79">
        <f t="shared" si="1"/>
        <v>8.2080000000000014E-9</v>
      </c>
      <c r="I101" s="79">
        <v>1</v>
      </c>
      <c r="J101" s="79">
        <f t="shared" si="2"/>
        <v>8.2080000000000014E-9</v>
      </c>
      <c r="K101" s="79">
        <f t="shared" si="3"/>
        <v>6.7371264000000022E-17</v>
      </c>
      <c r="L101" s="79">
        <f t="shared" si="4"/>
        <v>4.5388872129576989E-36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1.0831233333400753E-5</v>
      </c>
      <c r="L102" s="71">
        <f t="shared" si="5"/>
        <v>1.0269937707361211E-11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3.2910839146701731E-3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11.423206144520519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2.2009851600916384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7.2436268568053467E-3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196">
        <f>K105*K103</f>
        <v>7.2436268568053467E-3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2.5999999999999999E-2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3612-5989-42ED-888C-0E9C22EA54AE}">
  <sheetPr>
    <tabColor rgb="FF00B050"/>
  </sheetPr>
  <dimension ref="A1:Z1000"/>
  <sheetViews>
    <sheetView topLeftCell="A75" zoomScale="79" zoomScaleNormal="79" workbookViewId="0">
      <selection activeCell="E100" sqref="E100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264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5.0000000000000001E-3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1.0000000000000001E-5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N6</f>
        <v>5.0039999999999998E-3</v>
      </c>
      <c r="D52" s="3" t="s">
        <v>113</v>
      </c>
    </row>
    <row r="53" spans="1:7" ht="14.25" customHeight="1" x14ac:dyDescent="0.3">
      <c r="B53" s="3" t="s">
        <v>122</v>
      </c>
      <c r="C53" s="36">
        <f>O6</f>
        <v>2E-3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61">
        <v>5.0099999999999997E-3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62">
        <v>5.0099999999999997E-3</v>
      </c>
      <c r="G58" s="49">
        <f>B58-B57</f>
        <v>0</v>
      </c>
    </row>
    <row r="59" spans="1:7" ht="14.25" customHeight="1" x14ac:dyDescent="0.3">
      <c r="A59" s="28" t="s">
        <v>133</v>
      </c>
      <c r="B59" s="162">
        <v>5.0200000000000002E-3</v>
      </c>
      <c r="G59" s="47"/>
    </row>
    <row r="60" spans="1:7" ht="14.25" customHeight="1" x14ac:dyDescent="0.3">
      <c r="A60" s="28" t="s">
        <v>134</v>
      </c>
      <c r="B60" s="162">
        <v>5.0000000000000001E-3</v>
      </c>
      <c r="G60" s="49">
        <f>B59-B60</f>
        <v>2.0000000000000052E-5</v>
      </c>
    </row>
    <row r="61" spans="1:7" ht="14.25" customHeight="1" x14ac:dyDescent="0.3">
      <c r="A61" s="28" t="s">
        <v>135</v>
      </c>
      <c r="B61" s="50"/>
      <c r="C61" s="162">
        <v>5.0099999999999997E-3</v>
      </c>
      <c r="G61" s="47"/>
    </row>
    <row r="62" spans="1:7" ht="14.25" customHeight="1" x14ac:dyDescent="0.3">
      <c r="A62" s="28" t="s">
        <v>136</v>
      </c>
      <c r="B62" s="50"/>
      <c r="C62" s="162">
        <v>5.0000000000000001E-3</v>
      </c>
      <c r="G62" s="47">
        <f>C62-C61</f>
        <v>-9.9999999999995925E-6</v>
      </c>
    </row>
    <row r="63" spans="1:7" ht="14.25" customHeight="1" x14ac:dyDescent="0.3">
      <c r="A63" s="28" t="s">
        <v>137</v>
      </c>
      <c r="B63" s="50"/>
      <c r="C63" s="162">
        <v>5.0000000000000001E-3</v>
      </c>
      <c r="G63" s="47"/>
    </row>
    <row r="64" spans="1:7" ht="14.25" customHeight="1" x14ac:dyDescent="0.3">
      <c r="A64" s="28" t="s">
        <v>138</v>
      </c>
      <c r="B64" s="50"/>
      <c r="C64" s="162">
        <v>4.9800000000000001E-3</v>
      </c>
      <c r="G64" s="47">
        <f>C63-C64</f>
        <v>2.0000000000000052E-5</v>
      </c>
    </row>
    <row r="65" spans="1:19" ht="14.25" customHeight="1" x14ac:dyDescent="0.3">
      <c r="A65" s="28" t="s">
        <v>139</v>
      </c>
      <c r="B65" s="50"/>
      <c r="D65" s="162">
        <v>5.0000000000000001E-3</v>
      </c>
      <c r="G65" s="47"/>
    </row>
    <row r="66" spans="1:19" ht="14.25" customHeight="1" x14ac:dyDescent="0.3">
      <c r="A66" s="28" t="s">
        <v>140</v>
      </c>
      <c r="B66" s="50"/>
      <c r="D66" s="162">
        <v>5.0200000000000002E-3</v>
      </c>
      <c r="G66" s="47">
        <f>D66-D65</f>
        <v>2.0000000000000052E-5</v>
      </c>
    </row>
    <row r="67" spans="1:19" ht="14.25" customHeight="1" x14ac:dyDescent="0.3">
      <c r="A67" s="28" t="s">
        <v>141</v>
      </c>
      <c r="B67" s="50"/>
      <c r="D67" s="162">
        <v>5.0099999999999997E-3</v>
      </c>
      <c r="G67" s="47"/>
    </row>
    <row r="68" spans="1:19" ht="14.25" customHeight="1" x14ac:dyDescent="0.3">
      <c r="A68" s="28" t="s">
        <v>142</v>
      </c>
      <c r="B68" s="50"/>
      <c r="D68" s="162">
        <v>5.0000000000000001E-3</v>
      </c>
      <c r="G68" s="47">
        <f>D67-D68</f>
        <v>9.9999999999995925E-6</v>
      </c>
    </row>
    <row r="69" spans="1:19" ht="14.25" customHeight="1" x14ac:dyDescent="0.3">
      <c r="A69" s="28" t="s">
        <v>143</v>
      </c>
      <c r="B69" s="50"/>
      <c r="E69" s="162">
        <v>5.0099999999999997E-3</v>
      </c>
      <c r="G69" s="47"/>
    </row>
    <row r="70" spans="1:19" ht="14.25" customHeight="1" x14ac:dyDescent="0.3">
      <c r="A70" s="28" t="s">
        <v>144</v>
      </c>
      <c r="B70" s="50"/>
      <c r="E70" s="162">
        <v>5.0000000000000001E-3</v>
      </c>
      <c r="G70" s="47">
        <f>E70-E69</f>
        <v>-9.9999999999995925E-6</v>
      </c>
    </row>
    <row r="71" spans="1:19" ht="14.25" customHeight="1" x14ac:dyDescent="0.3">
      <c r="A71" s="28" t="s">
        <v>145</v>
      </c>
      <c r="B71" s="50"/>
      <c r="E71" s="162">
        <v>5.0200000000000002E-3</v>
      </c>
      <c r="G71" s="47"/>
    </row>
    <row r="72" spans="1:19" ht="14.25" customHeight="1" x14ac:dyDescent="0.3">
      <c r="A72" s="28" t="s">
        <v>146</v>
      </c>
      <c r="B72" s="50"/>
      <c r="E72" s="162">
        <v>5.0000000000000001E-3</v>
      </c>
      <c r="G72" s="47">
        <f>E71-E72</f>
        <v>2.0000000000000052E-5</v>
      </c>
    </row>
    <row r="73" spans="1:19" ht="14.25" customHeight="1" x14ac:dyDescent="0.3">
      <c r="A73" s="28" t="s">
        <v>147</v>
      </c>
      <c r="B73" s="50"/>
      <c r="F73" s="162">
        <v>5.0000000000000001E-3</v>
      </c>
      <c r="G73" s="47"/>
    </row>
    <row r="74" spans="1:19" ht="14.25" customHeight="1" x14ac:dyDescent="0.3">
      <c r="A74" s="28" t="s">
        <v>148</v>
      </c>
      <c r="B74" s="50"/>
      <c r="F74" s="162">
        <v>5.0099999999999997E-3</v>
      </c>
      <c r="G74" s="47">
        <f>F74-F73</f>
        <v>9.9999999999995925E-6</v>
      </c>
    </row>
    <row r="75" spans="1:19" ht="14.25" customHeight="1" x14ac:dyDescent="0.3">
      <c r="A75" s="28" t="s">
        <v>149</v>
      </c>
      <c r="B75" s="50"/>
      <c r="F75" s="162">
        <v>5.0099999999999997E-3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64">
        <v>5.0000000000000001E-3</v>
      </c>
      <c r="G76" s="53">
        <f>F75-F76</f>
        <v>9.9999999999995925E-6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8.9999999999999799E-6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1.1357816691600421E-5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4.0999999999999997E-6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5.0130000000000001E-3</v>
      </c>
      <c r="H84" s="27" t="s">
        <v>113</v>
      </c>
    </row>
    <row r="85" spans="2:12" ht="14.25" customHeight="1" x14ac:dyDescent="0.3">
      <c r="G85" s="57">
        <f>G84</f>
        <v>5.0130000000000001E-3</v>
      </c>
    </row>
    <row r="86" spans="2:12" ht="14.25" customHeight="1" x14ac:dyDescent="0.3">
      <c r="F86" s="27" t="s">
        <v>155</v>
      </c>
      <c r="G86" s="27">
        <f>IF(G80&gt;G82,G80,G82)</f>
        <v>1.1357816691600421E-5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5.0000000000000001E-3</v>
      </c>
      <c r="D92" s="60" t="s">
        <v>113</v>
      </c>
      <c r="E92" s="66"/>
      <c r="F92" s="59" t="s">
        <v>272</v>
      </c>
      <c r="G92" s="59">
        <f>S24</f>
        <v>6.0000000000000001E-3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2E-3</v>
      </c>
      <c r="F97" s="71">
        <v>2</v>
      </c>
      <c r="G97" s="71">
        <v>60</v>
      </c>
      <c r="H97" s="71">
        <f t="shared" ref="H97:H101" si="1">E97/F97</f>
        <v>1E-3</v>
      </c>
      <c r="I97" s="71">
        <v>1</v>
      </c>
      <c r="J97" s="71">
        <f t="shared" ref="J97:J101" si="2">H97*I97</f>
        <v>1E-3</v>
      </c>
      <c r="K97" s="71">
        <f t="shared" ref="K97:K101" si="3">J97^2</f>
        <v>9.9999999999999995E-7</v>
      </c>
      <c r="L97" s="71">
        <f t="shared" ref="L97:L101" si="4">J97^4/G97</f>
        <v>1.6666666666666667E-14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3.5916569992135538E-3</v>
      </c>
      <c r="F98" s="74">
        <v>1</v>
      </c>
      <c r="G98" s="74">
        <f>IF(G80&gt;G82,9,1000)</f>
        <v>9</v>
      </c>
      <c r="H98" s="74">
        <f t="shared" si="1"/>
        <v>3.5916569992135538E-3</v>
      </c>
      <c r="I98" s="74">
        <v>1</v>
      </c>
      <c r="J98" s="74">
        <f t="shared" si="2"/>
        <v>3.5916569992135538E-3</v>
      </c>
      <c r="K98" s="74">
        <f t="shared" si="3"/>
        <v>1.289999999999971E-5</v>
      </c>
      <c r="L98" s="74">
        <f t="shared" si="4"/>
        <v>1.8489999999999169E-11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f>0.00005</f>
        <v>5.0000000000000002E-5</v>
      </c>
      <c r="F99" s="77">
        <f>SQRT(3)</f>
        <v>1.7320508075688772</v>
      </c>
      <c r="G99" s="77">
        <v>1000</v>
      </c>
      <c r="H99" s="77">
        <f t="shared" si="1"/>
        <v>2.8867513459481293E-5</v>
      </c>
      <c r="I99" s="77">
        <v>1</v>
      </c>
      <c r="J99" s="77">
        <f t="shared" si="2"/>
        <v>2.8867513459481293E-5</v>
      </c>
      <c r="K99" s="77">
        <f t="shared" si="3"/>
        <v>8.3333333333333356E-10</v>
      </c>
      <c r="L99" s="77">
        <f t="shared" si="4"/>
        <v>6.9444444444444482E-22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4.8000000000000001E-4</v>
      </c>
      <c r="F100" s="77">
        <v>1</v>
      </c>
      <c r="G100" s="77">
        <v>4</v>
      </c>
      <c r="H100" s="77">
        <f t="shared" si="1"/>
        <v>4.8000000000000001E-4</v>
      </c>
      <c r="I100" s="77">
        <v>1</v>
      </c>
      <c r="J100" s="77">
        <f t="shared" si="2"/>
        <v>4.8000000000000001E-4</v>
      </c>
      <c r="K100" s="77">
        <f t="shared" si="3"/>
        <v>2.304E-7</v>
      </c>
      <c r="L100" s="77">
        <f t="shared" si="4"/>
        <v>1.327104E-14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2.0520000000000004E-8</v>
      </c>
      <c r="F101" s="79">
        <v>1</v>
      </c>
      <c r="G101" s="79">
        <v>1000</v>
      </c>
      <c r="H101" s="79">
        <f t="shared" si="1"/>
        <v>2.0520000000000004E-8</v>
      </c>
      <c r="I101" s="79">
        <v>1</v>
      </c>
      <c r="J101" s="79">
        <f t="shared" si="2"/>
        <v>2.0520000000000004E-8</v>
      </c>
      <c r="K101" s="79">
        <f t="shared" si="3"/>
        <v>4.2107040000000018E-16</v>
      </c>
      <c r="L101" s="79">
        <f t="shared" si="4"/>
        <v>1.7730028175616015E-34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1.4131233333754115E-5</v>
      </c>
      <c r="L102" s="71">
        <f t="shared" si="5"/>
        <v>1.8519937707360276E-11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3.7591532735117513E-3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10.782528466801541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2.2281388519862744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8.3759154592829184E-3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8.3759154592829184E-3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2.5999999999999999E-2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A116-5629-4DF1-9B27-5191C7596FA1}">
  <sheetPr>
    <tabColor rgb="FF00B050"/>
  </sheetPr>
  <dimension ref="A1:Z1000"/>
  <sheetViews>
    <sheetView topLeftCell="A66" zoomScale="79" zoomScaleNormal="79" workbookViewId="0">
      <selection activeCell="E101" sqref="E101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264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0.01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1.0000000000000001E-5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N7</f>
        <v>1.0002E-2</v>
      </c>
      <c r="D52" s="3" t="s">
        <v>113</v>
      </c>
    </row>
    <row r="53" spans="1:7" ht="14.25" customHeight="1" x14ac:dyDescent="0.3">
      <c r="B53" s="3" t="s">
        <v>122</v>
      </c>
      <c r="C53" s="36">
        <f>O7</f>
        <v>3.0000000000000001E-3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61">
        <v>1.001E-2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62">
        <v>1.001E-2</v>
      </c>
      <c r="G58" s="49">
        <f>B58-B57</f>
        <v>0</v>
      </c>
    </row>
    <row r="59" spans="1:7" ht="14.25" customHeight="1" x14ac:dyDescent="0.3">
      <c r="A59" s="28" t="s">
        <v>133</v>
      </c>
      <c r="B59" s="162">
        <v>1.001E-2</v>
      </c>
      <c r="G59" s="47"/>
    </row>
    <row r="60" spans="1:7" ht="14.25" customHeight="1" x14ac:dyDescent="0.3">
      <c r="A60" s="28" t="s">
        <v>134</v>
      </c>
      <c r="B60" s="162">
        <v>1.0019999999999999E-2</v>
      </c>
      <c r="G60" s="49">
        <f>B59-B60</f>
        <v>-9.9999999999995925E-6</v>
      </c>
    </row>
    <row r="61" spans="1:7" ht="14.25" customHeight="1" x14ac:dyDescent="0.3">
      <c r="A61" s="28" t="s">
        <v>135</v>
      </c>
      <c r="B61" s="50"/>
      <c r="C61" s="162">
        <v>0.01</v>
      </c>
      <c r="G61" s="47"/>
    </row>
    <row r="62" spans="1:7" ht="14.25" customHeight="1" x14ac:dyDescent="0.3">
      <c r="A62" s="28" t="s">
        <v>136</v>
      </c>
      <c r="B62" s="50"/>
      <c r="C62" s="162">
        <v>1.001E-2</v>
      </c>
      <c r="G62" s="47">
        <f>C62-C61</f>
        <v>9.9999999999995925E-6</v>
      </c>
    </row>
    <row r="63" spans="1:7" ht="14.25" customHeight="1" x14ac:dyDescent="0.3">
      <c r="A63" s="28" t="s">
        <v>137</v>
      </c>
      <c r="B63" s="50"/>
      <c r="C63" s="162">
        <v>0.01</v>
      </c>
      <c r="G63" s="47"/>
    </row>
    <row r="64" spans="1:7" ht="14.25" customHeight="1" x14ac:dyDescent="0.3">
      <c r="A64" s="28" t="s">
        <v>138</v>
      </c>
      <c r="B64" s="50"/>
      <c r="C64" s="162">
        <v>9.9900000000000006E-3</v>
      </c>
      <c r="G64" s="47">
        <f>C63-C64</f>
        <v>9.9999999999995925E-6</v>
      </c>
    </row>
    <row r="65" spans="1:19" ht="14.25" customHeight="1" x14ac:dyDescent="0.3">
      <c r="A65" s="28" t="s">
        <v>139</v>
      </c>
      <c r="B65" s="50"/>
      <c r="D65" s="162">
        <v>9.9900000000000006E-3</v>
      </c>
      <c r="G65" s="47"/>
    </row>
    <row r="66" spans="1:19" ht="14.25" customHeight="1" x14ac:dyDescent="0.3">
      <c r="A66" s="28" t="s">
        <v>140</v>
      </c>
      <c r="B66" s="50"/>
      <c r="D66" s="162">
        <v>0.01</v>
      </c>
      <c r="G66" s="47">
        <f>D66-D65</f>
        <v>9.9999999999995925E-6</v>
      </c>
    </row>
    <row r="67" spans="1:19" ht="14.25" customHeight="1" x14ac:dyDescent="0.3">
      <c r="A67" s="28" t="s">
        <v>141</v>
      </c>
      <c r="B67" s="50"/>
      <c r="D67" s="162">
        <v>1.001E-2</v>
      </c>
      <c r="G67" s="47"/>
    </row>
    <row r="68" spans="1:19" ht="14.25" customHeight="1" x14ac:dyDescent="0.3">
      <c r="A68" s="28" t="s">
        <v>142</v>
      </c>
      <c r="B68" s="50"/>
      <c r="D68" s="162">
        <v>9.9900000000000006E-3</v>
      </c>
      <c r="G68" s="47">
        <f>D67-D68</f>
        <v>1.9999999999999185E-5</v>
      </c>
    </row>
    <row r="69" spans="1:19" ht="14.25" customHeight="1" x14ac:dyDescent="0.3">
      <c r="A69" s="28" t="s">
        <v>143</v>
      </c>
      <c r="B69" s="50"/>
      <c r="E69" s="162">
        <v>0.01</v>
      </c>
      <c r="G69" s="47"/>
    </row>
    <row r="70" spans="1:19" ht="14.25" customHeight="1" x14ac:dyDescent="0.3">
      <c r="A70" s="28" t="s">
        <v>144</v>
      </c>
      <c r="B70" s="50"/>
      <c r="E70" s="162">
        <v>1.001E-2</v>
      </c>
      <c r="G70" s="47">
        <f>E70-E69</f>
        <v>9.9999999999995925E-6</v>
      </c>
    </row>
    <row r="71" spans="1:19" ht="14.25" customHeight="1" x14ac:dyDescent="0.3">
      <c r="A71" s="28" t="s">
        <v>145</v>
      </c>
      <c r="B71" s="50"/>
      <c r="E71" s="162">
        <v>1.0019999999999999E-2</v>
      </c>
      <c r="G71" s="47"/>
    </row>
    <row r="72" spans="1:19" ht="14.25" customHeight="1" x14ac:dyDescent="0.3">
      <c r="A72" s="28" t="s">
        <v>146</v>
      </c>
      <c r="B72" s="50"/>
      <c r="E72" s="162">
        <v>0.01</v>
      </c>
      <c r="G72" s="47">
        <f>E71-E72</f>
        <v>1.9999999999999185E-5</v>
      </c>
    </row>
    <row r="73" spans="1:19" ht="14.25" customHeight="1" x14ac:dyDescent="0.3">
      <c r="A73" s="28" t="s">
        <v>147</v>
      </c>
      <c r="B73" s="50"/>
      <c r="F73" s="162">
        <v>9.9900000000000006E-3</v>
      </c>
      <c r="G73" s="47"/>
    </row>
    <row r="74" spans="1:19" ht="14.25" customHeight="1" x14ac:dyDescent="0.3">
      <c r="A74" s="28" t="s">
        <v>148</v>
      </c>
      <c r="B74" s="50"/>
      <c r="F74" s="162">
        <v>1.0019999999999999E-2</v>
      </c>
      <c r="G74" s="47">
        <f>F74-F73</f>
        <v>2.9999999999998778E-5</v>
      </c>
    </row>
    <row r="75" spans="1:19" ht="14.25" customHeight="1" x14ac:dyDescent="0.3">
      <c r="A75" s="28" t="s">
        <v>149</v>
      </c>
      <c r="B75" s="50"/>
      <c r="F75" s="162">
        <v>1.0019999999999999E-2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64">
        <v>0.01</v>
      </c>
      <c r="G76" s="53">
        <f>F75-F76</f>
        <v>1.9999999999999185E-5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1.1999999999999511E-5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1.077032961426857E-5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4.0999999999999997E-6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1.0014E-2</v>
      </c>
      <c r="H84" s="27" t="s">
        <v>113</v>
      </c>
    </row>
    <row r="85" spans="2:12" ht="14.25" customHeight="1" x14ac:dyDescent="0.3">
      <c r="G85" s="57">
        <f>G84</f>
        <v>1.0014E-2</v>
      </c>
    </row>
    <row r="86" spans="2:12" ht="14.25" customHeight="1" x14ac:dyDescent="0.3">
      <c r="F86" s="27" t="s">
        <v>155</v>
      </c>
      <c r="G86" s="27">
        <f>IF(G80&gt;G82,G80,G82)</f>
        <v>1.077032961426857E-5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0.01</v>
      </c>
      <c r="D92" s="60" t="s">
        <v>113</v>
      </c>
      <c r="E92" s="66"/>
      <c r="F92" s="59" t="s">
        <v>291</v>
      </c>
      <c r="G92" s="59">
        <f>S23</f>
        <v>8.0000000000000002E-3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3.0000000000000001E-3</v>
      </c>
      <c r="F97" s="71">
        <v>2</v>
      </c>
      <c r="G97" s="71">
        <v>60</v>
      </c>
      <c r="H97" s="71">
        <f t="shared" ref="H97:H101" si="1">E97/F97</f>
        <v>1.5E-3</v>
      </c>
      <c r="I97" s="71">
        <v>1</v>
      </c>
      <c r="J97" s="71">
        <f t="shared" ref="J97:J101" si="2">H97*I97</f>
        <v>1.5E-3</v>
      </c>
      <c r="K97" s="71">
        <f t="shared" ref="K97:K101" si="3">J97^2</f>
        <v>2.2500000000000001E-6</v>
      </c>
      <c r="L97" s="71">
        <f t="shared" ref="L97:L101" si="4">J97^4/G97</f>
        <v>8.4375000000000007E-14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3.4058772731851415E-3</v>
      </c>
      <c r="F98" s="74">
        <v>1</v>
      </c>
      <c r="G98" s="74">
        <f>IF(G80&gt;G82,9,1000)</f>
        <v>9</v>
      </c>
      <c r="H98" s="74">
        <f t="shared" si="1"/>
        <v>3.4058772731851415E-3</v>
      </c>
      <c r="I98" s="74">
        <v>1</v>
      </c>
      <c r="J98" s="74">
        <f t="shared" si="2"/>
        <v>3.4058772731851415E-3</v>
      </c>
      <c r="K98" s="74">
        <f t="shared" si="3"/>
        <v>1.1599999999999055E-5</v>
      </c>
      <c r="L98" s="74">
        <f t="shared" si="4"/>
        <v>1.4951111111108676E-11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f>0.00005</f>
        <v>5.0000000000000002E-5</v>
      </c>
      <c r="F99" s="77">
        <f>SQRT(3)</f>
        <v>1.7320508075688772</v>
      </c>
      <c r="G99" s="77">
        <v>1000</v>
      </c>
      <c r="H99" s="77">
        <f t="shared" si="1"/>
        <v>2.8867513459481293E-5</v>
      </c>
      <c r="I99" s="77">
        <v>1</v>
      </c>
      <c r="J99" s="77">
        <f t="shared" si="2"/>
        <v>2.8867513459481293E-5</v>
      </c>
      <c r="K99" s="77">
        <f t="shared" si="3"/>
        <v>8.3333333333333356E-10</v>
      </c>
      <c r="L99" s="77">
        <f t="shared" si="4"/>
        <v>6.9444444444444482E-22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6.4000000000000005E-4</v>
      </c>
      <c r="F100" s="77">
        <v>1</v>
      </c>
      <c r="G100" s="77">
        <v>4</v>
      </c>
      <c r="H100" s="77">
        <f t="shared" si="1"/>
        <v>6.4000000000000005E-4</v>
      </c>
      <c r="I100" s="77">
        <v>1</v>
      </c>
      <c r="J100" s="77">
        <f t="shared" si="2"/>
        <v>6.4000000000000005E-4</v>
      </c>
      <c r="K100" s="77">
        <f t="shared" si="3"/>
        <v>4.0960000000000007E-7</v>
      </c>
      <c r="L100" s="77">
        <f t="shared" si="4"/>
        <v>4.1943040000000017E-14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4.1040000000000009E-8</v>
      </c>
      <c r="F101" s="79">
        <v>1</v>
      </c>
      <c r="G101" s="79">
        <v>1000</v>
      </c>
      <c r="H101" s="79">
        <f t="shared" si="1"/>
        <v>4.1040000000000009E-8</v>
      </c>
      <c r="I101" s="79">
        <v>1</v>
      </c>
      <c r="J101" s="79">
        <f t="shared" si="2"/>
        <v>4.1040000000000009E-8</v>
      </c>
      <c r="K101" s="79">
        <f t="shared" si="3"/>
        <v>1.6842816000000007E-15</v>
      </c>
      <c r="L101" s="79">
        <f t="shared" si="4"/>
        <v>2.8368045080985623E-33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1.4260433335016671E-5</v>
      </c>
      <c r="L102" s="71">
        <f t="shared" si="5"/>
        <v>1.507742915180312E-11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3.7762988937604862E-3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13.487707808471765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2.1603686564627926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8.1581977675152708E-3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8.1581977675152708E-3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2.5999999999999999E-2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D5C9-F9CE-4284-8887-04290803774B}">
  <sheetPr>
    <tabColor rgb="FF00B050"/>
  </sheetPr>
  <dimension ref="A1:Z1000"/>
  <sheetViews>
    <sheetView topLeftCell="A72" zoomScale="79" zoomScaleNormal="79" workbookViewId="0">
      <selection activeCell="K109" sqref="K109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264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0.02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1.0000000000000001E-5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N8</f>
        <v>2.0003E-2</v>
      </c>
      <c r="D52" s="3" t="s">
        <v>113</v>
      </c>
    </row>
    <row r="53" spans="1:7" ht="14.25" customHeight="1" x14ac:dyDescent="0.3">
      <c r="B53" s="3" t="s">
        <v>122</v>
      </c>
      <c r="C53" s="36">
        <f>O8</f>
        <v>3.0000000000000001E-3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61">
        <v>1.9980000000000001E-2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62">
        <v>0.02</v>
      </c>
      <c r="G58" s="49">
        <f>B58-B57</f>
        <v>1.9999999999999185E-5</v>
      </c>
    </row>
    <row r="59" spans="1:7" ht="14.25" customHeight="1" x14ac:dyDescent="0.3">
      <c r="A59" s="28" t="s">
        <v>133</v>
      </c>
      <c r="B59" s="162">
        <v>2.001E-2</v>
      </c>
      <c r="G59" s="47"/>
    </row>
    <row r="60" spans="1:7" ht="14.25" customHeight="1" x14ac:dyDescent="0.3">
      <c r="A60" s="28" t="s">
        <v>134</v>
      </c>
      <c r="B60" s="162">
        <v>2.001E-2</v>
      </c>
      <c r="G60" s="49">
        <f>B59-B60</f>
        <v>0</v>
      </c>
    </row>
    <row r="61" spans="1:7" ht="14.25" customHeight="1" x14ac:dyDescent="0.3">
      <c r="A61" s="28" t="s">
        <v>135</v>
      </c>
      <c r="B61" s="50"/>
      <c r="C61" s="162">
        <v>1.9990000000000001E-2</v>
      </c>
      <c r="G61" s="47"/>
    </row>
    <row r="62" spans="1:7" ht="14.25" customHeight="1" x14ac:dyDescent="0.3">
      <c r="A62" s="28" t="s">
        <v>136</v>
      </c>
      <c r="B62" s="50"/>
      <c r="C62" s="162">
        <v>2.001E-2</v>
      </c>
      <c r="G62" s="47">
        <f>C62-C61</f>
        <v>1.9999999999999185E-5</v>
      </c>
    </row>
    <row r="63" spans="1:7" ht="14.25" customHeight="1" x14ac:dyDescent="0.3">
      <c r="A63" s="28" t="s">
        <v>137</v>
      </c>
      <c r="B63" s="50"/>
      <c r="C63" s="162">
        <v>2.0029999999999999E-2</v>
      </c>
      <c r="G63" s="47"/>
    </row>
    <row r="64" spans="1:7" ht="14.25" customHeight="1" x14ac:dyDescent="0.3">
      <c r="A64" s="28" t="s">
        <v>138</v>
      </c>
      <c r="B64" s="50"/>
      <c r="C64" s="162">
        <v>0.02</v>
      </c>
      <c r="G64" s="47">
        <f>C63-C64</f>
        <v>2.9999999999998778E-5</v>
      </c>
    </row>
    <row r="65" spans="1:19" ht="14.25" customHeight="1" x14ac:dyDescent="0.3">
      <c r="A65" s="28" t="s">
        <v>139</v>
      </c>
      <c r="B65" s="50"/>
      <c r="D65" s="162">
        <v>2.001E-2</v>
      </c>
      <c r="G65" s="47"/>
    </row>
    <row r="66" spans="1:19" ht="14.25" customHeight="1" x14ac:dyDescent="0.3">
      <c r="A66" s="28" t="s">
        <v>140</v>
      </c>
      <c r="B66" s="50"/>
      <c r="D66" s="162">
        <v>2.001E-2</v>
      </c>
      <c r="G66" s="47">
        <f>D66-D65</f>
        <v>0</v>
      </c>
    </row>
    <row r="67" spans="1:19" ht="14.25" customHeight="1" x14ac:dyDescent="0.3">
      <c r="A67" s="28" t="s">
        <v>141</v>
      </c>
      <c r="B67" s="50"/>
      <c r="D67" s="162">
        <v>2.002E-2</v>
      </c>
      <c r="G67" s="47"/>
    </row>
    <row r="68" spans="1:19" ht="14.25" customHeight="1" x14ac:dyDescent="0.3">
      <c r="A68" s="28" t="s">
        <v>142</v>
      </c>
      <c r="B68" s="50"/>
      <c r="D68" s="162">
        <v>0.02</v>
      </c>
      <c r="G68" s="47">
        <f>D67-D68</f>
        <v>1.9999999999999185E-5</v>
      </c>
    </row>
    <row r="69" spans="1:19" ht="14.25" customHeight="1" x14ac:dyDescent="0.3">
      <c r="A69" s="28" t="s">
        <v>143</v>
      </c>
      <c r="B69" s="50"/>
      <c r="E69" s="162">
        <v>2.001E-2</v>
      </c>
      <c r="G69" s="47"/>
    </row>
    <row r="70" spans="1:19" ht="14.25" customHeight="1" x14ac:dyDescent="0.3">
      <c r="A70" s="28" t="s">
        <v>144</v>
      </c>
      <c r="B70" s="50"/>
      <c r="E70" s="162">
        <v>2.0029999999999999E-2</v>
      </c>
      <c r="G70" s="47">
        <f>E70-E69</f>
        <v>1.9999999999999185E-5</v>
      </c>
    </row>
    <row r="71" spans="1:19" ht="14.25" customHeight="1" x14ac:dyDescent="0.3">
      <c r="A71" s="28" t="s">
        <v>145</v>
      </c>
      <c r="B71" s="50"/>
      <c r="E71" s="162">
        <v>2.001E-2</v>
      </c>
      <c r="G71" s="47"/>
    </row>
    <row r="72" spans="1:19" ht="14.25" customHeight="1" x14ac:dyDescent="0.3">
      <c r="A72" s="28" t="s">
        <v>146</v>
      </c>
      <c r="B72" s="50"/>
      <c r="E72" s="162">
        <v>1.9990000000000001E-2</v>
      </c>
      <c r="G72" s="47">
        <f>E71-E72</f>
        <v>1.9999999999999185E-5</v>
      </c>
    </row>
    <row r="73" spans="1:19" ht="14.25" customHeight="1" x14ac:dyDescent="0.3">
      <c r="A73" s="28" t="s">
        <v>147</v>
      </c>
      <c r="B73" s="50"/>
      <c r="F73" s="162">
        <v>1.9990000000000001E-2</v>
      </c>
      <c r="G73" s="47"/>
    </row>
    <row r="74" spans="1:19" ht="14.25" customHeight="1" x14ac:dyDescent="0.3">
      <c r="A74" s="28" t="s">
        <v>148</v>
      </c>
      <c r="B74" s="50"/>
      <c r="F74" s="162">
        <v>2.001E-2</v>
      </c>
      <c r="G74" s="47">
        <f>F74-F73</f>
        <v>1.9999999999999185E-5</v>
      </c>
    </row>
    <row r="75" spans="1:19" ht="14.25" customHeight="1" x14ac:dyDescent="0.3">
      <c r="A75" s="28" t="s">
        <v>149</v>
      </c>
      <c r="B75" s="50"/>
      <c r="F75" s="162">
        <v>0.02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64">
        <v>1.9990000000000001E-2</v>
      </c>
      <c r="G76" s="53">
        <f>F75-F76</f>
        <v>9.9999999999995925E-6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1.5999999999999349E-5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9.165151389911308E-6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4.0999999999999997E-6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2.0018999999999999E-2</v>
      </c>
      <c r="H84" s="27" t="s">
        <v>113</v>
      </c>
    </row>
    <row r="85" spans="2:12" ht="14.25" customHeight="1" x14ac:dyDescent="0.3">
      <c r="G85" s="57">
        <f>G84</f>
        <v>2.0018999999999999E-2</v>
      </c>
    </row>
    <row r="86" spans="2:12" ht="14.25" customHeight="1" x14ac:dyDescent="0.3">
      <c r="F86" s="27" t="s">
        <v>155</v>
      </c>
      <c r="G86" s="27">
        <f>IF(G80&gt;G82,G80,G82)</f>
        <v>9.165151389911308E-6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0.02</v>
      </c>
      <c r="D92" s="60" t="s">
        <v>113</v>
      </c>
      <c r="E92" s="66"/>
      <c r="F92" s="59" t="s">
        <v>273</v>
      </c>
      <c r="G92" s="59">
        <f>S22</f>
        <v>0.01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3.0000000000000001E-3</v>
      </c>
      <c r="F97" s="71">
        <v>2</v>
      </c>
      <c r="G97" s="71">
        <v>60</v>
      </c>
      <c r="H97" s="71">
        <f t="shared" ref="H97:H101" si="1">E97/F97</f>
        <v>1.5E-3</v>
      </c>
      <c r="I97" s="71">
        <v>1</v>
      </c>
      <c r="J97" s="71">
        <f t="shared" ref="J97:J101" si="2">H97*I97</f>
        <v>1.5E-3</v>
      </c>
      <c r="K97" s="71">
        <f t="shared" ref="K97:K101" si="3">J97^2</f>
        <v>2.2500000000000001E-6</v>
      </c>
      <c r="L97" s="71">
        <f t="shared" ref="L97:L101" si="4">J97^4/G97</f>
        <v>8.4375000000000007E-14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2.8982753492377698E-3</v>
      </c>
      <c r="F98" s="74">
        <v>1</v>
      </c>
      <c r="G98" s="74">
        <f>IF(G80&gt;G82,9,1000)</f>
        <v>9</v>
      </c>
      <c r="H98" s="74">
        <f t="shared" si="1"/>
        <v>2.8982753492377698E-3</v>
      </c>
      <c r="I98" s="74">
        <v>1</v>
      </c>
      <c r="J98" s="74">
        <f t="shared" si="2"/>
        <v>2.8982753492377698E-3</v>
      </c>
      <c r="K98" s="74">
        <f t="shared" si="3"/>
        <v>8.3999999999993165E-6</v>
      </c>
      <c r="L98" s="74">
        <f t="shared" si="4"/>
        <v>7.8399999999987242E-12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v>5.0000000000000002E-5</v>
      </c>
      <c r="F99" s="77">
        <f>SQRT(3)</f>
        <v>1.7320508075688772</v>
      </c>
      <c r="G99" s="77">
        <v>1000</v>
      </c>
      <c r="H99" s="77">
        <f t="shared" si="1"/>
        <v>2.8867513459481293E-5</v>
      </c>
      <c r="I99" s="77">
        <v>1</v>
      </c>
      <c r="J99" s="77">
        <f t="shared" si="2"/>
        <v>2.8867513459481293E-5</v>
      </c>
      <c r="K99" s="77">
        <f t="shared" si="3"/>
        <v>8.3333333333333356E-10</v>
      </c>
      <c r="L99" s="77">
        <f t="shared" si="4"/>
        <v>6.9444444444444482E-22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8.0000000000000004E-4</v>
      </c>
      <c r="F100" s="77">
        <v>1</v>
      </c>
      <c r="G100" s="77">
        <v>4</v>
      </c>
      <c r="H100" s="77">
        <f t="shared" si="1"/>
        <v>8.0000000000000004E-4</v>
      </c>
      <c r="I100" s="77">
        <v>1</v>
      </c>
      <c r="J100" s="77">
        <f t="shared" si="2"/>
        <v>8.0000000000000004E-4</v>
      </c>
      <c r="K100" s="77">
        <f t="shared" si="3"/>
        <v>6.4000000000000001E-7</v>
      </c>
      <c r="L100" s="77">
        <f t="shared" si="4"/>
        <v>1.0240000000000001E-13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8.2080000000000018E-8</v>
      </c>
      <c r="F101" s="79">
        <v>1</v>
      </c>
      <c r="G101" s="79">
        <v>1000</v>
      </c>
      <c r="H101" s="79">
        <f t="shared" si="1"/>
        <v>8.2080000000000018E-8</v>
      </c>
      <c r="I101" s="79">
        <v>1</v>
      </c>
      <c r="J101" s="79">
        <f t="shared" si="2"/>
        <v>8.2080000000000018E-8</v>
      </c>
      <c r="K101" s="79">
        <f t="shared" si="3"/>
        <v>6.7371264000000029E-15</v>
      </c>
      <c r="L101" s="79">
        <f t="shared" si="4"/>
        <v>4.5388872129576997E-32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1.1290833340069777E-5</v>
      </c>
      <c r="L102" s="71">
        <f t="shared" si="5"/>
        <v>8.0267750006931675E-12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3.3601835277362125E-3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15.882208919799327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2.1314495455597742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7.1620616531907887E-3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7.1620616531907887E-3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2.5999999999999999E-2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EC17D-7DC5-41B1-BADB-F957623DD192}">
  <sheetPr>
    <tabColor rgb="FF00B050"/>
  </sheetPr>
  <dimension ref="A1:Z1000"/>
  <sheetViews>
    <sheetView topLeftCell="A69" zoomScale="79" zoomScaleNormal="79" workbookViewId="0">
      <selection activeCell="K109" sqref="K109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261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0.02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1.0000000000000001E-5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N9</f>
        <v>2.0004999999999998E-2</v>
      </c>
      <c r="D52" s="3" t="s">
        <v>113</v>
      </c>
    </row>
    <row r="53" spans="1:7" ht="14.25" customHeight="1" x14ac:dyDescent="0.3">
      <c r="B53" s="3" t="s">
        <v>122</v>
      </c>
      <c r="C53" s="36">
        <f>O9</f>
        <v>3.0000000000000001E-3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61">
        <v>0.02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62">
        <v>0.02</v>
      </c>
      <c r="G58" s="49">
        <f>B58-B57</f>
        <v>0</v>
      </c>
    </row>
    <row r="59" spans="1:7" ht="14.25" customHeight="1" x14ac:dyDescent="0.3">
      <c r="A59" s="28" t="s">
        <v>133</v>
      </c>
      <c r="B59" s="162">
        <v>0.02</v>
      </c>
      <c r="G59" s="47"/>
    </row>
    <row r="60" spans="1:7" ht="14.25" customHeight="1" x14ac:dyDescent="0.3">
      <c r="A60" s="28" t="s">
        <v>134</v>
      </c>
      <c r="B60" s="162">
        <v>2.001E-2</v>
      </c>
      <c r="G60" s="49">
        <f>B59-B60</f>
        <v>-9.9999999999995925E-6</v>
      </c>
    </row>
    <row r="61" spans="1:7" ht="14.25" customHeight="1" x14ac:dyDescent="0.3">
      <c r="A61" s="28" t="s">
        <v>135</v>
      </c>
      <c r="B61" s="50"/>
      <c r="C61" s="162">
        <v>1.9980000000000001E-2</v>
      </c>
      <c r="G61" s="47"/>
    </row>
    <row r="62" spans="1:7" ht="14.25" customHeight="1" x14ac:dyDescent="0.3">
      <c r="A62" s="28" t="s">
        <v>136</v>
      </c>
      <c r="B62" s="50"/>
      <c r="C62" s="162">
        <v>2.0029999999999999E-2</v>
      </c>
      <c r="G62" s="47">
        <f>C62-C61</f>
        <v>4.9999999999997963E-5</v>
      </c>
    </row>
    <row r="63" spans="1:7" ht="14.25" customHeight="1" x14ac:dyDescent="0.3">
      <c r="A63" s="28" t="s">
        <v>137</v>
      </c>
      <c r="B63" s="50"/>
      <c r="C63" s="162">
        <v>2.001E-2</v>
      </c>
      <c r="G63" s="47"/>
    </row>
    <row r="64" spans="1:7" ht="14.25" customHeight="1" x14ac:dyDescent="0.3">
      <c r="A64" s="28" t="s">
        <v>138</v>
      </c>
      <c r="B64" s="50"/>
      <c r="C64" s="162">
        <v>2.001E-2</v>
      </c>
      <c r="G64" s="47">
        <f>C63-C64</f>
        <v>0</v>
      </c>
    </row>
    <row r="65" spans="1:19" ht="14.25" customHeight="1" x14ac:dyDescent="0.3">
      <c r="A65" s="28" t="s">
        <v>139</v>
      </c>
      <c r="B65" s="50"/>
      <c r="D65" s="162">
        <v>0.02</v>
      </c>
      <c r="G65" s="47"/>
    </row>
    <row r="66" spans="1:19" ht="14.25" customHeight="1" x14ac:dyDescent="0.3">
      <c r="A66" s="28" t="s">
        <v>140</v>
      </c>
      <c r="B66" s="50"/>
      <c r="D66" s="162">
        <v>0.02</v>
      </c>
      <c r="G66" s="47">
        <f>D66-D65</f>
        <v>0</v>
      </c>
    </row>
    <row r="67" spans="1:19" ht="14.25" customHeight="1" x14ac:dyDescent="0.3">
      <c r="A67" s="28" t="s">
        <v>141</v>
      </c>
      <c r="B67" s="50"/>
      <c r="D67" s="162">
        <v>2.002E-2</v>
      </c>
      <c r="G67" s="47"/>
    </row>
    <row r="68" spans="1:19" ht="14.25" customHeight="1" x14ac:dyDescent="0.3">
      <c r="A68" s="28" t="s">
        <v>142</v>
      </c>
      <c r="B68" s="50"/>
      <c r="D68" s="162">
        <v>2.001E-2</v>
      </c>
      <c r="G68" s="47">
        <f>D67-D68</f>
        <v>9.9999999999995925E-6</v>
      </c>
    </row>
    <row r="69" spans="1:19" ht="14.25" customHeight="1" x14ac:dyDescent="0.3">
      <c r="A69" s="28" t="s">
        <v>143</v>
      </c>
      <c r="B69" s="50"/>
      <c r="E69" s="162">
        <v>0.02</v>
      </c>
      <c r="G69" s="47"/>
    </row>
    <row r="70" spans="1:19" ht="14.25" customHeight="1" x14ac:dyDescent="0.3">
      <c r="A70" s="28" t="s">
        <v>144</v>
      </c>
      <c r="B70" s="50"/>
      <c r="E70" s="162">
        <v>0.02</v>
      </c>
      <c r="G70" s="47">
        <f>E70-E69</f>
        <v>0</v>
      </c>
    </row>
    <row r="71" spans="1:19" ht="14.25" customHeight="1" x14ac:dyDescent="0.3">
      <c r="A71" s="28" t="s">
        <v>145</v>
      </c>
      <c r="B71" s="50"/>
      <c r="E71" s="162">
        <v>0.02</v>
      </c>
      <c r="G71" s="47"/>
    </row>
    <row r="72" spans="1:19" ht="14.25" customHeight="1" x14ac:dyDescent="0.3">
      <c r="A72" s="28" t="s">
        <v>146</v>
      </c>
      <c r="B72" s="50"/>
      <c r="E72" s="162">
        <v>2.001E-2</v>
      </c>
      <c r="G72" s="47">
        <f>E71-E72</f>
        <v>-9.9999999999995925E-6</v>
      </c>
    </row>
    <row r="73" spans="1:19" ht="14.25" customHeight="1" x14ac:dyDescent="0.3">
      <c r="A73" s="28" t="s">
        <v>147</v>
      </c>
      <c r="B73" s="50"/>
      <c r="F73" s="162">
        <v>0.02</v>
      </c>
      <c r="G73" s="47"/>
    </row>
    <row r="74" spans="1:19" ht="14.25" customHeight="1" x14ac:dyDescent="0.3">
      <c r="A74" s="28" t="s">
        <v>148</v>
      </c>
      <c r="B74" s="50"/>
      <c r="F74" s="162">
        <v>2.002E-2</v>
      </c>
      <c r="G74" s="47">
        <f>F74-F73</f>
        <v>1.9999999999999185E-5</v>
      </c>
    </row>
    <row r="75" spans="1:19" ht="14.25" customHeight="1" x14ac:dyDescent="0.3">
      <c r="A75" s="28" t="s">
        <v>149</v>
      </c>
      <c r="B75" s="50"/>
      <c r="F75" s="162">
        <v>2.001E-2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64">
        <v>0.02</v>
      </c>
      <c r="G76" s="53">
        <f>F75-F76</f>
        <v>9.9999999999995925E-6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6.9999999999997144E-6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1.6763054614239528E-5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4.0999999999999997E-6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2.0011999999999999E-2</v>
      </c>
      <c r="H84" s="27" t="s">
        <v>113</v>
      </c>
    </row>
    <row r="85" spans="2:12" ht="14.25" customHeight="1" x14ac:dyDescent="0.3">
      <c r="G85" s="57">
        <f>G84</f>
        <v>2.0011999999999999E-2</v>
      </c>
    </row>
    <row r="86" spans="2:12" ht="14.25" customHeight="1" x14ac:dyDescent="0.3">
      <c r="F86" s="27" t="s">
        <v>155</v>
      </c>
      <c r="G86" s="27">
        <f>IF(G80&gt;G82,G80,G82)</f>
        <v>1.6763054614239528E-5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0.02</v>
      </c>
      <c r="D92" s="60" t="s">
        <v>113</v>
      </c>
      <c r="E92" s="66"/>
      <c r="F92" s="59" t="s">
        <v>273</v>
      </c>
      <c r="G92" s="59">
        <f>S22</f>
        <v>0.01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3.0000000000000001E-3</v>
      </c>
      <c r="F97" s="71">
        <v>2</v>
      </c>
      <c r="G97" s="71">
        <v>60</v>
      </c>
      <c r="H97" s="71">
        <f t="shared" ref="H97:H101" si="1">E97/F97</f>
        <v>1.5E-3</v>
      </c>
      <c r="I97" s="71">
        <v>1</v>
      </c>
      <c r="J97" s="71">
        <f t="shared" ref="J97:J101" si="2">H97*I97</f>
        <v>1.5E-3</v>
      </c>
      <c r="K97" s="71">
        <f t="shared" ref="K97:K101" si="3">J97^2</f>
        <v>2.2500000000000001E-6</v>
      </c>
      <c r="L97" s="71">
        <f t="shared" ref="L97:L101" si="4">J97^4/G97</f>
        <v>8.4375000000000007E-14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5.3009433122792118E-3</v>
      </c>
      <c r="F98" s="74">
        <v>1</v>
      </c>
      <c r="G98" s="74">
        <f>IF(G80&gt;G82,9,1000)</f>
        <v>9</v>
      </c>
      <c r="H98" s="74">
        <f t="shared" si="1"/>
        <v>5.3009433122792118E-3</v>
      </c>
      <c r="I98" s="74">
        <v>1</v>
      </c>
      <c r="J98" s="74">
        <f t="shared" si="2"/>
        <v>5.3009433122792118E-3</v>
      </c>
      <c r="K98" s="74">
        <f t="shared" si="3"/>
        <v>2.8099999999997701E-5</v>
      </c>
      <c r="L98" s="74">
        <f t="shared" si="4"/>
        <v>8.7734444444430091E-11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v>5.0000000000000002E-5</v>
      </c>
      <c r="F99" s="77">
        <f>SQRT(3)</f>
        <v>1.7320508075688772</v>
      </c>
      <c r="G99" s="77">
        <v>1000</v>
      </c>
      <c r="H99" s="77">
        <f t="shared" si="1"/>
        <v>2.8867513459481293E-5</v>
      </c>
      <c r="I99" s="77">
        <v>1</v>
      </c>
      <c r="J99" s="77">
        <f t="shared" si="2"/>
        <v>2.8867513459481293E-5</v>
      </c>
      <c r="K99" s="77">
        <f t="shared" si="3"/>
        <v>8.3333333333333356E-10</v>
      </c>
      <c r="L99" s="77">
        <f t="shared" si="4"/>
        <v>6.9444444444444482E-22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8.0000000000000004E-4</v>
      </c>
      <c r="F100" s="77">
        <v>1</v>
      </c>
      <c r="G100" s="77">
        <v>4</v>
      </c>
      <c r="H100" s="77">
        <f t="shared" si="1"/>
        <v>8.0000000000000004E-4</v>
      </c>
      <c r="I100" s="77">
        <v>1</v>
      </c>
      <c r="J100" s="77">
        <f t="shared" si="2"/>
        <v>8.0000000000000004E-4</v>
      </c>
      <c r="K100" s="77">
        <f t="shared" si="3"/>
        <v>6.4000000000000001E-7</v>
      </c>
      <c r="L100" s="77">
        <f t="shared" si="4"/>
        <v>1.0240000000000001E-13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8.2080000000000018E-8</v>
      </c>
      <c r="F101" s="79">
        <v>1</v>
      </c>
      <c r="G101" s="79">
        <v>1000</v>
      </c>
      <c r="H101" s="79">
        <f t="shared" si="1"/>
        <v>8.2080000000000018E-8</v>
      </c>
      <c r="I101" s="79">
        <v>1</v>
      </c>
      <c r="J101" s="79">
        <f t="shared" si="2"/>
        <v>8.2080000000000018E-8</v>
      </c>
      <c r="K101" s="79">
        <f t="shared" si="3"/>
        <v>6.7371264000000029E-15</v>
      </c>
      <c r="L101" s="79">
        <f t="shared" si="4"/>
        <v>4.5388872129576997E-32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3.0990833340068155E-5</v>
      </c>
      <c r="L102" s="71">
        <f t="shared" si="5"/>
        <v>8.7921219445124529E-11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5.5669411116041232E-3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10.923776503251606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2.2281388519862744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1.2403917777484806E-2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1.2403917777484806E-2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2.5999999999999999E-2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E789-1CA5-43FA-83C2-234030228DBA}">
  <sheetPr>
    <tabColor rgb="FF00B050"/>
  </sheetPr>
  <dimension ref="A1:Z1000"/>
  <sheetViews>
    <sheetView topLeftCell="A72" zoomScale="79" zoomScaleNormal="79" workbookViewId="0">
      <selection activeCell="G111" sqref="G111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261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0.05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1.0000000000000001E-5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N10</f>
        <v>5.0005000000000001E-2</v>
      </c>
      <c r="D52" s="3" t="s">
        <v>113</v>
      </c>
    </row>
    <row r="53" spans="1:7" ht="14.25" customHeight="1" x14ac:dyDescent="0.3">
      <c r="B53" s="3" t="s">
        <v>122</v>
      </c>
      <c r="C53" s="36">
        <f>O10</f>
        <v>3.0000000000000001E-3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61">
        <v>5.0009999999999999E-2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62">
        <v>4.999E-2</v>
      </c>
      <c r="G58" s="49">
        <f>B58-B57</f>
        <v>-1.9999999999999185E-5</v>
      </c>
    </row>
    <row r="59" spans="1:7" ht="14.25" customHeight="1" x14ac:dyDescent="0.3">
      <c r="A59" s="28" t="s">
        <v>133</v>
      </c>
      <c r="B59" s="162">
        <v>4.999E-2</v>
      </c>
      <c r="G59" s="47"/>
    </row>
    <row r="60" spans="1:7" ht="14.25" customHeight="1" x14ac:dyDescent="0.3">
      <c r="A60" s="28" t="s">
        <v>134</v>
      </c>
      <c r="B60" s="162">
        <v>5.0009999999999999E-2</v>
      </c>
      <c r="G60" s="49">
        <f>B59-B60</f>
        <v>-1.9999999999999185E-5</v>
      </c>
    </row>
    <row r="61" spans="1:7" ht="14.25" customHeight="1" x14ac:dyDescent="0.3">
      <c r="A61" s="28" t="s">
        <v>135</v>
      </c>
      <c r="B61" s="50"/>
      <c r="C61" s="162">
        <v>0.05</v>
      </c>
      <c r="G61" s="47"/>
    </row>
    <row r="62" spans="1:7" ht="14.25" customHeight="1" x14ac:dyDescent="0.3">
      <c r="A62" s="28" t="s">
        <v>136</v>
      </c>
      <c r="B62" s="50"/>
      <c r="C62" s="162">
        <v>5.0040000000000001E-2</v>
      </c>
      <c r="G62" s="47">
        <f>C62-C61</f>
        <v>3.999999999999837E-5</v>
      </c>
    </row>
    <row r="63" spans="1:7" ht="14.25" customHeight="1" x14ac:dyDescent="0.3">
      <c r="A63" s="28" t="s">
        <v>137</v>
      </c>
      <c r="B63" s="50"/>
      <c r="C63" s="162">
        <v>5.0009999999999999E-2</v>
      </c>
      <c r="G63" s="47"/>
    </row>
    <row r="64" spans="1:7" ht="14.25" customHeight="1" x14ac:dyDescent="0.3">
      <c r="A64" s="28" t="s">
        <v>138</v>
      </c>
      <c r="B64" s="50"/>
      <c r="C64" s="162">
        <v>0.05</v>
      </c>
      <c r="G64" s="47">
        <f>C63-C64</f>
        <v>9.9999999999961231E-6</v>
      </c>
    </row>
    <row r="65" spans="1:19" ht="14.25" customHeight="1" x14ac:dyDescent="0.3">
      <c r="A65" s="28" t="s">
        <v>139</v>
      </c>
      <c r="B65" s="50"/>
      <c r="D65" s="162">
        <v>4.999E-2</v>
      </c>
      <c r="G65" s="47"/>
    </row>
    <row r="66" spans="1:19" ht="14.25" customHeight="1" x14ac:dyDescent="0.3">
      <c r="A66" s="28" t="s">
        <v>140</v>
      </c>
      <c r="B66" s="50"/>
      <c r="D66" s="162">
        <v>5.0009999999999999E-2</v>
      </c>
      <c r="G66" s="47">
        <f>D66-D65</f>
        <v>1.9999999999999185E-5</v>
      </c>
    </row>
    <row r="67" spans="1:19" ht="14.25" customHeight="1" x14ac:dyDescent="0.3">
      <c r="A67" s="28" t="s">
        <v>141</v>
      </c>
      <c r="B67" s="50"/>
      <c r="D67" s="162">
        <v>5.0029999999999998E-2</v>
      </c>
      <c r="G67" s="47"/>
    </row>
    <row r="68" spans="1:19" ht="14.25" customHeight="1" x14ac:dyDescent="0.3">
      <c r="A68" s="28" t="s">
        <v>142</v>
      </c>
      <c r="B68" s="50"/>
      <c r="D68" s="162">
        <v>5.0009999999999999E-2</v>
      </c>
      <c r="G68" s="47">
        <f>D67-D68</f>
        <v>1.9999999999999185E-5</v>
      </c>
    </row>
    <row r="69" spans="1:19" ht="14.25" customHeight="1" x14ac:dyDescent="0.3">
      <c r="A69" s="28" t="s">
        <v>143</v>
      </c>
      <c r="B69" s="50"/>
      <c r="E69" s="162">
        <v>0.05</v>
      </c>
      <c r="G69" s="47"/>
    </row>
    <row r="70" spans="1:19" ht="14.25" customHeight="1" x14ac:dyDescent="0.3">
      <c r="A70" s="28" t="s">
        <v>144</v>
      </c>
      <c r="B70" s="50"/>
      <c r="E70" s="162">
        <v>5.0020000000000002E-2</v>
      </c>
      <c r="G70" s="47">
        <f>E70-E69</f>
        <v>1.9999999999999185E-5</v>
      </c>
    </row>
    <row r="71" spans="1:19" ht="14.25" customHeight="1" x14ac:dyDescent="0.3">
      <c r="A71" s="28" t="s">
        <v>145</v>
      </c>
      <c r="B71" s="50"/>
      <c r="E71" s="162">
        <v>5.0009999999999999E-2</v>
      </c>
      <c r="G71" s="47"/>
    </row>
    <row r="72" spans="1:19" ht="14.25" customHeight="1" x14ac:dyDescent="0.3">
      <c r="A72" s="28" t="s">
        <v>146</v>
      </c>
      <c r="B72" s="50"/>
      <c r="E72" s="162">
        <v>0.05</v>
      </c>
      <c r="G72" s="47">
        <f>E71-E72</f>
        <v>9.9999999999961231E-6</v>
      </c>
    </row>
    <row r="73" spans="1:19" ht="14.25" customHeight="1" x14ac:dyDescent="0.3">
      <c r="A73" s="28" t="s">
        <v>147</v>
      </c>
      <c r="B73" s="50"/>
      <c r="F73" s="162">
        <v>4.999E-2</v>
      </c>
      <c r="G73" s="47"/>
    </row>
    <row r="74" spans="1:19" ht="14.25" customHeight="1" x14ac:dyDescent="0.3">
      <c r="A74" s="28" t="s">
        <v>148</v>
      </c>
      <c r="B74" s="50"/>
      <c r="F74" s="162">
        <v>5.0020000000000002E-2</v>
      </c>
      <c r="G74" s="47">
        <f>F74-F73</f>
        <v>3.0000000000002247E-5</v>
      </c>
    </row>
    <row r="75" spans="1:19" ht="14.25" customHeight="1" x14ac:dyDescent="0.3">
      <c r="A75" s="28" t="s">
        <v>149</v>
      </c>
      <c r="B75" s="50"/>
      <c r="F75" s="162">
        <v>5.0020000000000002E-2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64">
        <v>0.05</v>
      </c>
      <c r="G76" s="53">
        <f>F75-F76</f>
        <v>1.9999999999999185E-5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1.2999999999999123E-5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1.846618531261907E-5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4.0999999999999997E-6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5.0018E-2</v>
      </c>
      <c r="H84" s="27" t="s">
        <v>113</v>
      </c>
    </row>
    <row r="85" spans="2:12" ht="14.25" customHeight="1" x14ac:dyDescent="0.3">
      <c r="G85" s="57">
        <f>G84</f>
        <v>5.0018E-2</v>
      </c>
    </row>
    <row r="86" spans="2:12" ht="14.25" customHeight="1" x14ac:dyDescent="0.3">
      <c r="F86" s="27" t="s">
        <v>155</v>
      </c>
      <c r="G86" s="27">
        <f>IF(G80&gt;G82,G80,G82)</f>
        <v>1.846618531261907E-5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0.05</v>
      </c>
      <c r="D92" s="60" t="s">
        <v>113</v>
      </c>
      <c r="E92" s="66"/>
      <c r="F92" s="59" t="s">
        <v>287</v>
      </c>
      <c r="G92" s="59">
        <f>S21</f>
        <v>1.2E-2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3.0000000000000001E-3</v>
      </c>
      <c r="F97" s="71">
        <v>2</v>
      </c>
      <c r="G97" s="71">
        <v>60</v>
      </c>
      <c r="H97" s="71">
        <f t="shared" ref="H97:H101" si="1">E97/F97</f>
        <v>1.5E-3</v>
      </c>
      <c r="I97" s="71">
        <v>1</v>
      </c>
      <c r="J97" s="71">
        <f t="shared" ref="J97:J101" si="2">H97*I97</f>
        <v>1.5E-3</v>
      </c>
      <c r="K97" s="71">
        <f t="shared" ref="K97:K101" si="3">J97^2</f>
        <v>2.2500000000000001E-6</v>
      </c>
      <c r="L97" s="71">
        <f t="shared" ref="L97:L101" si="4">J97^4/G97</f>
        <v>8.4375000000000007E-14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5.8395205282624719E-3</v>
      </c>
      <c r="F98" s="74">
        <v>1</v>
      </c>
      <c r="G98" s="74">
        <f>IF(G80&gt;G82,9,1000)</f>
        <v>9</v>
      </c>
      <c r="H98" s="74">
        <f t="shared" si="1"/>
        <v>5.8395205282624719E-3</v>
      </c>
      <c r="I98" s="74">
        <v>1</v>
      </c>
      <c r="J98" s="74">
        <f t="shared" si="2"/>
        <v>5.8395205282624719E-3</v>
      </c>
      <c r="K98" s="74">
        <f t="shared" si="3"/>
        <v>3.4099999999998816E-5</v>
      </c>
      <c r="L98" s="74">
        <f t="shared" si="4"/>
        <v>1.2920111111110212E-10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v>5.0000000000000001E-4</v>
      </c>
      <c r="F99" s="77">
        <f>SQRT(3)</f>
        <v>1.7320508075688772</v>
      </c>
      <c r="G99" s="77">
        <v>1000</v>
      </c>
      <c r="H99" s="77">
        <f t="shared" si="1"/>
        <v>2.886751345948129E-4</v>
      </c>
      <c r="I99" s="77">
        <v>1</v>
      </c>
      <c r="J99" s="77">
        <f t="shared" si="2"/>
        <v>2.886751345948129E-4</v>
      </c>
      <c r="K99" s="77">
        <f t="shared" si="3"/>
        <v>8.3333333333333338E-8</v>
      </c>
      <c r="L99" s="77">
        <f t="shared" si="4"/>
        <v>6.944444444444445E-18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9.6000000000000002E-4</v>
      </c>
      <c r="F100" s="77">
        <v>1</v>
      </c>
      <c r="G100" s="77">
        <v>4</v>
      </c>
      <c r="H100" s="77">
        <f t="shared" si="1"/>
        <v>9.6000000000000002E-4</v>
      </c>
      <c r="I100" s="77">
        <v>1</v>
      </c>
      <c r="J100" s="77">
        <f t="shared" si="2"/>
        <v>9.6000000000000002E-4</v>
      </c>
      <c r="K100" s="77">
        <f t="shared" si="3"/>
        <v>9.2159999999999999E-7</v>
      </c>
      <c r="L100" s="77">
        <f t="shared" si="4"/>
        <v>2.1233664000000001E-13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2.0520000000000006E-7</v>
      </c>
      <c r="F101" s="79">
        <v>1</v>
      </c>
      <c r="G101" s="79">
        <v>1000</v>
      </c>
      <c r="H101" s="79">
        <f t="shared" si="1"/>
        <v>2.0520000000000006E-7</v>
      </c>
      <c r="I101" s="79">
        <v>1</v>
      </c>
      <c r="J101" s="79">
        <f t="shared" si="2"/>
        <v>2.0520000000000006E-7</v>
      </c>
      <c r="K101" s="79">
        <f t="shared" si="3"/>
        <v>4.2107040000000025E-14</v>
      </c>
      <c r="L101" s="79">
        <f t="shared" si="4"/>
        <v>1.7730028175616024E-30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3.7354933375439189E-5</v>
      </c>
      <c r="L102" s="71">
        <f t="shared" si="5"/>
        <v>1.2949782969554655E-10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6.1118682393715906E-3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10.775401029994933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2.2281388519862744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1.3618091082364787E-2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1.3618091082364787E-2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2.5999999999999999E-2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4A83-E0C9-4605-A099-15E5BF4B1080}">
  <sheetPr>
    <tabColor rgb="FF00B050"/>
  </sheetPr>
  <dimension ref="A1:Z1000"/>
  <sheetViews>
    <sheetView topLeftCell="A66" zoomScale="79" zoomScaleNormal="79" workbookViewId="0">
      <selection activeCell="M102" sqref="M102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261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0.1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1.0000000000000001E-5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N11</f>
        <v>0.100008</v>
      </c>
      <c r="D52" s="3" t="s">
        <v>113</v>
      </c>
    </row>
    <row r="53" spans="1:7" ht="14.25" customHeight="1" x14ac:dyDescent="0.3">
      <c r="B53" s="3" t="s">
        <v>122</v>
      </c>
      <c r="C53" s="36">
        <f>O11</f>
        <v>3.0000000000000001E-3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61">
        <v>0.1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62">
        <v>0.1</v>
      </c>
      <c r="G58" s="49">
        <f>B58-B57</f>
        <v>0</v>
      </c>
    </row>
    <row r="59" spans="1:7" ht="14.25" customHeight="1" x14ac:dyDescent="0.3">
      <c r="A59" s="28" t="s">
        <v>133</v>
      </c>
      <c r="B59" s="162">
        <v>0.10001</v>
      </c>
      <c r="G59" s="47"/>
    </row>
    <row r="60" spans="1:7" ht="14.25" customHeight="1" x14ac:dyDescent="0.3">
      <c r="A60" s="28" t="s">
        <v>134</v>
      </c>
      <c r="B60" s="162">
        <v>0.10001</v>
      </c>
      <c r="G60" s="49">
        <f>B59-B60</f>
        <v>0</v>
      </c>
    </row>
    <row r="61" spans="1:7" ht="14.25" customHeight="1" x14ac:dyDescent="0.3">
      <c r="A61" s="28" t="s">
        <v>135</v>
      </c>
      <c r="B61" s="50"/>
      <c r="C61" s="162">
        <v>0.1</v>
      </c>
      <c r="G61" s="47"/>
    </row>
    <row r="62" spans="1:7" ht="14.25" customHeight="1" x14ac:dyDescent="0.3">
      <c r="A62" s="28" t="s">
        <v>136</v>
      </c>
      <c r="B62" s="50"/>
      <c r="C62" s="162">
        <v>0.10002</v>
      </c>
      <c r="G62" s="47">
        <f>C62-C61</f>
        <v>1.9999999999992246E-5</v>
      </c>
    </row>
    <row r="63" spans="1:7" ht="14.25" customHeight="1" x14ac:dyDescent="0.3">
      <c r="A63" s="28" t="s">
        <v>137</v>
      </c>
      <c r="B63" s="50"/>
      <c r="C63" s="162">
        <v>0.10001</v>
      </c>
      <c r="G63" s="47"/>
    </row>
    <row r="64" spans="1:7" ht="14.25" customHeight="1" x14ac:dyDescent="0.3">
      <c r="A64" s="28" t="s">
        <v>138</v>
      </c>
      <c r="B64" s="50"/>
      <c r="C64" s="162">
        <v>9.9989999999999996E-2</v>
      </c>
      <c r="G64" s="47">
        <f>C63-C64</f>
        <v>2.0000000000006124E-5</v>
      </c>
    </row>
    <row r="65" spans="1:19" ht="14.25" customHeight="1" x14ac:dyDescent="0.3">
      <c r="A65" s="28" t="s">
        <v>139</v>
      </c>
      <c r="B65" s="50"/>
      <c r="D65" s="162">
        <v>0.1</v>
      </c>
      <c r="G65" s="47"/>
    </row>
    <row r="66" spans="1:19" ht="14.25" customHeight="1" x14ac:dyDescent="0.3">
      <c r="A66" s="28" t="s">
        <v>140</v>
      </c>
      <c r="B66" s="50"/>
      <c r="D66" s="162">
        <v>0.10002</v>
      </c>
      <c r="G66" s="47">
        <f>D66-D65</f>
        <v>1.9999999999992246E-5</v>
      </c>
    </row>
    <row r="67" spans="1:19" ht="14.25" customHeight="1" x14ac:dyDescent="0.3">
      <c r="A67" s="28" t="s">
        <v>141</v>
      </c>
      <c r="B67" s="50"/>
      <c r="D67" s="162">
        <v>0.10004</v>
      </c>
      <c r="G67" s="47"/>
    </row>
    <row r="68" spans="1:19" ht="14.25" customHeight="1" x14ac:dyDescent="0.3">
      <c r="A68" s="28" t="s">
        <v>142</v>
      </c>
      <c r="B68" s="50"/>
      <c r="D68" s="162">
        <v>0.10001</v>
      </c>
      <c r="G68" s="47">
        <f>D67-D68</f>
        <v>3.0000000000002247E-5</v>
      </c>
    </row>
    <row r="69" spans="1:19" ht="14.25" customHeight="1" x14ac:dyDescent="0.3">
      <c r="A69" s="28" t="s">
        <v>143</v>
      </c>
      <c r="B69" s="50"/>
      <c r="E69" s="162">
        <v>0.10001</v>
      </c>
      <c r="G69" s="47"/>
    </row>
    <row r="70" spans="1:19" ht="14.25" customHeight="1" x14ac:dyDescent="0.3">
      <c r="A70" s="28" t="s">
        <v>144</v>
      </c>
      <c r="B70" s="50"/>
      <c r="E70" s="162">
        <v>0.10002</v>
      </c>
      <c r="G70" s="47">
        <f>E70-E69</f>
        <v>9.9999999999961231E-6</v>
      </c>
    </row>
    <row r="71" spans="1:19" ht="14.25" customHeight="1" x14ac:dyDescent="0.3">
      <c r="A71" s="28" t="s">
        <v>145</v>
      </c>
      <c r="B71" s="50"/>
      <c r="E71" s="162">
        <v>0.10001</v>
      </c>
      <c r="G71" s="47"/>
    </row>
    <row r="72" spans="1:19" ht="14.25" customHeight="1" x14ac:dyDescent="0.3">
      <c r="A72" s="28" t="s">
        <v>146</v>
      </c>
      <c r="B72" s="50"/>
      <c r="E72" s="162">
        <v>0.1</v>
      </c>
      <c r="G72" s="47">
        <f>E71-E72</f>
        <v>9.9999999999961231E-6</v>
      </c>
    </row>
    <row r="73" spans="1:19" ht="14.25" customHeight="1" x14ac:dyDescent="0.3">
      <c r="A73" s="28" t="s">
        <v>147</v>
      </c>
      <c r="B73" s="50"/>
      <c r="F73" s="162">
        <v>0.1</v>
      </c>
      <c r="G73" s="47"/>
    </row>
    <row r="74" spans="1:19" ht="14.25" customHeight="1" x14ac:dyDescent="0.3">
      <c r="A74" s="28" t="s">
        <v>148</v>
      </c>
      <c r="B74" s="50"/>
      <c r="F74" s="162">
        <v>0.10004</v>
      </c>
      <c r="G74" s="47">
        <f>F74-F73</f>
        <v>3.999999999999837E-5</v>
      </c>
    </row>
    <row r="75" spans="1:19" ht="14.25" customHeight="1" x14ac:dyDescent="0.3">
      <c r="A75" s="28" t="s">
        <v>149</v>
      </c>
      <c r="B75" s="50"/>
      <c r="F75" s="162">
        <v>0.10001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64">
        <v>0.1</v>
      </c>
      <c r="G76" s="53">
        <f>F75-F76</f>
        <v>9.9999999999961231E-6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1.599999999999796E-5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1.2000000000000204E-5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4.0999999999999997E-6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0.100024</v>
      </c>
      <c r="H84" s="27" t="s">
        <v>113</v>
      </c>
    </row>
    <row r="85" spans="2:12" ht="14.25" customHeight="1" x14ac:dyDescent="0.3">
      <c r="G85" s="57">
        <f>G84</f>
        <v>0.100024</v>
      </c>
    </row>
    <row r="86" spans="2:12" ht="14.25" customHeight="1" x14ac:dyDescent="0.3">
      <c r="F86" s="27" t="s">
        <v>155</v>
      </c>
      <c r="G86" s="27">
        <f>IF(G80&gt;G82,G80,G82)</f>
        <v>1.2000000000000204E-5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0.1</v>
      </c>
      <c r="D92" s="60" t="s">
        <v>113</v>
      </c>
      <c r="E92" s="66"/>
      <c r="F92" s="59" t="s">
        <v>274</v>
      </c>
      <c r="G92" s="59">
        <f>S20</f>
        <v>1.4999999999999999E-2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3.0000000000000001E-3</v>
      </c>
      <c r="F97" s="71">
        <v>2</v>
      </c>
      <c r="G97" s="71">
        <v>60</v>
      </c>
      <c r="H97" s="71">
        <f t="shared" ref="H97:H101" si="1">E97/F97</f>
        <v>1.5E-3</v>
      </c>
      <c r="I97" s="71">
        <v>1</v>
      </c>
      <c r="J97" s="71">
        <f t="shared" ref="J97:J101" si="2">H97*I97</f>
        <v>1.5E-3</v>
      </c>
      <c r="K97" s="71">
        <f t="shared" ref="K97:K101" si="3">J97^2</f>
        <v>2.2500000000000001E-6</v>
      </c>
      <c r="L97" s="71">
        <f t="shared" ref="L97:L101" si="4">J97^4/G97</f>
        <v>8.4375000000000007E-14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3.794733192202119E-3</v>
      </c>
      <c r="F98" s="74">
        <v>1</v>
      </c>
      <c r="G98" s="74">
        <f>IF(G80&gt;G82,9,1000)</f>
        <v>9</v>
      </c>
      <c r="H98" s="74">
        <f t="shared" si="1"/>
        <v>3.794733192202119E-3</v>
      </c>
      <c r="I98" s="74">
        <v>1</v>
      </c>
      <c r="J98" s="74">
        <f t="shared" si="2"/>
        <v>3.794733192202119E-3</v>
      </c>
      <c r="K98" s="74">
        <f t="shared" si="3"/>
        <v>1.4400000000000484E-5</v>
      </c>
      <c r="L98" s="74">
        <f t="shared" si="4"/>
        <v>2.3040000000001546E-11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v>5.0000000000000002E-5</v>
      </c>
      <c r="F99" s="77">
        <f>SQRT(3)</f>
        <v>1.7320508075688772</v>
      </c>
      <c r="G99" s="77">
        <v>1000</v>
      </c>
      <c r="H99" s="77">
        <f t="shared" si="1"/>
        <v>2.8867513459481293E-5</v>
      </c>
      <c r="I99" s="77">
        <v>1</v>
      </c>
      <c r="J99" s="77">
        <f t="shared" si="2"/>
        <v>2.8867513459481293E-5</v>
      </c>
      <c r="K99" s="77">
        <f t="shared" si="3"/>
        <v>8.3333333333333356E-10</v>
      </c>
      <c r="L99" s="77">
        <f t="shared" si="4"/>
        <v>6.9444444444444482E-22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1.1999999999999999E-3</v>
      </c>
      <c r="F100" s="77">
        <v>1</v>
      </c>
      <c r="G100" s="77">
        <v>4</v>
      </c>
      <c r="H100" s="77">
        <f t="shared" si="1"/>
        <v>1.1999999999999999E-3</v>
      </c>
      <c r="I100" s="77">
        <v>1</v>
      </c>
      <c r="J100" s="77">
        <f t="shared" si="2"/>
        <v>1.1999999999999999E-3</v>
      </c>
      <c r="K100" s="77">
        <f t="shared" si="3"/>
        <v>1.4399999999999998E-6</v>
      </c>
      <c r="L100" s="77">
        <f t="shared" si="4"/>
        <v>5.1839999999999979E-13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4.1040000000000013E-7</v>
      </c>
      <c r="F101" s="79">
        <v>1</v>
      </c>
      <c r="G101" s="79">
        <v>1000</v>
      </c>
      <c r="H101" s="79">
        <f t="shared" si="1"/>
        <v>4.1040000000000013E-7</v>
      </c>
      <c r="I101" s="79">
        <v>1</v>
      </c>
      <c r="J101" s="79">
        <f t="shared" si="2"/>
        <v>4.1040000000000013E-7</v>
      </c>
      <c r="K101" s="79">
        <f t="shared" si="3"/>
        <v>1.684281600000001E-13</v>
      </c>
      <c r="L101" s="79">
        <f t="shared" si="4"/>
        <v>2.8368045080985639E-29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1.8090833501761976E-5</v>
      </c>
      <c r="L102" s="71">
        <f t="shared" si="5"/>
        <v>2.364277500069599E-11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4.2533320469676445E-3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13.842632972603216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2.1603686564627926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9.1887652397976294E-3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9.1887652397976294E-3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2.5999999999999999E-2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EFA8-D928-457B-87CE-432A8C103510}">
  <sheetPr>
    <tabColor rgb="FF00B050"/>
  </sheetPr>
  <dimension ref="A1:Z1000"/>
  <sheetViews>
    <sheetView topLeftCell="A14" zoomScale="79" zoomScaleNormal="79" workbookViewId="0">
      <selection activeCell="N31" sqref="N31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261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0.2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2.0000000000000002E-5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N12</f>
        <v>0.20000899999999999</v>
      </c>
      <c r="D52" s="3" t="s">
        <v>113</v>
      </c>
    </row>
    <row r="53" spans="1:7" ht="14.25" customHeight="1" x14ac:dyDescent="0.3">
      <c r="B53" s="3" t="s">
        <v>122</v>
      </c>
      <c r="C53" s="36">
        <f>O12</f>
        <v>5.0000000000000001E-3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61">
        <v>0.20002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62">
        <v>0.20003000000000001</v>
      </c>
      <c r="G58" s="49">
        <f>B58-B57</f>
        <v>1.0000000000010001E-5</v>
      </c>
    </row>
    <row r="59" spans="1:7" ht="14.25" customHeight="1" x14ac:dyDescent="0.3">
      <c r="A59" s="28" t="s">
        <v>133</v>
      </c>
      <c r="B59" s="162">
        <v>0.20003000000000001</v>
      </c>
      <c r="G59" s="47"/>
    </row>
    <row r="60" spans="1:7" ht="14.25" customHeight="1" x14ac:dyDescent="0.3">
      <c r="A60" s="28" t="s">
        <v>134</v>
      </c>
      <c r="B60" s="162">
        <v>0.2</v>
      </c>
      <c r="G60" s="49">
        <f>B59-B60</f>
        <v>3.0000000000002247E-5</v>
      </c>
    </row>
    <row r="61" spans="1:7" ht="14.25" customHeight="1" x14ac:dyDescent="0.3">
      <c r="A61" s="28" t="s">
        <v>135</v>
      </c>
      <c r="B61" s="50"/>
      <c r="C61" s="162">
        <v>0.20000999999999999</v>
      </c>
      <c r="G61" s="47"/>
    </row>
    <row r="62" spans="1:7" ht="14.25" customHeight="1" x14ac:dyDescent="0.3">
      <c r="A62" s="28" t="s">
        <v>136</v>
      </c>
      <c r="B62" s="50"/>
      <c r="C62" s="162">
        <v>0.20002</v>
      </c>
      <c r="G62" s="47">
        <f>C62-C61</f>
        <v>1.0000000000010001E-5</v>
      </c>
    </row>
    <row r="63" spans="1:7" ht="14.25" customHeight="1" x14ac:dyDescent="0.3">
      <c r="A63" s="28" t="s">
        <v>137</v>
      </c>
      <c r="B63" s="50"/>
      <c r="C63" s="162">
        <v>0.20002</v>
      </c>
      <c r="G63" s="47"/>
    </row>
    <row r="64" spans="1:7" ht="14.25" customHeight="1" x14ac:dyDescent="0.3">
      <c r="A64" s="28" t="s">
        <v>138</v>
      </c>
      <c r="B64" s="50"/>
      <c r="C64" s="162">
        <v>0.2</v>
      </c>
      <c r="G64" s="47">
        <f>C63-C64</f>
        <v>1.9999999999992246E-5</v>
      </c>
    </row>
    <row r="65" spans="1:19" ht="14.25" customHeight="1" x14ac:dyDescent="0.3">
      <c r="A65" s="28" t="s">
        <v>139</v>
      </c>
      <c r="B65" s="50"/>
      <c r="D65" s="162">
        <v>0.19999</v>
      </c>
      <c r="G65" s="47"/>
    </row>
    <row r="66" spans="1:19" ht="14.25" customHeight="1" x14ac:dyDescent="0.3">
      <c r="A66" s="28" t="s">
        <v>140</v>
      </c>
      <c r="B66" s="50"/>
      <c r="D66" s="162">
        <v>0.2</v>
      </c>
      <c r="G66" s="47">
        <f>D66-D65</f>
        <v>1.0000000000010001E-5</v>
      </c>
    </row>
    <row r="67" spans="1:19" ht="14.25" customHeight="1" x14ac:dyDescent="0.3">
      <c r="A67" s="28" t="s">
        <v>141</v>
      </c>
      <c r="B67" s="50"/>
      <c r="D67" s="162">
        <v>0.20003000000000001</v>
      </c>
      <c r="G67" s="47"/>
    </row>
    <row r="68" spans="1:19" ht="14.25" customHeight="1" x14ac:dyDescent="0.3">
      <c r="A68" s="28" t="s">
        <v>142</v>
      </c>
      <c r="B68" s="50"/>
      <c r="D68" s="162">
        <v>0.2</v>
      </c>
      <c r="G68" s="47">
        <f>D67-D68</f>
        <v>3.0000000000002247E-5</v>
      </c>
    </row>
    <row r="69" spans="1:19" ht="14.25" customHeight="1" x14ac:dyDescent="0.3">
      <c r="A69" s="28" t="s">
        <v>143</v>
      </c>
      <c r="B69" s="50"/>
      <c r="E69" s="162">
        <v>0.19997999999999999</v>
      </c>
      <c r="G69" s="47"/>
    </row>
    <row r="70" spans="1:19" ht="14.25" customHeight="1" x14ac:dyDescent="0.3">
      <c r="A70" s="28" t="s">
        <v>144</v>
      </c>
      <c r="B70" s="50"/>
      <c r="E70" s="162">
        <v>0.20002</v>
      </c>
      <c r="G70" s="47">
        <f>E70-E69</f>
        <v>4.0000000000012248E-5</v>
      </c>
    </row>
    <row r="71" spans="1:19" ht="14.25" customHeight="1" x14ac:dyDescent="0.3">
      <c r="A71" s="28" t="s">
        <v>145</v>
      </c>
      <c r="B71" s="50"/>
      <c r="E71" s="162">
        <v>0.20000999999999999</v>
      </c>
      <c r="G71" s="47"/>
    </row>
    <row r="72" spans="1:19" ht="14.25" customHeight="1" x14ac:dyDescent="0.3">
      <c r="A72" s="28" t="s">
        <v>146</v>
      </c>
      <c r="B72" s="50"/>
      <c r="E72" s="162">
        <v>0.2</v>
      </c>
      <c r="G72" s="47">
        <f>E71-E72</f>
        <v>9.9999999999822453E-6</v>
      </c>
    </row>
    <row r="73" spans="1:19" ht="14.25" customHeight="1" x14ac:dyDescent="0.3">
      <c r="A73" s="28" t="s">
        <v>147</v>
      </c>
      <c r="B73" s="50"/>
      <c r="F73" s="162">
        <v>0.2</v>
      </c>
      <c r="G73" s="47"/>
    </row>
    <row r="74" spans="1:19" ht="14.25" customHeight="1" x14ac:dyDescent="0.3">
      <c r="A74" s="28" t="s">
        <v>148</v>
      </c>
      <c r="B74" s="50"/>
      <c r="F74" s="162">
        <v>0.20002</v>
      </c>
      <c r="G74" s="47">
        <f>F74-F73</f>
        <v>1.9999999999992246E-5</v>
      </c>
    </row>
    <row r="75" spans="1:19" ht="14.25" customHeight="1" x14ac:dyDescent="0.3">
      <c r="A75" s="28" t="s">
        <v>149</v>
      </c>
      <c r="B75" s="50"/>
      <c r="F75" s="162">
        <v>0.20003000000000001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64">
        <v>0.20000999999999999</v>
      </c>
      <c r="G76" s="53">
        <f>F75-F76</f>
        <v>2.0000000000020002E-5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2.0000000000003349E-5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1.0000000000001675E-5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8.1999999999999994E-6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0.20002899999999998</v>
      </c>
      <c r="H84" s="27" t="s">
        <v>113</v>
      </c>
    </row>
    <row r="85" spans="2:12" ht="14.25" customHeight="1" x14ac:dyDescent="0.3">
      <c r="G85" s="57">
        <f>G84</f>
        <v>0.20002899999999998</v>
      </c>
    </row>
    <row r="86" spans="2:12" ht="14.25" customHeight="1" x14ac:dyDescent="0.3">
      <c r="F86" s="27" t="s">
        <v>155</v>
      </c>
      <c r="G86" s="27">
        <f>IF(G80&gt;G82,G80,G82)</f>
        <v>1.0000000000001675E-5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0.2</v>
      </c>
      <c r="D92" s="60" t="s">
        <v>113</v>
      </c>
      <c r="E92" s="66"/>
      <c r="F92" s="59" t="s">
        <v>275</v>
      </c>
      <c r="G92" s="59">
        <f>S19</f>
        <v>0.02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5.0000000000000001E-3</v>
      </c>
      <c r="F97" s="71">
        <v>2</v>
      </c>
      <c r="G97" s="71">
        <v>60</v>
      </c>
      <c r="H97" s="71">
        <f t="shared" ref="H97:H101" si="1">E97/F97</f>
        <v>2.5000000000000001E-3</v>
      </c>
      <c r="I97" s="71">
        <v>1</v>
      </c>
      <c r="J97" s="71">
        <f t="shared" ref="J97:J101" si="2">H97*I97</f>
        <v>2.5000000000000001E-3</v>
      </c>
      <c r="K97" s="71">
        <f t="shared" ref="K97:K101" si="3">J97^2</f>
        <v>6.2500000000000003E-6</v>
      </c>
      <c r="L97" s="71">
        <f t="shared" ref="L97:L101" si="4">J97^4/G97</f>
        <v>6.5104166666666664E-13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3.1622776601689085E-3</v>
      </c>
      <c r="F98" s="74">
        <v>1</v>
      </c>
      <c r="G98" s="74">
        <f>IF(G80&gt;G82,9,1000)</f>
        <v>9</v>
      </c>
      <c r="H98" s="74">
        <f t="shared" si="1"/>
        <v>3.1622776601689085E-3</v>
      </c>
      <c r="I98" s="74">
        <v>1</v>
      </c>
      <c r="J98" s="74">
        <f t="shared" si="2"/>
        <v>3.1622776601689085E-3</v>
      </c>
      <c r="K98" s="74">
        <f t="shared" si="3"/>
        <v>1.0000000000003347E-5</v>
      </c>
      <c r="L98" s="74">
        <f t="shared" si="4"/>
        <v>1.1111111111118548E-11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v>5.0000000000000002E-5</v>
      </c>
      <c r="F99" s="77">
        <f>SQRT(3)</f>
        <v>1.7320508075688772</v>
      </c>
      <c r="G99" s="77">
        <v>1000</v>
      </c>
      <c r="H99" s="77">
        <f t="shared" si="1"/>
        <v>2.8867513459481293E-5</v>
      </c>
      <c r="I99" s="77">
        <v>1</v>
      </c>
      <c r="J99" s="77">
        <f t="shared" si="2"/>
        <v>2.8867513459481293E-5</v>
      </c>
      <c r="K99" s="77">
        <f t="shared" si="3"/>
        <v>8.3333333333333356E-10</v>
      </c>
      <c r="L99" s="77">
        <f t="shared" si="4"/>
        <v>6.9444444444444482E-22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1.6000000000000001E-3</v>
      </c>
      <c r="F100" s="77">
        <v>1</v>
      </c>
      <c r="G100" s="77">
        <v>4</v>
      </c>
      <c r="H100" s="77">
        <f t="shared" si="1"/>
        <v>1.6000000000000001E-3</v>
      </c>
      <c r="I100" s="77">
        <v>1</v>
      </c>
      <c r="J100" s="77">
        <f t="shared" si="2"/>
        <v>1.6000000000000001E-3</v>
      </c>
      <c r="K100" s="77">
        <f t="shared" si="3"/>
        <v>2.5600000000000001E-6</v>
      </c>
      <c r="L100" s="77">
        <f t="shared" si="4"/>
        <v>1.6384000000000002E-12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8.2080000000000026E-7</v>
      </c>
      <c r="F101" s="79">
        <v>1</v>
      </c>
      <c r="G101" s="79">
        <v>1000</v>
      </c>
      <c r="H101" s="79">
        <f t="shared" si="1"/>
        <v>8.2080000000000026E-7</v>
      </c>
      <c r="I101" s="79">
        <v>1</v>
      </c>
      <c r="J101" s="79">
        <f t="shared" si="2"/>
        <v>8.2080000000000026E-7</v>
      </c>
      <c r="K101" s="79">
        <f t="shared" si="3"/>
        <v>6.737126400000004E-13</v>
      </c>
      <c r="L101" s="79">
        <f t="shared" si="4"/>
        <v>4.5388872129577022E-28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1.8810834007049316E-5</v>
      </c>
      <c r="L102" s="71">
        <f t="shared" si="5"/>
        <v>1.3400552778479658E-11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4.3371458364976981E-3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26.405438782273006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2.0555294386428731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8.9151309466083874E-3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8.9151309466083874E-3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2.5999999999999999E-2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02FF-9969-4BEF-94A8-1639271C23C2}">
  <sheetPr>
    <tabColor rgb="FF00B050"/>
  </sheetPr>
  <dimension ref="A1:Z1000"/>
  <sheetViews>
    <sheetView topLeftCell="A65" zoomScale="79" zoomScaleNormal="79" workbookViewId="0">
      <selection activeCell="K109" sqref="K109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261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0.02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1.0000000000000001E-5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N13</f>
        <v>0.20000200000000001</v>
      </c>
      <c r="D52" s="3" t="s">
        <v>113</v>
      </c>
    </row>
    <row r="53" spans="1:7" ht="14.25" customHeight="1" x14ac:dyDescent="0.3">
      <c r="B53" s="3" t="s">
        <v>122</v>
      </c>
      <c r="C53" s="36">
        <f>O13</f>
        <v>5.0000000000000001E-3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61">
        <v>0.2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62">
        <v>0.20005000000000001</v>
      </c>
      <c r="G58" s="49">
        <f>B58-B57</f>
        <v>4.9999999999994493E-5</v>
      </c>
    </row>
    <row r="59" spans="1:7" ht="14.25" customHeight="1" x14ac:dyDescent="0.3">
      <c r="A59" s="28" t="s">
        <v>133</v>
      </c>
      <c r="B59" s="162">
        <v>0.20003000000000001</v>
      </c>
      <c r="G59" s="47"/>
    </row>
    <row r="60" spans="1:7" ht="14.25" customHeight="1" x14ac:dyDescent="0.3">
      <c r="A60" s="28" t="s">
        <v>134</v>
      </c>
      <c r="B60" s="162">
        <v>0.20000999999999999</v>
      </c>
      <c r="G60" s="49">
        <f>B59-B60</f>
        <v>2.0000000000020002E-5</v>
      </c>
    </row>
    <row r="61" spans="1:7" ht="14.25" customHeight="1" x14ac:dyDescent="0.3">
      <c r="A61" s="28" t="s">
        <v>135</v>
      </c>
      <c r="B61" s="50"/>
      <c r="C61" s="162">
        <v>0.2</v>
      </c>
      <c r="G61" s="47"/>
    </row>
    <row r="62" spans="1:7" ht="14.25" customHeight="1" x14ac:dyDescent="0.3">
      <c r="A62" s="28" t="s">
        <v>136</v>
      </c>
      <c r="B62" s="50"/>
      <c r="C62" s="162">
        <v>0.20003000000000001</v>
      </c>
      <c r="G62" s="47">
        <f>C62-C61</f>
        <v>3.0000000000002247E-5</v>
      </c>
    </row>
    <row r="63" spans="1:7" ht="14.25" customHeight="1" x14ac:dyDescent="0.3">
      <c r="A63" s="28" t="s">
        <v>137</v>
      </c>
      <c r="B63" s="50"/>
      <c r="C63" s="162">
        <v>0.20003000000000001</v>
      </c>
      <c r="G63" s="47"/>
    </row>
    <row r="64" spans="1:7" ht="14.25" customHeight="1" x14ac:dyDescent="0.3">
      <c r="A64" s="28" t="s">
        <v>138</v>
      </c>
      <c r="B64" s="50"/>
      <c r="C64" s="162">
        <v>0.2</v>
      </c>
      <c r="G64" s="47">
        <f>C63-C64</f>
        <v>3.0000000000002247E-5</v>
      </c>
    </row>
    <row r="65" spans="1:19" ht="14.25" customHeight="1" x14ac:dyDescent="0.3">
      <c r="A65" s="28" t="s">
        <v>139</v>
      </c>
      <c r="B65" s="50"/>
      <c r="D65" s="162">
        <v>0.2</v>
      </c>
      <c r="G65" s="47"/>
    </row>
    <row r="66" spans="1:19" ht="14.25" customHeight="1" x14ac:dyDescent="0.3">
      <c r="A66" s="28" t="s">
        <v>140</v>
      </c>
      <c r="B66" s="50"/>
      <c r="D66" s="162">
        <v>0.20004</v>
      </c>
      <c r="G66" s="47">
        <f>D66-D65</f>
        <v>3.9999999999984492E-5</v>
      </c>
    </row>
    <row r="67" spans="1:19" ht="14.25" customHeight="1" x14ac:dyDescent="0.3">
      <c r="A67" s="28" t="s">
        <v>141</v>
      </c>
      <c r="B67" s="50"/>
      <c r="D67" s="162">
        <v>0.20003000000000001</v>
      </c>
      <c r="G67" s="47"/>
    </row>
    <row r="68" spans="1:19" ht="14.25" customHeight="1" x14ac:dyDescent="0.3">
      <c r="A68" s="28" t="s">
        <v>142</v>
      </c>
      <c r="B68" s="50"/>
      <c r="D68" s="162">
        <v>0.2</v>
      </c>
      <c r="G68" s="47">
        <f>D67-D68</f>
        <v>3.0000000000002247E-5</v>
      </c>
    </row>
    <row r="69" spans="1:19" ht="14.25" customHeight="1" x14ac:dyDescent="0.3">
      <c r="A69" s="28" t="s">
        <v>143</v>
      </c>
      <c r="B69" s="50"/>
      <c r="E69" s="162">
        <v>0.2</v>
      </c>
      <c r="G69" s="47"/>
    </row>
    <row r="70" spans="1:19" ht="14.25" customHeight="1" x14ac:dyDescent="0.3">
      <c r="A70" s="28" t="s">
        <v>144</v>
      </c>
      <c r="B70" s="50"/>
      <c r="E70" s="162">
        <v>0.20004</v>
      </c>
      <c r="G70" s="47">
        <f>E70-E69</f>
        <v>3.9999999999984492E-5</v>
      </c>
    </row>
    <row r="71" spans="1:19" ht="14.25" customHeight="1" x14ac:dyDescent="0.3">
      <c r="A71" s="28" t="s">
        <v>145</v>
      </c>
      <c r="B71" s="50"/>
      <c r="E71" s="162">
        <v>0.20004</v>
      </c>
      <c r="G71" s="47"/>
    </row>
    <row r="72" spans="1:19" ht="14.25" customHeight="1" x14ac:dyDescent="0.3">
      <c r="A72" s="28" t="s">
        <v>146</v>
      </c>
      <c r="B72" s="50"/>
      <c r="E72" s="162">
        <v>0.2</v>
      </c>
      <c r="G72" s="47">
        <f>E71-E72</f>
        <v>3.9999999999984492E-5</v>
      </c>
    </row>
    <row r="73" spans="1:19" ht="14.25" customHeight="1" x14ac:dyDescent="0.3">
      <c r="A73" s="28" t="s">
        <v>147</v>
      </c>
      <c r="B73" s="50"/>
      <c r="F73" s="162">
        <v>0.20000999999999999</v>
      </c>
      <c r="G73" s="47"/>
    </row>
    <row r="74" spans="1:19" ht="14.25" customHeight="1" x14ac:dyDescent="0.3">
      <c r="A74" s="28" t="s">
        <v>148</v>
      </c>
      <c r="B74" s="50"/>
      <c r="F74" s="162">
        <v>0.20004</v>
      </c>
      <c r="G74" s="47">
        <f>F74-F73</f>
        <v>3.0000000000002247E-5</v>
      </c>
    </row>
    <row r="75" spans="1:19" ht="14.25" customHeight="1" x14ac:dyDescent="0.3">
      <c r="A75" s="28" t="s">
        <v>149</v>
      </c>
      <c r="B75" s="50"/>
      <c r="F75" s="162">
        <v>0.20002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64">
        <v>0.2</v>
      </c>
      <c r="G76" s="53">
        <f>F75-F76</f>
        <v>1.9999999999992246E-5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3.2999999999996919E-5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8.9999999999932731E-6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4.0999999999999997E-6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0.20003500000000002</v>
      </c>
      <c r="H84" s="27" t="s">
        <v>113</v>
      </c>
    </row>
    <row r="85" spans="2:12" ht="14.25" customHeight="1" x14ac:dyDescent="0.3">
      <c r="G85" s="57">
        <f>G84</f>
        <v>0.20003500000000002</v>
      </c>
    </row>
    <row r="86" spans="2:12" ht="14.25" customHeight="1" x14ac:dyDescent="0.3">
      <c r="F86" s="27" t="s">
        <v>155</v>
      </c>
      <c r="G86" s="27">
        <f>IF(G80&gt;G82,G80,G82)</f>
        <v>8.9999999999932731E-6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0.02</v>
      </c>
      <c r="D92" s="60" t="s">
        <v>113</v>
      </c>
      <c r="E92" s="66"/>
      <c r="F92" s="59" t="s">
        <v>275</v>
      </c>
      <c r="G92" s="59">
        <f>S19</f>
        <v>0.02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5.0000000000000001E-3</v>
      </c>
      <c r="F97" s="71">
        <v>2</v>
      </c>
      <c r="G97" s="71">
        <v>60</v>
      </c>
      <c r="H97" s="71">
        <f t="shared" ref="H97:H101" si="1">E97/F97</f>
        <v>2.5000000000000001E-3</v>
      </c>
      <c r="I97" s="71">
        <v>1</v>
      </c>
      <c r="J97" s="71">
        <f t="shared" ref="J97:J101" si="2">H97*I97</f>
        <v>2.5000000000000001E-3</v>
      </c>
      <c r="K97" s="71">
        <f t="shared" ref="K97:K101" si="3">J97^2</f>
        <v>6.2500000000000003E-6</v>
      </c>
      <c r="L97" s="71">
        <f t="shared" ref="L97:L101" si="4">J97^4/G97</f>
        <v>6.5104166666666664E-13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2.846049894149414E-3</v>
      </c>
      <c r="F98" s="74">
        <v>1</v>
      </c>
      <c r="G98" s="74">
        <f>IF(G80&gt;G82,9,1000)</f>
        <v>9</v>
      </c>
      <c r="H98" s="74">
        <f t="shared" si="1"/>
        <v>2.846049894149414E-3</v>
      </c>
      <c r="I98" s="74">
        <v>1</v>
      </c>
      <c r="J98" s="74">
        <f t="shared" si="2"/>
        <v>2.846049894149414E-3</v>
      </c>
      <c r="K98" s="74">
        <f t="shared" si="3"/>
        <v>8.0999999999878912E-6</v>
      </c>
      <c r="L98" s="74">
        <f t="shared" si="4"/>
        <v>7.2899999999782039E-12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v>5.0000000000000002E-5</v>
      </c>
      <c r="F99" s="77">
        <f>SQRT(3)</f>
        <v>1.7320508075688772</v>
      </c>
      <c r="G99" s="77">
        <v>1000</v>
      </c>
      <c r="H99" s="77">
        <f t="shared" si="1"/>
        <v>2.8867513459481293E-5</v>
      </c>
      <c r="I99" s="77">
        <v>1</v>
      </c>
      <c r="J99" s="77">
        <f t="shared" si="2"/>
        <v>2.8867513459481293E-5</v>
      </c>
      <c r="K99" s="77">
        <f t="shared" si="3"/>
        <v>8.3333333333333356E-10</v>
      </c>
      <c r="L99" s="77">
        <f t="shared" si="4"/>
        <v>6.9444444444444482E-22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1.6000000000000001E-3</v>
      </c>
      <c r="F100" s="77">
        <v>1</v>
      </c>
      <c r="G100" s="77">
        <v>4</v>
      </c>
      <c r="H100" s="77">
        <f t="shared" si="1"/>
        <v>1.6000000000000001E-3</v>
      </c>
      <c r="I100" s="77">
        <v>1</v>
      </c>
      <c r="J100" s="77">
        <f t="shared" si="2"/>
        <v>1.6000000000000001E-3</v>
      </c>
      <c r="K100" s="77">
        <f t="shared" si="3"/>
        <v>2.5600000000000001E-6</v>
      </c>
      <c r="L100" s="77">
        <f t="shared" si="4"/>
        <v>1.6384000000000002E-12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8.2080000000000018E-8</v>
      </c>
      <c r="F101" s="79">
        <v>1</v>
      </c>
      <c r="G101" s="79">
        <v>1000</v>
      </c>
      <c r="H101" s="79">
        <f t="shared" si="1"/>
        <v>8.2080000000000018E-8</v>
      </c>
      <c r="I101" s="79">
        <v>1</v>
      </c>
      <c r="J101" s="79">
        <f t="shared" si="2"/>
        <v>8.2080000000000018E-8</v>
      </c>
      <c r="K101" s="79">
        <f t="shared" si="3"/>
        <v>6.7371264000000029E-15</v>
      </c>
      <c r="L101" s="79">
        <f t="shared" si="4"/>
        <v>4.5388872129576997E-32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1.6910833340058352E-5</v>
      </c>
      <c r="L102" s="71">
        <f t="shared" si="5"/>
        <v>9.5794416673393147E-12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4.1122783636395955E-3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29.853126537661648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2.0452296421327048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8.4105536060166738E-3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8.4105536060166738E-3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2.5999999999999999E-2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A4ED-44DF-49EA-9DEA-78CBE9F42F32}">
  <sheetPr>
    <tabColor rgb="FF00B050"/>
  </sheetPr>
  <dimension ref="A1:Z1000"/>
  <sheetViews>
    <sheetView topLeftCell="A62" zoomScale="79" zoomScaleNormal="79" workbookViewId="0">
      <selection activeCell="N102" sqref="N102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261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0.5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1.0000000000000001E-5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N14</f>
        <v>0.50000599999999995</v>
      </c>
      <c r="D52" s="3" t="s">
        <v>113</v>
      </c>
    </row>
    <row r="53" spans="1:7" ht="14.25" customHeight="1" x14ac:dyDescent="0.3">
      <c r="B53" s="3" t="s">
        <v>122</v>
      </c>
      <c r="C53" s="36">
        <f>O14</f>
        <v>6.0000000000000001E-3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61">
        <v>0.49998999999999999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62">
        <v>0.50002999999999997</v>
      </c>
      <c r="G58" s="49">
        <f>B58-B57</f>
        <v>3.9999999999984492E-5</v>
      </c>
    </row>
    <row r="59" spans="1:7" ht="14.25" customHeight="1" x14ac:dyDescent="0.3">
      <c r="A59" s="28" t="s">
        <v>133</v>
      </c>
      <c r="B59" s="162">
        <v>0.50000999999999995</v>
      </c>
      <c r="G59" s="47"/>
    </row>
    <row r="60" spans="1:7" ht="14.25" customHeight="1" x14ac:dyDescent="0.3">
      <c r="A60" s="28" t="s">
        <v>134</v>
      </c>
      <c r="B60" s="162">
        <v>0.5</v>
      </c>
      <c r="G60" s="49">
        <f>B59-B60</f>
        <v>9.9999999999544897E-6</v>
      </c>
    </row>
    <row r="61" spans="1:7" ht="14.25" customHeight="1" x14ac:dyDescent="0.3">
      <c r="A61" s="28" t="s">
        <v>135</v>
      </c>
      <c r="B61" s="50"/>
      <c r="C61" s="162">
        <v>0.50000999999999995</v>
      </c>
      <c r="G61" s="47"/>
    </row>
    <row r="62" spans="1:7" ht="14.25" customHeight="1" x14ac:dyDescent="0.3">
      <c r="A62" s="28" t="s">
        <v>136</v>
      </c>
      <c r="B62" s="50"/>
      <c r="C62" s="162">
        <v>0.50002999999999997</v>
      </c>
      <c r="G62" s="47">
        <f>C62-C61</f>
        <v>2.0000000000020002E-5</v>
      </c>
    </row>
    <row r="63" spans="1:7" ht="14.25" customHeight="1" x14ac:dyDescent="0.3">
      <c r="A63" s="28" t="s">
        <v>137</v>
      </c>
      <c r="B63" s="50"/>
      <c r="C63" s="162">
        <v>0.50002000000000002</v>
      </c>
      <c r="G63" s="47"/>
    </row>
    <row r="64" spans="1:7" ht="14.25" customHeight="1" x14ac:dyDescent="0.3">
      <c r="A64" s="28" t="s">
        <v>138</v>
      </c>
      <c r="B64" s="50"/>
      <c r="C64" s="162">
        <v>0.49997000000000003</v>
      </c>
      <c r="G64" s="47">
        <f>C63-C64</f>
        <v>4.9999999999994493E-5</v>
      </c>
    </row>
    <row r="65" spans="1:19" ht="14.25" customHeight="1" x14ac:dyDescent="0.3">
      <c r="A65" s="28" t="s">
        <v>139</v>
      </c>
      <c r="B65" s="50"/>
      <c r="D65" s="162">
        <v>0.49998999999999999</v>
      </c>
      <c r="G65" s="47"/>
    </row>
    <row r="66" spans="1:19" ht="14.25" customHeight="1" x14ac:dyDescent="0.3">
      <c r="A66" s="28" t="s">
        <v>140</v>
      </c>
      <c r="B66" s="50"/>
      <c r="D66" s="162">
        <v>0.50002999999999997</v>
      </c>
      <c r="G66" s="47">
        <f>D66-D65</f>
        <v>3.9999999999984492E-5</v>
      </c>
    </row>
    <row r="67" spans="1:19" ht="14.25" customHeight="1" x14ac:dyDescent="0.3">
      <c r="A67" s="28" t="s">
        <v>141</v>
      </c>
      <c r="B67" s="50"/>
      <c r="D67" s="162">
        <v>0.50000999999999995</v>
      </c>
      <c r="G67" s="47"/>
    </row>
    <row r="68" spans="1:19" ht="14.25" customHeight="1" x14ac:dyDescent="0.3">
      <c r="A68" s="28" t="s">
        <v>142</v>
      </c>
      <c r="B68" s="50"/>
      <c r="D68" s="162">
        <v>0.49998999999999999</v>
      </c>
      <c r="G68" s="47">
        <f>D67-D68</f>
        <v>1.9999999999964491E-5</v>
      </c>
    </row>
    <row r="69" spans="1:19" ht="14.25" customHeight="1" x14ac:dyDescent="0.3">
      <c r="A69" s="28" t="s">
        <v>143</v>
      </c>
      <c r="B69" s="50"/>
      <c r="E69" s="162">
        <v>0.5</v>
      </c>
      <c r="G69" s="47"/>
    </row>
    <row r="70" spans="1:19" ht="14.25" customHeight="1" x14ac:dyDescent="0.3">
      <c r="A70" s="28" t="s">
        <v>144</v>
      </c>
      <c r="B70" s="50"/>
      <c r="E70" s="162">
        <v>0.50002999999999997</v>
      </c>
      <c r="G70" s="47">
        <f>E70-E69</f>
        <v>2.9999999999974492E-5</v>
      </c>
    </row>
    <row r="71" spans="1:19" ht="14.25" customHeight="1" x14ac:dyDescent="0.3">
      <c r="A71" s="28" t="s">
        <v>145</v>
      </c>
      <c r="B71" s="50"/>
      <c r="E71" s="162">
        <v>0.50004000000000004</v>
      </c>
      <c r="G71" s="47"/>
    </row>
    <row r="72" spans="1:19" ht="14.25" customHeight="1" x14ac:dyDescent="0.3">
      <c r="A72" s="28" t="s">
        <v>146</v>
      </c>
      <c r="B72" s="50"/>
      <c r="E72" s="162">
        <v>0.50000999999999995</v>
      </c>
      <c r="G72" s="47">
        <f>E71-E72</f>
        <v>3.0000000000085514E-5</v>
      </c>
    </row>
    <row r="73" spans="1:19" ht="14.25" customHeight="1" x14ac:dyDescent="0.3">
      <c r="A73" s="28" t="s">
        <v>147</v>
      </c>
      <c r="B73" s="50"/>
      <c r="F73" s="162">
        <v>0.49997999999999998</v>
      </c>
      <c r="G73" s="47"/>
    </row>
    <row r="74" spans="1:19" ht="14.25" customHeight="1" x14ac:dyDescent="0.3">
      <c r="A74" s="28" t="s">
        <v>148</v>
      </c>
      <c r="B74" s="50"/>
      <c r="F74" s="162">
        <v>0.50000999999999995</v>
      </c>
      <c r="G74" s="47">
        <f>F74-F73</f>
        <v>2.9999999999974492E-5</v>
      </c>
    </row>
    <row r="75" spans="1:19" ht="14.25" customHeight="1" x14ac:dyDescent="0.3">
      <c r="A75" s="28" t="s">
        <v>149</v>
      </c>
      <c r="B75" s="50"/>
      <c r="F75" s="162">
        <v>0.50002000000000002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64">
        <v>0.49998999999999999</v>
      </c>
      <c r="G76" s="53">
        <f>F75-F76</f>
        <v>3.0000000000030003E-5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2.9999999999996697E-5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1.095445115010921E-5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4.0999999999999997E-6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0.50003599999999992</v>
      </c>
      <c r="H84" s="27" t="s">
        <v>113</v>
      </c>
    </row>
    <row r="85" spans="2:12" ht="14.25" customHeight="1" x14ac:dyDescent="0.3">
      <c r="G85" s="57">
        <f>G84</f>
        <v>0.50003599999999992</v>
      </c>
    </row>
    <row r="86" spans="2:12" ht="14.25" customHeight="1" x14ac:dyDescent="0.3">
      <c r="F86" s="27" t="s">
        <v>155</v>
      </c>
      <c r="G86" s="27">
        <f>IF(G80&gt;G82,G80,G82)</f>
        <v>1.095445115010921E-5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0.5</v>
      </c>
      <c r="D92" s="60" t="s">
        <v>113</v>
      </c>
      <c r="E92" s="66"/>
      <c r="F92" s="59" t="s">
        <v>276</v>
      </c>
      <c r="G92" s="59">
        <f>S18</f>
        <v>2.5000000000000001E-2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6.0000000000000001E-3</v>
      </c>
      <c r="F97" s="71">
        <v>2</v>
      </c>
      <c r="G97" s="71">
        <v>60</v>
      </c>
      <c r="H97" s="71">
        <f t="shared" ref="H97:H101" si="1">E97/F97</f>
        <v>3.0000000000000001E-3</v>
      </c>
      <c r="I97" s="71">
        <v>1</v>
      </c>
      <c r="J97" s="71">
        <f t="shared" ref="J97:J101" si="2">H97*I97</f>
        <v>3.0000000000000001E-3</v>
      </c>
      <c r="K97" s="71">
        <f t="shared" ref="K97:K101" si="3">J97^2</f>
        <v>9.0000000000000002E-6</v>
      </c>
      <c r="L97" s="71">
        <f t="shared" ref="L97:L101" si="4">J97^4/G97</f>
        <v>1.3500000000000001E-12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3.4641016151396161E-3</v>
      </c>
      <c r="F98" s="74">
        <v>1</v>
      </c>
      <c r="G98" s="74">
        <f>IF(G80&gt;G82,9,1000)</f>
        <v>9</v>
      </c>
      <c r="H98" s="74">
        <f t="shared" si="1"/>
        <v>3.4641016151396161E-3</v>
      </c>
      <c r="I98" s="74">
        <v>1</v>
      </c>
      <c r="J98" s="74">
        <f t="shared" si="2"/>
        <v>3.4641016151396161E-3</v>
      </c>
      <c r="K98" s="74">
        <f t="shared" si="3"/>
        <v>1.2000000000012897E-5</v>
      </c>
      <c r="L98" s="74">
        <f t="shared" si="4"/>
        <v>1.6000000000034392E-11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v>5.0000000000000001E-4</v>
      </c>
      <c r="F99" s="77">
        <f>SQRT(3)</f>
        <v>1.7320508075688772</v>
      </c>
      <c r="G99" s="77">
        <v>1000</v>
      </c>
      <c r="H99" s="77">
        <f t="shared" si="1"/>
        <v>2.886751345948129E-4</v>
      </c>
      <c r="I99" s="77">
        <v>1</v>
      </c>
      <c r="J99" s="77">
        <f t="shared" si="2"/>
        <v>2.886751345948129E-4</v>
      </c>
      <c r="K99" s="77">
        <f t="shared" si="3"/>
        <v>8.3333333333333338E-8</v>
      </c>
      <c r="L99" s="77">
        <f t="shared" si="4"/>
        <v>6.944444444444445E-18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2E-3</v>
      </c>
      <c r="F100" s="77">
        <v>1</v>
      </c>
      <c r="G100" s="77">
        <v>4</v>
      </c>
      <c r="H100" s="77">
        <f t="shared" si="1"/>
        <v>2E-3</v>
      </c>
      <c r="I100" s="77">
        <v>1</v>
      </c>
      <c r="J100" s="77">
        <f t="shared" si="2"/>
        <v>2E-3</v>
      </c>
      <c r="K100" s="77">
        <f t="shared" si="3"/>
        <v>3.9999999999999998E-6</v>
      </c>
      <c r="L100" s="77">
        <f t="shared" si="4"/>
        <v>3.9999999999999999E-12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2.0520000000000004E-6</v>
      </c>
      <c r="F101" s="79">
        <v>1</v>
      </c>
      <c r="G101" s="79">
        <v>1000</v>
      </c>
      <c r="H101" s="79">
        <f t="shared" si="1"/>
        <v>2.0520000000000004E-6</v>
      </c>
      <c r="I101" s="79">
        <v>1</v>
      </c>
      <c r="J101" s="79">
        <f t="shared" si="2"/>
        <v>2.0520000000000004E-6</v>
      </c>
      <c r="K101" s="79">
        <f t="shared" si="3"/>
        <v>4.2107040000000017E-12</v>
      </c>
      <c r="L101" s="79">
        <f t="shared" si="4"/>
        <v>1.7730028175616015E-26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2.508333754405023E-5</v>
      </c>
      <c r="L102" s="71">
        <f t="shared" si="5"/>
        <v>2.1350006944478852E-11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5.0083268208105415E-3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29.469490290328224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2.0452296421327048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1.024317847140997E-2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1.024317847140997E-2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2.7E-2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F73FF-4BF4-4AFA-8993-C8124F7F72B4}">
  <sheetPr>
    <tabColor rgb="FF00B050"/>
  </sheetPr>
  <dimension ref="A1:Z1000"/>
  <sheetViews>
    <sheetView topLeftCell="A72" zoomScale="79" zoomScaleNormal="79" workbookViewId="0">
      <selection activeCell="K109" sqref="K109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261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1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1.0000000000000001E-5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N15</f>
        <v>1.000016</v>
      </c>
      <c r="D52" s="3" t="s">
        <v>113</v>
      </c>
    </row>
    <row r="53" spans="1:7" ht="14.25" customHeight="1" x14ac:dyDescent="0.3">
      <c r="B53" s="3" t="s">
        <v>122</v>
      </c>
      <c r="C53" s="36">
        <f>O15</f>
        <v>7.0000000000000001E-3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61">
        <v>0.99997999999999998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62">
        <v>1.0000500000000001</v>
      </c>
      <c r="G58" s="49">
        <f>B58-B57</f>
        <v>7.0000000000125517E-5</v>
      </c>
    </row>
    <row r="59" spans="1:7" ht="14.25" customHeight="1" x14ac:dyDescent="0.3">
      <c r="A59" s="28" t="s">
        <v>133</v>
      </c>
      <c r="B59" s="162">
        <v>1.0000599999999999</v>
      </c>
      <c r="G59" s="47"/>
    </row>
    <row r="60" spans="1:7" ht="14.25" customHeight="1" x14ac:dyDescent="0.3">
      <c r="A60" s="28" t="s">
        <v>134</v>
      </c>
      <c r="B60" s="162">
        <v>1.0000100000000001</v>
      </c>
      <c r="G60" s="49">
        <f>B59-B60</f>
        <v>4.9999999999883471E-5</v>
      </c>
    </row>
    <row r="61" spans="1:7" ht="14.25" customHeight="1" x14ac:dyDescent="0.3">
      <c r="A61" s="28" t="s">
        <v>135</v>
      </c>
      <c r="B61" s="50"/>
      <c r="C61" s="162">
        <v>1</v>
      </c>
      <c r="G61" s="47"/>
    </row>
    <row r="62" spans="1:7" ht="14.25" customHeight="1" x14ac:dyDescent="0.3">
      <c r="A62" s="28" t="s">
        <v>136</v>
      </c>
      <c r="B62" s="50"/>
      <c r="C62" s="162">
        <v>1.00003</v>
      </c>
      <c r="G62" s="47">
        <f>C62-C61</f>
        <v>2.9999999999974492E-5</v>
      </c>
    </row>
    <row r="63" spans="1:7" ht="14.25" customHeight="1" x14ac:dyDescent="0.3">
      <c r="A63" s="28" t="s">
        <v>137</v>
      </c>
      <c r="B63" s="50"/>
      <c r="C63" s="162">
        <v>1.0000199999999999</v>
      </c>
      <c r="G63" s="47"/>
    </row>
    <row r="64" spans="1:7" ht="14.25" customHeight="1" x14ac:dyDescent="0.3">
      <c r="A64" s="28" t="s">
        <v>138</v>
      </c>
      <c r="B64" s="50"/>
      <c r="C64" s="162">
        <v>1</v>
      </c>
      <c r="G64" s="47">
        <f>C63-C64</f>
        <v>1.9999999999908979E-5</v>
      </c>
    </row>
    <row r="65" spans="1:19" ht="14.25" customHeight="1" x14ac:dyDescent="0.3">
      <c r="A65" s="28" t="s">
        <v>139</v>
      </c>
      <c r="B65" s="50"/>
      <c r="D65" s="162">
        <v>0.99997999999999998</v>
      </c>
      <c r="G65" s="47"/>
    </row>
    <row r="66" spans="1:19" ht="14.25" customHeight="1" x14ac:dyDescent="0.3">
      <c r="A66" s="28" t="s">
        <v>140</v>
      </c>
      <c r="B66" s="50"/>
      <c r="D66" s="162">
        <v>1.00004</v>
      </c>
      <c r="G66" s="47">
        <f>D66-D65</f>
        <v>6.0000000000060005E-5</v>
      </c>
    </row>
    <row r="67" spans="1:19" ht="14.25" customHeight="1" x14ac:dyDescent="0.3">
      <c r="A67" s="28" t="s">
        <v>141</v>
      </c>
      <c r="B67" s="50"/>
      <c r="D67" s="162">
        <v>1.0000500000000001</v>
      </c>
      <c r="G67" s="47"/>
    </row>
    <row r="68" spans="1:19" ht="14.25" customHeight="1" x14ac:dyDescent="0.3">
      <c r="A68" s="28" t="s">
        <v>142</v>
      </c>
      <c r="B68" s="50"/>
      <c r="D68" s="162">
        <v>0.99997000000000003</v>
      </c>
      <c r="G68" s="47">
        <f>D67-D68</f>
        <v>8.0000000000080007E-5</v>
      </c>
    </row>
    <row r="69" spans="1:19" ht="14.25" customHeight="1" x14ac:dyDescent="0.3">
      <c r="A69" s="28" t="s">
        <v>143</v>
      </c>
      <c r="B69" s="50"/>
      <c r="E69" s="162">
        <v>1</v>
      </c>
      <c r="G69" s="47"/>
    </row>
    <row r="70" spans="1:19" ht="14.25" customHeight="1" x14ac:dyDescent="0.3">
      <c r="A70" s="28" t="s">
        <v>144</v>
      </c>
      <c r="B70" s="50"/>
      <c r="E70" s="162">
        <v>1.00007</v>
      </c>
      <c r="G70" s="47">
        <f>E70-E69</f>
        <v>7.0000000000014495E-5</v>
      </c>
    </row>
    <row r="71" spans="1:19" ht="14.25" customHeight="1" x14ac:dyDescent="0.3">
      <c r="A71" s="28" t="s">
        <v>145</v>
      </c>
      <c r="B71" s="50"/>
      <c r="E71" s="162">
        <v>1.00007</v>
      </c>
      <c r="G71" s="47"/>
    </row>
    <row r="72" spans="1:19" ht="14.25" customHeight="1" x14ac:dyDescent="0.3">
      <c r="A72" s="28" t="s">
        <v>146</v>
      </c>
      <c r="B72" s="50"/>
      <c r="E72" s="162">
        <v>1</v>
      </c>
      <c r="G72" s="47">
        <f>E71-E72</f>
        <v>7.0000000000014495E-5</v>
      </c>
    </row>
    <row r="73" spans="1:19" ht="14.25" customHeight="1" x14ac:dyDescent="0.3">
      <c r="A73" s="28" t="s">
        <v>147</v>
      </c>
      <c r="B73" s="50"/>
      <c r="F73" s="162">
        <v>0.99999000000000005</v>
      </c>
      <c r="G73" s="47"/>
    </row>
    <row r="74" spans="1:19" ht="14.25" customHeight="1" x14ac:dyDescent="0.3">
      <c r="A74" s="28" t="s">
        <v>148</v>
      </c>
      <c r="B74" s="50"/>
      <c r="F74" s="162">
        <v>1.0000500000000001</v>
      </c>
      <c r="G74" s="47">
        <f>F74-F73</f>
        <v>6.0000000000060005E-5</v>
      </c>
    </row>
    <row r="75" spans="1:19" ht="14.25" customHeight="1" x14ac:dyDescent="0.3">
      <c r="A75" s="28" t="s">
        <v>149</v>
      </c>
      <c r="B75" s="50"/>
      <c r="F75" s="162">
        <v>1.00004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64">
        <v>0.99999000000000005</v>
      </c>
      <c r="G76" s="53">
        <f>F75-F76</f>
        <v>4.9999999999994493E-5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5.6000000000011593E-5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1.800000000005131E-5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4.0999999999999997E-6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1.0000720000000001</v>
      </c>
      <c r="H84" s="27" t="s">
        <v>113</v>
      </c>
    </row>
    <row r="85" spans="2:12" ht="14.25" customHeight="1" x14ac:dyDescent="0.3">
      <c r="G85" s="57">
        <f>G84</f>
        <v>1.0000720000000001</v>
      </c>
    </row>
    <row r="86" spans="2:12" ht="14.25" customHeight="1" x14ac:dyDescent="0.3">
      <c r="F86" s="27" t="s">
        <v>155</v>
      </c>
      <c r="G86" s="27">
        <f>IF(G80&gt;G82,G80,G82)</f>
        <v>1.800000000005131E-5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1</v>
      </c>
      <c r="D92" s="60" t="s">
        <v>113</v>
      </c>
      <c r="E92" s="66"/>
      <c r="F92" s="59" t="s">
        <v>277</v>
      </c>
      <c r="G92" s="59">
        <f>S17</f>
        <v>0.03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7.0000000000000001E-3</v>
      </c>
      <c r="F97" s="71">
        <v>2</v>
      </c>
      <c r="G97" s="71">
        <v>60</v>
      </c>
      <c r="H97" s="71">
        <f t="shared" ref="H97:H101" si="1">E97/F97</f>
        <v>3.5000000000000001E-3</v>
      </c>
      <c r="I97" s="71">
        <v>1</v>
      </c>
      <c r="J97" s="71">
        <f t="shared" ref="J97:J101" si="2">H97*I97</f>
        <v>3.5000000000000001E-3</v>
      </c>
      <c r="K97" s="71">
        <f t="shared" ref="K97:K101" si="3">J97^2</f>
        <v>1.2250000000000001E-5</v>
      </c>
      <c r="L97" s="71">
        <f t="shared" ref="L97:L101" si="4">J97^4/G97</f>
        <v>2.5010416666666672E-12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5.6920997883193091E-3</v>
      </c>
      <c r="F98" s="74">
        <v>1</v>
      </c>
      <c r="G98" s="74">
        <f>IF(G80&gt;G82,9,1000)</f>
        <v>9</v>
      </c>
      <c r="H98" s="74">
        <f t="shared" si="1"/>
        <v>5.6920997883193091E-3</v>
      </c>
      <c r="I98" s="74">
        <v>1</v>
      </c>
      <c r="J98" s="74">
        <f t="shared" si="2"/>
        <v>5.6920997883193091E-3</v>
      </c>
      <c r="K98" s="74">
        <f t="shared" si="3"/>
        <v>3.2400000000184722E-5</v>
      </c>
      <c r="L98" s="74">
        <f t="shared" si="4"/>
        <v>1.1664000000133E-10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f>0.0005</f>
        <v>5.0000000000000001E-4</v>
      </c>
      <c r="F99" s="77">
        <f>SQRT(3)</f>
        <v>1.7320508075688772</v>
      </c>
      <c r="G99" s="77">
        <v>1000</v>
      </c>
      <c r="H99" s="77">
        <f t="shared" si="1"/>
        <v>2.886751345948129E-4</v>
      </c>
      <c r="I99" s="77">
        <v>1</v>
      </c>
      <c r="J99" s="77">
        <f t="shared" si="2"/>
        <v>2.886751345948129E-4</v>
      </c>
      <c r="K99" s="77">
        <f t="shared" si="3"/>
        <v>8.3333333333333338E-8</v>
      </c>
      <c r="L99" s="77">
        <f t="shared" si="4"/>
        <v>6.944444444444445E-18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2.3999999999999998E-3</v>
      </c>
      <c r="F100" s="77">
        <v>1</v>
      </c>
      <c r="G100" s="77">
        <v>4</v>
      </c>
      <c r="H100" s="77">
        <f t="shared" si="1"/>
        <v>2.3999999999999998E-3</v>
      </c>
      <c r="I100" s="77">
        <v>1</v>
      </c>
      <c r="J100" s="77">
        <f t="shared" si="2"/>
        <v>2.3999999999999998E-3</v>
      </c>
      <c r="K100" s="77">
        <f t="shared" si="3"/>
        <v>5.7599999999999991E-6</v>
      </c>
      <c r="L100" s="77">
        <f t="shared" si="4"/>
        <v>8.2943999999999966E-12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4.1040000000000009E-6</v>
      </c>
      <c r="F101" s="79">
        <v>1</v>
      </c>
      <c r="G101" s="79">
        <v>1000</v>
      </c>
      <c r="H101" s="79">
        <f t="shared" si="1"/>
        <v>4.1040000000000009E-6</v>
      </c>
      <c r="I101" s="79">
        <v>1</v>
      </c>
      <c r="J101" s="79">
        <f t="shared" si="2"/>
        <v>4.1040000000000009E-6</v>
      </c>
      <c r="K101" s="79">
        <f t="shared" si="3"/>
        <v>1.6842816000000007E-11</v>
      </c>
      <c r="L101" s="79">
        <f t="shared" si="4"/>
        <v>2.8368045080985624E-25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5.0493350176334055E-5</v>
      </c>
      <c r="L102" s="71">
        <f t="shared" si="5"/>
        <v>1.2743544861244138E-10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7.1058673064119384E-3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20.006822589715291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2.0859634472658648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1.4822579462296852E-2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1.4822579462296852E-2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2.7E-2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0150-2BA4-4118-B4F5-AF184A1C0EDF}">
  <sheetPr>
    <tabColor rgb="FF00B050"/>
  </sheetPr>
  <dimension ref="A1:Z1000"/>
  <sheetViews>
    <sheetView topLeftCell="A65" zoomScale="79" zoomScaleNormal="79" workbookViewId="0">
      <selection activeCell="K109" sqref="K109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261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2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1.0000000000000001E-5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N16</f>
        <v>1.999992</v>
      </c>
      <c r="D52" s="3" t="s">
        <v>113</v>
      </c>
    </row>
    <row r="53" spans="1:7" ht="14.25" customHeight="1" x14ac:dyDescent="0.3">
      <c r="B53" s="3" t="s">
        <v>122</v>
      </c>
      <c r="C53" s="36">
        <f>O16</f>
        <v>8.9999999999999993E-3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61">
        <v>2.0000300000000002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62">
        <v>2.0000800000000001</v>
      </c>
      <c r="G58" s="49">
        <f>B58-B57</f>
        <v>4.9999999999883471E-5</v>
      </c>
    </row>
    <row r="59" spans="1:7" ht="14.25" customHeight="1" x14ac:dyDescent="0.3">
      <c r="A59" s="28" t="s">
        <v>133</v>
      </c>
      <c r="B59" s="162">
        <v>2.0000800000000001</v>
      </c>
      <c r="G59" s="47"/>
    </row>
    <row r="60" spans="1:7" ht="14.25" customHeight="1" x14ac:dyDescent="0.3">
      <c r="A60" s="28" t="s">
        <v>134</v>
      </c>
      <c r="B60" s="162">
        <v>2.0000200000000001</v>
      </c>
      <c r="G60" s="49">
        <f>B59-B60</f>
        <v>5.9999999999948983E-5</v>
      </c>
    </row>
    <row r="61" spans="1:7" ht="14.25" customHeight="1" x14ac:dyDescent="0.3">
      <c r="A61" s="28" t="s">
        <v>135</v>
      </c>
      <c r="B61" s="50"/>
      <c r="C61" s="162">
        <v>2</v>
      </c>
      <c r="G61" s="47"/>
    </row>
    <row r="62" spans="1:7" ht="14.25" customHeight="1" x14ac:dyDescent="0.3">
      <c r="A62" s="28" t="s">
        <v>136</v>
      </c>
      <c r="B62" s="50"/>
      <c r="C62" s="162">
        <v>2.0000900000000001</v>
      </c>
      <c r="G62" s="47">
        <f>C62-C61</f>
        <v>9.0000000000145519E-5</v>
      </c>
    </row>
    <row r="63" spans="1:7" ht="14.25" customHeight="1" x14ac:dyDescent="0.3">
      <c r="A63" s="28" t="s">
        <v>137</v>
      </c>
      <c r="B63" s="50"/>
      <c r="C63" s="162">
        <v>2.0000800000000001</v>
      </c>
      <c r="G63" s="47"/>
    </row>
    <row r="64" spans="1:7" ht="14.25" customHeight="1" x14ac:dyDescent="0.3">
      <c r="A64" s="28" t="s">
        <v>138</v>
      </c>
      <c r="B64" s="50"/>
      <c r="C64" s="162">
        <v>2.0000100000000001</v>
      </c>
      <c r="G64" s="47">
        <f>C63-C64</f>
        <v>7.0000000000014495E-5</v>
      </c>
    </row>
    <row r="65" spans="1:19" ht="14.25" customHeight="1" x14ac:dyDescent="0.3">
      <c r="A65" s="28" t="s">
        <v>139</v>
      </c>
      <c r="B65" s="50"/>
      <c r="D65" s="162">
        <v>1.9999899999999999</v>
      </c>
      <c r="G65" s="47"/>
    </row>
    <row r="66" spans="1:19" ht="14.25" customHeight="1" x14ac:dyDescent="0.3">
      <c r="A66" s="28" t="s">
        <v>140</v>
      </c>
      <c r="B66" s="50"/>
      <c r="D66" s="162">
        <v>2.0000800000000001</v>
      </c>
      <c r="G66" s="47">
        <f>D66-D65</f>
        <v>9.0000000000145519E-5</v>
      </c>
    </row>
    <row r="67" spans="1:19" ht="14.25" customHeight="1" x14ac:dyDescent="0.3">
      <c r="A67" s="28" t="s">
        <v>141</v>
      </c>
      <c r="B67" s="50"/>
      <c r="D67" s="162">
        <v>2.0000599999999999</v>
      </c>
      <c r="G67" s="47"/>
    </row>
    <row r="68" spans="1:19" ht="14.25" customHeight="1" x14ac:dyDescent="0.3">
      <c r="A68" s="28" t="s">
        <v>142</v>
      </c>
      <c r="B68" s="50"/>
      <c r="D68" s="162">
        <v>1.9999899999999999</v>
      </c>
      <c r="G68" s="47">
        <f>D67-D68</f>
        <v>7.0000000000014495E-5</v>
      </c>
    </row>
    <row r="69" spans="1:19" ht="14.25" customHeight="1" x14ac:dyDescent="0.3">
      <c r="A69" s="28" t="s">
        <v>143</v>
      </c>
      <c r="B69" s="50"/>
      <c r="E69" s="162">
        <v>1.9999800000000001</v>
      </c>
      <c r="G69" s="47"/>
    </row>
    <row r="70" spans="1:19" ht="14.25" customHeight="1" x14ac:dyDescent="0.3">
      <c r="A70" s="28" t="s">
        <v>144</v>
      </c>
      <c r="B70" s="50"/>
      <c r="E70" s="162">
        <v>2.0000499999999999</v>
      </c>
      <c r="G70" s="47">
        <f>E70-E69</f>
        <v>6.999999999979245E-5</v>
      </c>
    </row>
    <row r="71" spans="1:19" ht="14.25" customHeight="1" x14ac:dyDescent="0.3">
      <c r="A71" s="28" t="s">
        <v>145</v>
      </c>
      <c r="B71" s="50"/>
      <c r="E71" s="162">
        <v>2.0000599999999999</v>
      </c>
      <c r="G71" s="47"/>
    </row>
    <row r="72" spans="1:19" ht="14.25" customHeight="1" x14ac:dyDescent="0.3">
      <c r="A72" s="28" t="s">
        <v>146</v>
      </c>
      <c r="B72" s="50"/>
      <c r="E72" s="162">
        <v>2</v>
      </c>
      <c r="G72" s="47">
        <f>E71-E72</f>
        <v>5.9999999999948983E-5</v>
      </c>
    </row>
    <row r="73" spans="1:19" ht="14.25" customHeight="1" x14ac:dyDescent="0.3">
      <c r="A73" s="28" t="s">
        <v>147</v>
      </c>
      <c r="B73" s="50"/>
      <c r="F73" s="162">
        <v>2.0000040000000001</v>
      </c>
      <c r="G73" s="47"/>
    </row>
    <row r="74" spans="1:19" ht="14.25" customHeight="1" x14ac:dyDescent="0.3">
      <c r="A74" s="28" t="s">
        <v>148</v>
      </c>
      <c r="B74" s="50"/>
      <c r="F74" s="162">
        <v>2.0000599999999999</v>
      </c>
      <c r="G74" s="47">
        <f>F74-F73</f>
        <v>5.599999999983396E-5</v>
      </c>
    </row>
    <row r="75" spans="1:19" ht="14.25" customHeight="1" x14ac:dyDescent="0.3">
      <c r="A75" s="28" t="s">
        <v>149</v>
      </c>
      <c r="B75" s="50"/>
      <c r="F75" s="162">
        <v>2.0000499999999999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64">
        <v>2</v>
      </c>
      <c r="G76" s="53">
        <f>F75-F76</f>
        <v>4.9999999999883471E-5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6.6599999999961137E-5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1.3712767773228754E-5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4.0999999999999997E-6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2.0000586</v>
      </c>
      <c r="H84" s="27" t="s">
        <v>113</v>
      </c>
    </row>
    <row r="85" spans="2:12" ht="14.25" customHeight="1" x14ac:dyDescent="0.3">
      <c r="G85" s="57">
        <f>G84</f>
        <v>2.0000586</v>
      </c>
    </row>
    <row r="86" spans="2:12" ht="14.25" customHeight="1" x14ac:dyDescent="0.3">
      <c r="F86" s="27" t="s">
        <v>155</v>
      </c>
      <c r="G86" s="27">
        <f>IF(G80&gt;G82,G80,G82)</f>
        <v>1.3712767773228754E-5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2</v>
      </c>
      <c r="D92" s="60" t="s">
        <v>113</v>
      </c>
      <c r="E92" s="66"/>
      <c r="F92" s="59" t="s">
        <v>278</v>
      </c>
      <c r="G92" s="59">
        <f>S16</f>
        <v>0.04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8.9999999999999993E-3</v>
      </c>
      <c r="F97" s="71">
        <v>2</v>
      </c>
      <c r="G97" s="71">
        <v>60</v>
      </c>
      <c r="H97" s="71">
        <f t="shared" ref="H97:H101" si="1">E97/F97</f>
        <v>4.4999999999999997E-3</v>
      </c>
      <c r="I97" s="71">
        <v>1</v>
      </c>
      <c r="J97" s="71">
        <f t="shared" ref="J97:J101" si="2">H97*I97</f>
        <v>4.4999999999999997E-3</v>
      </c>
      <c r="K97" s="71">
        <f t="shared" ref="K97:K101" si="3">J97^2</f>
        <v>2.0249999999999998E-5</v>
      </c>
      <c r="L97" s="71">
        <f t="shared" ref="L97:L101" si="4">J97^4/G97</f>
        <v>6.8343749999999985E-12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4.3363579188358181E-3</v>
      </c>
      <c r="F98" s="74">
        <v>1</v>
      </c>
      <c r="G98" s="74">
        <f>IF(G80&gt;G82,9,1000)</f>
        <v>9</v>
      </c>
      <c r="H98" s="74">
        <f t="shared" si="1"/>
        <v>4.3363579188358181E-3</v>
      </c>
      <c r="I98" s="74">
        <v>1</v>
      </c>
      <c r="J98" s="74">
        <f t="shared" si="2"/>
        <v>4.3363579188358181E-3</v>
      </c>
      <c r="K98" s="74">
        <f t="shared" si="3"/>
        <v>1.8804000000250107E-5</v>
      </c>
      <c r="L98" s="74">
        <f t="shared" si="4"/>
        <v>3.9287824001045115E-11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v>5.0000000000000001E-4</v>
      </c>
      <c r="F99" s="77">
        <f>SQRT(3)</f>
        <v>1.7320508075688772</v>
      </c>
      <c r="G99" s="77">
        <v>1000</v>
      </c>
      <c r="H99" s="77">
        <f t="shared" si="1"/>
        <v>2.886751345948129E-4</v>
      </c>
      <c r="I99" s="77">
        <v>1</v>
      </c>
      <c r="J99" s="77">
        <f t="shared" si="2"/>
        <v>2.886751345948129E-4</v>
      </c>
      <c r="K99" s="77">
        <f t="shared" si="3"/>
        <v>8.3333333333333338E-8</v>
      </c>
      <c r="L99" s="77">
        <f t="shared" si="4"/>
        <v>6.944444444444445E-18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3.2000000000000002E-3</v>
      </c>
      <c r="F100" s="77">
        <v>1</v>
      </c>
      <c r="G100" s="77">
        <v>4</v>
      </c>
      <c r="H100" s="77">
        <f t="shared" si="1"/>
        <v>3.2000000000000002E-3</v>
      </c>
      <c r="I100" s="77">
        <v>1</v>
      </c>
      <c r="J100" s="77">
        <f t="shared" si="2"/>
        <v>3.2000000000000002E-3</v>
      </c>
      <c r="K100" s="77">
        <f t="shared" si="3"/>
        <v>1.024E-5</v>
      </c>
      <c r="L100" s="77">
        <f t="shared" si="4"/>
        <v>2.6214400000000003E-11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8.2080000000000017E-6</v>
      </c>
      <c r="F101" s="79">
        <v>1</v>
      </c>
      <c r="G101" s="79">
        <v>1000</v>
      </c>
      <c r="H101" s="79">
        <f t="shared" si="1"/>
        <v>8.2080000000000017E-6</v>
      </c>
      <c r="I101" s="79">
        <v>1</v>
      </c>
      <c r="J101" s="79">
        <f t="shared" si="2"/>
        <v>8.2080000000000017E-6</v>
      </c>
      <c r="K101" s="79">
        <f t="shared" si="3"/>
        <v>6.7371264000000028E-11</v>
      </c>
      <c r="L101" s="79">
        <f t="shared" si="4"/>
        <v>4.5388872129576998E-24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4.9377400704847441E-5</v>
      </c>
      <c r="L102" s="71">
        <f t="shared" si="5"/>
        <v>7.2336605945494095E-11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7.0269054856919371E-3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33.705309621579524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2.0345152974493397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1.4296346704370928E-2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1.4296346704370928E-2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2.8000000000000001E-2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2DEA2-5756-431C-B6A0-8C535CAD8D7C}">
  <sheetPr>
    <tabColor rgb="FF00B050"/>
  </sheetPr>
  <dimension ref="A1:Z1000"/>
  <sheetViews>
    <sheetView topLeftCell="A79" zoomScale="79" zoomScaleNormal="79" workbookViewId="0">
      <selection activeCell="K109" sqref="K109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261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2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1.0000000000000001E-5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N17</f>
        <v>1.9999910000000001</v>
      </c>
      <c r="D52" s="3" t="s">
        <v>113</v>
      </c>
    </row>
    <row r="53" spans="1:7" ht="14.25" customHeight="1" x14ac:dyDescent="0.3">
      <c r="B53" s="3" t="s">
        <v>122</v>
      </c>
      <c r="C53" s="36">
        <f>O17</f>
        <v>8.9999999999999993E-3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61">
        <v>1.9999899999999999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62">
        <v>2.0000399999999998</v>
      </c>
      <c r="G58" s="49">
        <f>B58-B57</f>
        <v>4.9999999999883471E-5</v>
      </c>
    </row>
    <row r="59" spans="1:7" ht="14.25" customHeight="1" x14ac:dyDescent="0.3">
      <c r="A59" s="28" t="s">
        <v>133</v>
      </c>
      <c r="B59" s="162">
        <v>2.0000399999999998</v>
      </c>
      <c r="G59" s="47"/>
    </row>
    <row r="60" spans="1:7" ht="14.25" customHeight="1" x14ac:dyDescent="0.3">
      <c r="A60" s="28" t="s">
        <v>134</v>
      </c>
      <c r="B60" s="162">
        <v>2</v>
      </c>
      <c r="G60" s="49">
        <f>B59-B60</f>
        <v>3.9999999999817959E-5</v>
      </c>
    </row>
    <row r="61" spans="1:7" ht="14.25" customHeight="1" x14ac:dyDescent="0.3">
      <c r="A61" s="28" t="s">
        <v>135</v>
      </c>
      <c r="B61" s="50"/>
      <c r="C61" s="162">
        <v>2</v>
      </c>
      <c r="G61" s="47"/>
    </row>
    <row r="62" spans="1:7" ht="14.25" customHeight="1" x14ac:dyDescent="0.3">
      <c r="A62" s="28" t="s">
        <v>136</v>
      </c>
      <c r="B62" s="50"/>
      <c r="C62" s="162">
        <v>2.0000499999999999</v>
      </c>
      <c r="G62" s="47">
        <f>C62-C61</f>
        <v>4.9999999999883471E-5</v>
      </c>
    </row>
    <row r="63" spans="1:7" ht="14.25" customHeight="1" x14ac:dyDescent="0.3">
      <c r="A63" s="28" t="s">
        <v>137</v>
      </c>
      <c r="B63" s="50"/>
      <c r="C63" s="162">
        <v>2.0000599999999999</v>
      </c>
      <c r="G63" s="47"/>
    </row>
    <row r="64" spans="1:7" ht="14.25" customHeight="1" x14ac:dyDescent="0.3">
      <c r="A64" s="28" t="s">
        <v>138</v>
      </c>
      <c r="B64" s="50"/>
      <c r="C64" s="162">
        <v>2</v>
      </c>
      <c r="G64" s="47">
        <f>C63-C64</f>
        <v>5.9999999999948983E-5</v>
      </c>
    </row>
    <row r="65" spans="1:19" ht="14.25" customHeight="1" x14ac:dyDescent="0.3">
      <c r="A65" s="28" t="s">
        <v>139</v>
      </c>
      <c r="B65" s="50"/>
      <c r="D65" s="162">
        <v>1.9999899999999999</v>
      </c>
      <c r="G65" s="47"/>
    </row>
    <row r="66" spans="1:19" ht="14.25" customHeight="1" x14ac:dyDescent="0.3">
      <c r="A66" s="28" t="s">
        <v>140</v>
      </c>
      <c r="B66" s="50"/>
      <c r="D66" s="162">
        <v>2.0000499999999999</v>
      </c>
      <c r="G66" s="47">
        <f>D66-D65</f>
        <v>5.9999999999948983E-5</v>
      </c>
    </row>
    <row r="67" spans="1:19" ht="14.25" customHeight="1" x14ac:dyDescent="0.3">
      <c r="A67" s="28" t="s">
        <v>141</v>
      </c>
      <c r="B67" s="50"/>
      <c r="D67" s="162">
        <v>2.0000599999999999</v>
      </c>
      <c r="G67" s="47"/>
    </row>
    <row r="68" spans="1:19" ht="14.25" customHeight="1" x14ac:dyDescent="0.3">
      <c r="A68" s="28" t="s">
        <v>142</v>
      </c>
      <c r="B68" s="50"/>
      <c r="D68" s="162">
        <v>1.9999899999999999</v>
      </c>
      <c r="G68" s="47">
        <f>D67-D68</f>
        <v>7.0000000000014495E-5</v>
      </c>
    </row>
    <row r="69" spans="1:19" ht="14.25" customHeight="1" x14ac:dyDescent="0.3">
      <c r="A69" s="28" t="s">
        <v>143</v>
      </c>
      <c r="B69" s="50"/>
      <c r="E69" s="162">
        <v>2</v>
      </c>
      <c r="G69" s="47"/>
    </row>
    <row r="70" spans="1:19" ht="14.25" customHeight="1" x14ac:dyDescent="0.3">
      <c r="A70" s="28" t="s">
        <v>144</v>
      </c>
      <c r="B70" s="50"/>
      <c r="E70" s="162">
        <v>2.0000599999999999</v>
      </c>
      <c r="G70" s="47">
        <f>E70-E69</f>
        <v>5.9999999999948983E-5</v>
      </c>
    </row>
    <row r="71" spans="1:19" ht="14.25" customHeight="1" x14ac:dyDescent="0.3">
      <c r="A71" s="28" t="s">
        <v>145</v>
      </c>
      <c r="B71" s="50"/>
      <c r="E71" s="162">
        <v>2.0000499999999999</v>
      </c>
      <c r="G71" s="47"/>
    </row>
    <row r="72" spans="1:19" ht="14.25" customHeight="1" x14ac:dyDescent="0.3">
      <c r="A72" s="28" t="s">
        <v>146</v>
      </c>
      <c r="B72" s="50"/>
      <c r="E72" s="162">
        <v>2</v>
      </c>
      <c r="G72" s="47">
        <f>E71-E72</f>
        <v>4.9999999999883471E-5</v>
      </c>
    </row>
    <row r="73" spans="1:19" ht="14.25" customHeight="1" x14ac:dyDescent="0.3">
      <c r="A73" s="28" t="s">
        <v>147</v>
      </c>
      <c r="B73" s="50"/>
      <c r="F73" s="162">
        <v>1.9999899999999999</v>
      </c>
      <c r="G73" s="47"/>
    </row>
    <row r="74" spans="1:19" ht="14.25" customHeight="1" x14ac:dyDescent="0.3">
      <c r="A74" s="28" t="s">
        <v>148</v>
      </c>
      <c r="B74" s="50"/>
      <c r="F74" s="162">
        <v>2.0000499999999999</v>
      </c>
      <c r="G74" s="47">
        <f>F74-F73</f>
        <v>5.9999999999948983E-5</v>
      </c>
    </row>
    <row r="75" spans="1:19" ht="14.25" customHeight="1" x14ac:dyDescent="0.3">
      <c r="A75" s="28" t="s">
        <v>149</v>
      </c>
      <c r="B75" s="50"/>
      <c r="F75" s="162">
        <v>2.0000499999999999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64">
        <v>2</v>
      </c>
      <c r="G76" s="53">
        <f>F75-F76</f>
        <v>4.9999999999883471E-5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5.4999999999916227E-5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8.0622577483513674E-6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4.0999999999999997E-6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2.0000460000000002</v>
      </c>
      <c r="H84" s="27" t="s">
        <v>113</v>
      </c>
    </row>
    <row r="85" spans="2:12" ht="14.25" customHeight="1" x14ac:dyDescent="0.3">
      <c r="G85" s="57">
        <f>G84</f>
        <v>2.0000460000000002</v>
      </c>
    </row>
    <row r="86" spans="2:12" ht="14.25" customHeight="1" x14ac:dyDescent="0.3">
      <c r="F86" s="27" t="s">
        <v>155</v>
      </c>
      <c r="G86" s="27">
        <f>IF(G80&gt;G82,G80,G82)</f>
        <v>8.0622577483513674E-6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2</v>
      </c>
      <c r="D92" s="60" t="s">
        <v>113</v>
      </c>
      <c r="E92" s="66"/>
      <c r="F92" s="59" t="s">
        <v>279</v>
      </c>
      <c r="G92" s="59">
        <f>S16</f>
        <v>0.04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8.9999999999999993E-3</v>
      </c>
      <c r="F97" s="71">
        <v>2</v>
      </c>
      <c r="G97" s="71">
        <v>60</v>
      </c>
      <c r="H97" s="71">
        <f t="shared" ref="H97:H101" si="1">E97/F97</f>
        <v>4.4999999999999997E-3</v>
      </c>
      <c r="I97" s="71">
        <v>1</v>
      </c>
      <c r="J97" s="71">
        <f t="shared" ref="J97:J101" si="2">H97*I97</f>
        <v>4.4999999999999997E-3</v>
      </c>
      <c r="K97" s="71">
        <f t="shared" ref="K97:K101" si="3">J97^2</f>
        <v>2.0249999999999998E-5</v>
      </c>
      <c r="L97" s="71">
        <f t="shared" ref="L97:L101" si="4">J97^4/G97</f>
        <v>6.8343749999999985E-12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2.5495097568130945E-3</v>
      </c>
      <c r="F98" s="74">
        <v>1</v>
      </c>
      <c r="G98" s="74">
        <f>IF(G80&gt;G82,9,1000)</f>
        <v>9</v>
      </c>
      <c r="H98" s="74">
        <f t="shared" si="1"/>
        <v>2.5495097568130945E-3</v>
      </c>
      <c r="I98" s="74">
        <v>1</v>
      </c>
      <c r="J98" s="74">
        <f t="shared" si="2"/>
        <v>2.5495097568130945E-3</v>
      </c>
      <c r="K98" s="74">
        <f t="shared" si="3"/>
        <v>6.5000000000851645E-6</v>
      </c>
      <c r="L98" s="74">
        <f t="shared" si="4"/>
        <v>4.6944444445674595E-12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f>0.0005</f>
        <v>5.0000000000000001E-4</v>
      </c>
      <c r="F99" s="77">
        <f>SQRT(3)</f>
        <v>1.7320508075688772</v>
      </c>
      <c r="G99" s="77">
        <v>1000</v>
      </c>
      <c r="H99" s="77">
        <f t="shared" si="1"/>
        <v>2.886751345948129E-4</v>
      </c>
      <c r="I99" s="77">
        <v>1</v>
      </c>
      <c r="J99" s="77">
        <f t="shared" si="2"/>
        <v>2.886751345948129E-4</v>
      </c>
      <c r="K99" s="77">
        <f t="shared" si="3"/>
        <v>8.3333333333333338E-8</v>
      </c>
      <c r="L99" s="77">
        <f t="shared" si="4"/>
        <v>6.944444444444445E-18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3.2000000000000002E-3</v>
      </c>
      <c r="F100" s="77">
        <v>1</v>
      </c>
      <c r="G100" s="77">
        <v>4</v>
      </c>
      <c r="H100" s="77">
        <f t="shared" si="1"/>
        <v>3.2000000000000002E-3</v>
      </c>
      <c r="I100" s="77">
        <v>1</v>
      </c>
      <c r="J100" s="77">
        <f t="shared" si="2"/>
        <v>3.2000000000000002E-3</v>
      </c>
      <c r="K100" s="77">
        <f t="shared" si="3"/>
        <v>1.024E-5</v>
      </c>
      <c r="L100" s="77">
        <f t="shared" si="4"/>
        <v>2.6214400000000003E-11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8.2080000000000017E-6</v>
      </c>
      <c r="F101" s="79">
        <v>1</v>
      </c>
      <c r="G101" s="79">
        <v>1000</v>
      </c>
      <c r="H101" s="79">
        <f t="shared" si="1"/>
        <v>8.2080000000000017E-6</v>
      </c>
      <c r="I101" s="79">
        <v>1</v>
      </c>
      <c r="J101" s="79">
        <f t="shared" si="2"/>
        <v>8.2080000000000017E-6</v>
      </c>
      <c r="K101" s="79">
        <f t="shared" si="3"/>
        <v>6.7371264000000028E-11</v>
      </c>
      <c r="L101" s="79">
        <f t="shared" si="4"/>
        <v>4.5388872129576998E-24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3.7073400704682497E-5</v>
      </c>
      <c r="L102" s="71">
        <f t="shared" si="5"/>
        <v>3.7743226389016442E-11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6.0887930417023121E-3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36.415462357238319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2.028094000980452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1.2348644641087978E-2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1.2348644641087978E-2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2.8000000000000001E-2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869D-991F-451A-BA1E-BFC507DE7405}">
  <sheetPr>
    <tabColor rgb="FF00B050"/>
  </sheetPr>
  <dimension ref="A1:Z1000"/>
  <sheetViews>
    <sheetView topLeftCell="A58" zoomScale="79" zoomScaleNormal="79" workbookViewId="0">
      <selection activeCell="C52" sqref="C52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5.0000229999999997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261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5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1.0000000000000001E-5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N18</f>
        <v>5.0000229999999997</v>
      </c>
      <c r="D52" s="3" t="s">
        <v>113</v>
      </c>
    </row>
    <row r="53" spans="1:7" ht="14.25" customHeight="1" x14ac:dyDescent="0.3">
      <c r="B53" s="3" t="s">
        <v>122</v>
      </c>
      <c r="C53" s="36">
        <f>O18</f>
        <v>1.0999999999999999E-2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61">
        <v>5.0000200000000001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62">
        <v>5.0000799999999996</v>
      </c>
      <c r="G58" s="49">
        <f>B58-B57</f>
        <v>5.9999999999504894E-5</v>
      </c>
    </row>
    <row r="59" spans="1:7" ht="14.25" customHeight="1" x14ac:dyDescent="0.3">
      <c r="A59" s="28" t="s">
        <v>133</v>
      </c>
      <c r="B59" s="162">
        <v>5.0000799999999996</v>
      </c>
      <c r="G59" s="47"/>
    </row>
    <row r="60" spans="1:7" ht="14.25" customHeight="1" x14ac:dyDescent="0.3">
      <c r="A60" s="28" t="s">
        <v>134</v>
      </c>
      <c r="B60" s="162">
        <v>5.0000200000000001</v>
      </c>
      <c r="G60" s="49">
        <f>B59-B60</f>
        <v>5.9999999999504894E-5</v>
      </c>
    </row>
    <row r="61" spans="1:7" ht="14.25" customHeight="1" x14ac:dyDescent="0.3">
      <c r="A61" s="28" t="s">
        <v>135</v>
      </c>
      <c r="B61" s="50"/>
      <c r="C61" s="162">
        <v>5</v>
      </c>
      <c r="G61" s="47"/>
    </row>
    <row r="62" spans="1:7" ht="14.25" customHeight="1" x14ac:dyDescent="0.3">
      <c r="A62" s="28" t="s">
        <v>136</v>
      </c>
      <c r="B62" s="50"/>
      <c r="C62" s="162">
        <v>5.0001199999999999</v>
      </c>
      <c r="G62" s="47">
        <f>C62-C61</f>
        <v>1.1999999999989797E-4</v>
      </c>
    </row>
    <row r="63" spans="1:7" ht="14.25" customHeight="1" x14ac:dyDescent="0.3">
      <c r="A63" s="28" t="s">
        <v>137</v>
      </c>
      <c r="B63" s="50"/>
      <c r="C63" s="162">
        <v>5.0000600000000004</v>
      </c>
      <c r="G63" s="47"/>
    </row>
    <row r="64" spans="1:7" ht="14.25" customHeight="1" x14ac:dyDescent="0.3">
      <c r="A64" s="28" t="s">
        <v>138</v>
      </c>
      <c r="B64" s="50"/>
      <c r="C64" s="162">
        <v>4.9999799999999999</v>
      </c>
      <c r="G64" s="47">
        <f>C63-C64</f>
        <v>8.0000000000524096E-5</v>
      </c>
    </row>
    <row r="65" spans="1:19" ht="14.25" customHeight="1" x14ac:dyDescent="0.3">
      <c r="A65" s="28" t="s">
        <v>139</v>
      </c>
      <c r="B65" s="50"/>
      <c r="D65" s="162">
        <v>5</v>
      </c>
      <c r="G65" s="47"/>
    </row>
    <row r="66" spans="1:19" ht="14.25" customHeight="1" x14ac:dyDescent="0.3">
      <c r="A66" s="28" t="s">
        <v>140</v>
      </c>
      <c r="B66" s="50"/>
      <c r="D66" s="162">
        <v>5.0000799999999996</v>
      </c>
      <c r="G66" s="47">
        <f>D66-D65</f>
        <v>7.9999999999635918E-5</v>
      </c>
    </row>
    <row r="67" spans="1:19" ht="14.25" customHeight="1" x14ac:dyDescent="0.3">
      <c r="A67" s="28" t="s">
        <v>141</v>
      </c>
      <c r="B67" s="50"/>
      <c r="D67" s="162">
        <v>5.0000499999999999</v>
      </c>
      <c r="G67" s="47"/>
    </row>
    <row r="68" spans="1:19" ht="14.25" customHeight="1" x14ac:dyDescent="0.3">
      <c r="A68" s="28" t="s">
        <v>142</v>
      </c>
      <c r="B68" s="50"/>
      <c r="D68" s="162">
        <v>5.0000099999999996</v>
      </c>
      <c r="G68" s="47">
        <f>D67-D68</f>
        <v>4.0000000000262048E-5</v>
      </c>
    </row>
    <row r="69" spans="1:19" ht="14.25" customHeight="1" x14ac:dyDescent="0.3">
      <c r="A69" s="28" t="s">
        <v>143</v>
      </c>
      <c r="B69" s="50"/>
      <c r="E69" s="162">
        <v>4.9999700000000002</v>
      </c>
      <c r="G69" s="47"/>
    </row>
    <row r="70" spans="1:19" ht="14.25" customHeight="1" x14ac:dyDescent="0.3">
      <c r="A70" s="28" t="s">
        <v>144</v>
      </c>
      <c r="B70" s="50"/>
      <c r="E70" s="162">
        <v>5.0000999999999998</v>
      </c>
      <c r="G70" s="47">
        <f>E70-E69</f>
        <v>1.2999999999951939E-4</v>
      </c>
    </row>
    <row r="71" spans="1:19" ht="14.25" customHeight="1" x14ac:dyDescent="0.3">
      <c r="A71" s="28" t="s">
        <v>145</v>
      </c>
      <c r="B71" s="50"/>
      <c r="E71" s="162">
        <v>5.00007</v>
      </c>
      <c r="G71" s="47"/>
    </row>
    <row r="72" spans="1:19" ht="14.25" customHeight="1" x14ac:dyDescent="0.3">
      <c r="A72" s="28" t="s">
        <v>146</v>
      </c>
      <c r="B72" s="50"/>
      <c r="E72" s="162">
        <v>5.0000099999999996</v>
      </c>
      <c r="G72" s="47">
        <f>E71-E72</f>
        <v>6.0000000000393072E-5</v>
      </c>
    </row>
    <row r="73" spans="1:19" ht="14.25" customHeight="1" x14ac:dyDescent="0.3">
      <c r="A73" s="28" t="s">
        <v>147</v>
      </c>
      <c r="B73" s="50"/>
      <c r="F73" s="162">
        <v>5</v>
      </c>
      <c r="G73" s="47"/>
    </row>
    <row r="74" spans="1:19" ht="14.25" customHeight="1" x14ac:dyDescent="0.3">
      <c r="A74" s="28" t="s">
        <v>148</v>
      </c>
      <c r="B74" s="50"/>
      <c r="F74" s="162">
        <v>5.0000799999999996</v>
      </c>
      <c r="G74" s="47">
        <f>F74-F73</f>
        <v>7.9999999999635918E-5</v>
      </c>
    </row>
    <row r="75" spans="1:19" ht="14.25" customHeight="1" x14ac:dyDescent="0.3">
      <c r="A75" s="28" t="s">
        <v>149</v>
      </c>
      <c r="B75" s="50"/>
      <c r="F75" s="162">
        <v>5.0000600000000004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64">
        <v>4.9999900000000004</v>
      </c>
      <c r="G76" s="53">
        <f>F75-F76</f>
        <v>7.0000000000014495E-5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7.7999999999889274E-5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2.6381811916435875E-5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4.0999999999999997E-6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5.0001009999999999</v>
      </c>
      <c r="H84" s="27" t="s">
        <v>113</v>
      </c>
    </row>
    <row r="85" spans="2:12" ht="14.25" customHeight="1" x14ac:dyDescent="0.3">
      <c r="G85" s="57">
        <f>G84</f>
        <v>5.0001009999999999</v>
      </c>
    </row>
    <row r="86" spans="2:12" ht="14.25" customHeight="1" x14ac:dyDescent="0.3">
      <c r="F86" s="27" t="s">
        <v>155</v>
      </c>
      <c r="G86" s="27">
        <f>IF(G80&gt;G82,G80,G82)</f>
        <v>2.6381811916435875E-5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5</v>
      </c>
      <c r="D92" s="60" t="s">
        <v>113</v>
      </c>
      <c r="E92" s="66"/>
      <c r="F92" s="59" t="s">
        <v>280</v>
      </c>
      <c r="G92" s="59">
        <f>S15</f>
        <v>0.05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1.0999999999999999E-2</v>
      </c>
      <c r="F97" s="71">
        <v>2</v>
      </c>
      <c r="G97" s="71">
        <v>60</v>
      </c>
      <c r="H97" s="71">
        <f t="shared" ref="H97:H101" si="1">E97/F97</f>
        <v>5.4999999999999997E-3</v>
      </c>
      <c r="I97" s="71">
        <v>1</v>
      </c>
      <c r="J97" s="71">
        <f t="shared" ref="J97:J101" si="2">H97*I97</f>
        <v>5.4999999999999997E-3</v>
      </c>
      <c r="K97" s="71">
        <f t="shared" ref="K97:K101" si="3">J97^2</f>
        <v>3.0249999999999997E-5</v>
      </c>
      <c r="L97" s="71">
        <f t="shared" ref="L97:L101" si="4">J97^4/G97</f>
        <v>1.5251041666666663E-11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8.3426614458109102E-3</v>
      </c>
      <c r="F98" s="74">
        <v>1</v>
      </c>
      <c r="G98" s="74">
        <f>IF(G80&gt;G82,9,1000)</f>
        <v>9</v>
      </c>
      <c r="H98" s="74">
        <f t="shared" si="1"/>
        <v>8.3426614458109102E-3</v>
      </c>
      <c r="I98" s="74">
        <v>1</v>
      </c>
      <c r="J98" s="74">
        <f t="shared" si="2"/>
        <v>8.3426614458109102E-3</v>
      </c>
      <c r="K98" s="74">
        <f t="shared" si="3"/>
        <v>6.9599999999419787E-5</v>
      </c>
      <c r="L98" s="74">
        <f t="shared" si="4"/>
        <v>5.3823999999102602E-10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f>0.0005</f>
        <v>5.0000000000000001E-4</v>
      </c>
      <c r="F99" s="77">
        <f>SQRT(3)</f>
        <v>1.7320508075688772</v>
      </c>
      <c r="G99" s="77">
        <v>1000</v>
      </c>
      <c r="H99" s="77">
        <f t="shared" si="1"/>
        <v>2.886751345948129E-4</v>
      </c>
      <c r="I99" s="77">
        <v>1</v>
      </c>
      <c r="J99" s="77">
        <f t="shared" si="2"/>
        <v>2.886751345948129E-4</v>
      </c>
      <c r="K99" s="77">
        <f t="shared" si="3"/>
        <v>8.3333333333333338E-8</v>
      </c>
      <c r="L99" s="77">
        <f t="shared" si="4"/>
        <v>6.944444444444445E-18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4.0000000000000001E-3</v>
      </c>
      <c r="F100" s="77">
        <v>1</v>
      </c>
      <c r="G100" s="77">
        <v>4</v>
      </c>
      <c r="H100" s="77">
        <f t="shared" si="1"/>
        <v>4.0000000000000001E-3</v>
      </c>
      <c r="I100" s="77">
        <v>1</v>
      </c>
      <c r="J100" s="77">
        <f t="shared" si="2"/>
        <v>4.0000000000000001E-3</v>
      </c>
      <c r="K100" s="77">
        <f t="shared" si="3"/>
        <v>1.5999999999999999E-5</v>
      </c>
      <c r="L100" s="77">
        <f t="shared" si="4"/>
        <v>6.3999999999999999E-11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2.0520000000000003E-5</v>
      </c>
      <c r="F101" s="79">
        <v>1</v>
      </c>
      <c r="G101" s="79">
        <v>1000</v>
      </c>
      <c r="H101" s="79">
        <f t="shared" si="1"/>
        <v>2.0520000000000003E-5</v>
      </c>
      <c r="I101" s="79">
        <v>1</v>
      </c>
      <c r="J101" s="79">
        <f t="shared" si="2"/>
        <v>2.0520000000000003E-5</v>
      </c>
      <c r="K101" s="79">
        <f t="shared" si="3"/>
        <v>4.2107040000000015E-10</v>
      </c>
      <c r="L101" s="79">
        <f t="shared" si="4"/>
        <v>1.7730028175616011E-22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1.1593375440315311E-4</v>
      </c>
      <c r="L102" s="71">
        <f t="shared" si="5"/>
        <v>6.174910486023145E-10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1.0767253800442947E-2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21.766526722020309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2.07961384472768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2.239173007309788E-2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2.239173007309788E-2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2.9000000000000001E-2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2B1B-B53E-4E90-B811-5B5F8B7AC166}">
  <sheetPr>
    <tabColor rgb="FF00B050"/>
  </sheetPr>
  <dimension ref="A1:Z1000"/>
  <sheetViews>
    <sheetView topLeftCell="A72" zoomScale="79" zoomScaleNormal="79" workbookViewId="0">
      <selection activeCell="K109" sqref="K109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261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10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1.0000000000000001E-5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N19</f>
        <v>10.000033</v>
      </c>
      <c r="D52" s="3" t="s">
        <v>113</v>
      </c>
    </row>
    <row r="53" spans="1:7" ht="14.25" customHeight="1" x14ac:dyDescent="0.3">
      <c r="B53" s="3" t="s">
        <v>122</v>
      </c>
      <c r="C53" s="36">
        <f>O19</f>
        <v>1.4E-2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61">
        <v>10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62">
        <v>10.000209999999999</v>
      </c>
      <c r="G58" s="49">
        <f>B58-B57</f>
        <v>2.0999999999915531E-4</v>
      </c>
    </row>
    <row r="59" spans="1:7" ht="14.25" customHeight="1" x14ac:dyDescent="0.3">
      <c r="A59" s="28" t="s">
        <v>133</v>
      </c>
      <c r="B59" s="162">
        <v>10.00018</v>
      </c>
      <c r="G59" s="47"/>
    </row>
    <row r="60" spans="1:7" ht="14.25" customHeight="1" x14ac:dyDescent="0.3">
      <c r="A60" s="28" t="s">
        <v>134</v>
      </c>
      <c r="B60" s="162">
        <v>10.000019999999999</v>
      </c>
      <c r="G60" s="49">
        <f>B59-B60</f>
        <v>1.6000000000104819E-4</v>
      </c>
    </row>
    <row r="61" spans="1:7" ht="14.25" customHeight="1" x14ac:dyDescent="0.3">
      <c r="A61" s="28" t="s">
        <v>135</v>
      </c>
      <c r="B61" s="50"/>
      <c r="C61" s="165">
        <v>10.000030000000001</v>
      </c>
      <c r="G61" s="47"/>
    </row>
    <row r="62" spans="1:7" ht="14.25" customHeight="1" x14ac:dyDescent="0.3">
      <c r="A62" s="28" t="s">
        <v>136</v>
      </c>
      <c r="B62" s="50"/>
      <c r="C62" s="166">
        <v>10.00019</v>
      </c>
      <c r="G62" s="47">
        <f>C62-C61</f>
        <v>1.5999999999927184E-4</v>
      </c>
    </row>
    <row r="63" spans="1:7" ht="14.25" customHeight="1" x14ac:dyDescent="0.3">
      <c r="A63" s="28" t="s">
        <v>137</v>
      </c>
      <c r="B63" s="50"/>
      <c r="C63" s="166">
        <v>10.00019</v>
      </c>
      <c r="G63" s="47"/>
    </row>
    <row r="64" spans="1:7" ht="14.25" customHeight="1" x14ac:dyDescent="0.3">
      <c r="A64" s="28" t="s">
        <v>138</v>
      </c>
      <c r="B64" s="50"/>
      <c r="C64" s="165">
        <v>10.00001</v>
      </c>
      <c r="G64" s="47">
        <f>C63-C64</f>
        <v>1.8000000000029104E-4</v>
      </c>
    </row>
    <row r="65" spans="1:19" ht="14.25" customHeight="1" x14ac:dyDescent="0.3">
      <c r="A65" s="28" t="s">
        <v>139</v>
      </c>
      <c r="B65" s="50"/>
      <c r="D65" s="167">
        <v>10.00004</v>
      </c>
      <c r="G65" s="47"/>
    </row>
    <row r="66" spans="1:19" ht="14.25" customHeight="1" x14ac:dyDescent="0.3">
      <c r="A66" s="28" t="s">
        <v>140</v>
      </c>
      <c r="B66" s="50"/>
      <c r="D66" s="168">
        <v>10.00014</v>
      </c>
      <c r="G66" s="47">
        <f>D66-D65</f>
        <v>9.9999999999766942E-5</v>
      </c>
    </row>
    <row r="67" spans="1:19" ht="14.25" customHeight="1" x14ac:dyDescent="0.3">
      <c r="A67" s="28" t="s">
        <v>141</v>
      </c>
      <c r="B67" s="50"/>
      <c r="D67" s="168">
        <v>10.00014</v>
      </c>
      <c r="G67" s="47"/>
    </row>
    <row r="68" spans="1:19" ht="14.25" customHeight="1" x14ac:dyDescent="0.3">
      <c r="A68" s="28" t="s">
        <v>142</v>
      </c>
      <c r="B68" s="50"/>
      <c r="D68" s="167">
        <v>10.000019999999999</v>
      </c>
      <c r="G68" s="47">
        <f>D67-D68</f>
        <v>1.2000000000078614E-4</v>
      </c>
    </row>
    <row r="69" spans="1:19" ht="14.25" customHeight="1" x14ac:dyDescent="0.3">
      <c r="A69" s="28" t="s">
        <v>143</v>
      </c>
      <c r="B69" s="50"/>
      <c r="E69" s="169">
        <v>10.00004</v>
      </c>
      <c r="G69" s="47"/>
    </row>
    <row r="70" spans="1:19" ht="14.25" customHeight="1" x14ac:dyDescent="0.3">
      <c r="A70" s="28" t="s">
        <v>144</v>
      </c>
      <c r="B70" s="50"/>
      <c r="E70" s="170">
        <v>10.00019</v>
      </c>
      <c r="G70" s="47">
        <f>E70-E69</f>
        <v>1.4999999999965041E-4</v>
      </c>
    </row>
    <row r="71" spans="1:19" ht="14.25" customHeight="1" x14ac:dyDescent="0.3">
      <c r="A71" s="28" t="s">
        <v>145</v>
      </c>
      <c r="B71" s="50"/>
      <c r="E71" s="170">
        <v>10.000170000000001</v>
      </c>
      <c r="G71" s="47"/>
    </row>
    <row r="72" spans="1:19" ht="14.25" customHeight="1" x14ac:dyDescent="0.3">
      <c r="A72" s="28" t="s">
        <v>146</v>
      </c>
      <c r="B72" s="50"/>
      <c r="E72" s="169">
        <v>10.000030000000001</v>
      </c>
      <c r="G72" s="47">
        <f>E71-E72</f>
        <v>1.4000000000002899E-4</v>
      </c>
    </row>
    <row r="73" spans="1:19" ht="14.25" customHeight="1" x14ac:dyDescent="0.3">
      <c r="A73" s="28" t="s">
        <v>147</v>
      </c>
      <c r="B73" s="50"/>
      <c r="F73" s="171">
        <v>10.000030000000001</v>
      </c>
      <c r="G73" s="47"/>
    </row>
    <row r="74" spans="1:19" ht="14.25" customHeight="1" x14ac:dyDescent="0.3">
      <c r="A74" s="28" t="s">
        <v>148</v>
      </c>
      <c r="B74" s="50"/>
      <c r="F74" s="172">
        <v>10.000209999999999</v>
      </c>
      <c r="G74" s="47">
        <f>F74-F73</f>
        <v>1.7999999999851468E-4</v>
      </c>
    </row>
    <row r="75" spans="1:19" ht="14.25" customHeight="1" x14ac:dyDescent="0.3">
      <c r="A75" s="28" t="s">
        <v>149</v>
      </c>
      <c r="B75" s="50"/>
      <c r="F75" s="172">
        <v>10.000209999999999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71">
        <v>10.000019999999999</v>
      </c>
      <c r="G76" s="53">
        <f>F75-F76</f>
        <v>1.8999999999991246E-4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1.5899999999984259E-4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3.1448370386762914E-5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4.0999999999999997E-6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10.000192</v>
      </c>
      <c r="H84" s="27" t="s">
        <v>113</v>
      </c>
    </row>
    <row r="85" spans="2:12" ht="14.25" customHeight="1" x14ac:dyDescent="0.3">
      <c r="G85" s="57">
        <f>G84</f>
        <v>10.000192</v>
      </c>
    </row>
    <row r="86" spans="2:12" ht="14.25" customHeight="1" x14ac:dyDescent="0.3">
      <c r="F86" s="27" t="s">
        <v>155</v>
      </c>
      <c r="G86" s="27">
        <f>IF(G80&gt;G82,G80,G82)</f>
        <v>3.1448370386762914E-5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10</v>
      </c>
      <c r="D92" s="60" t="s">
        <v>113</v>
      </c>
      <c r="E92" s="66"/>
      <c r="F92" s="59" t="s">
        <v>281</v>
      </c>
      <c r="G92" s="59">
        <f>S14</f>
        <v>0.06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1.4E-2</v>
      </c>
      <c r="F97" s="71">
        <v>2</v>
      </c>
      <c r="G97" s="71">
        <v>60</v>
      </c>
      <c r="H97" s="71">
        <f t="shared" ref="H97:H101" si="1">E97/F97</f>
        <v>7.0000000000000001E-3</v>
      </c>
      <c r="I97" s="71">
        <v>1</v>
      </c>
      <c r="J97" s="71">
        <f t="shared" ref="J97:J101" si="2">H97*I97</f>
        <v>7.0000000000000001E-3</v>
      </c>
      <c r="K97" s="71">
        <f t="shared" ref="K97:K101" si="3">J97^2</f>
        <v>4.9000000000000005E-5</v>
      </c>
      <c r="L97" s="71">
        <f t="shared" ref="L97:L101" si="4">J97^4/G97</f>
        <v>4.0016666666666676E-11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9.9448479122761172E-3</v>
      </c>
      <c r="F98" s="74">
        <v>1</v>
      </c>
      <c r="G98" s="74">
        <f>IF(G80&gt;G82,9,1000)</f>
        <v>9</v>
      </c>
      <c r="H98" s="74">
        <f t="shared" si="1"/>
        <v>9.9448479122761172E-3</v>
      </c>
      <c r="I98" s="74">
        <v>1</v>
      </c>
      <c r="J98" s="74">
        <f t="shared" si="2"/>
        <v>9.9448479122761172E-3</v>
      </c>
      <c r="K98" s="74">
        <f t="shared" si="3"/>
        <v>9.8899999998302646E-5</v>
      </c>
      <c r="L98" s="74">
        <f t="shared" si="4"/>
        <v>1.086801111073807E-9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v>5.0000000000000001E-4</v>
      </c>
      <c r="F99" s="77">
        <f>SQRT(3)</f>
        <v>1.7320508075688772</v>
      </c>
      <c r="G99" s="77">
        <v>1000</v>
      </c>
      <c r="H99" s="77">
        <f t="shared" si="1"/>
        <v>2.886751345948129E-4</v>
      </c>
      <c r="I99" s="77">
        <v>1</v>
      </c>
      <c r="J99" s="77">
        <f t="shared" si="2"/>
        <v>2.886751345948129E-4</v>
      </c>
      <c r="K99" s="77">
        <f t="shared" si="3"/>
        <v>8.3333333333333338E-8</v>
      </c>
      <c r="L99" s="77">
        <f t="shared" si="4"/>
        <v>6.944444444444445E-18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4.7999999999999996E-3</v>
      </c>
      <c r="F100" s="77">
        <v>1</v>
      </c>
      <c r="G100" s="77">
        <v>4</v>
      </c>
      <c r="H100" s="77">
        <f t="shared" si="1"/>
        <v>4.7999999999999996E-3</v>
      </c>
      <c r="I100" s="77">
        <v>1</v>
      </c>
      <c r="J100" s="77">
        <f t="shared" si="2"/>
        <v>4.7999999999999996E-3</v>
      </c>
      <c r="K100" s="77">
        <f t="shared" si="3"/>
        <v>2.3039999999999996E-5</v>
      </c>
      <c r="L100" s="77">
        <f t="shared" si="4"/>
        <v>1.3271039999999995E-10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4.1040000000000007E-5</v>
      </c>
      <c r="F101" s="79">
        <v>1</v>
      </c>
      <c r="G101" s="79">
        <v>1000</v>
      </c>
      <c r="H101" s="79">
        <f t="shared" si="1"/>
        <v>4.1040000000000007E-5</v>
      </c>
      <c r="I101" s="79">
        <v>1</v>
      </c>
      <c r="J101" s="79">
        <f t="shared" si="2"/>
        <v>4.1040000000000007E-5</v>
      </c>
      <c r="K101" s="79">
        <f t="shared" si="3"/>
        <v>1.6842816000000006E-9</v>
      </c>
      <c r="L101" s="79">
        <f t="shared" si="4"/>
        <v>2.8368045080985618E-21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1.7102501761323598E-4</v>
      </c>
      <c r="L102" s="71">
        <f t="shared" si="5"/>
        <v>1.259528184687755E-9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1.3077653367987545E-2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23.222629715792209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2.0686576104190491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2.7053187166109743E-2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2.7053187166109743E-2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3.2000000000000001E-2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7738-B3B3-4A5C-A09A-E627DC5EA889}">
  <sheetPr>
    <tabColor rgb="FF00B050"/>
  </sheetPr>
  <dimension ref="A1:Z1000"/>
  <sheetViews>
    <sheetView topLeftCell="A59" zoomScale="79" zoomScaleNormal="79" workbookViewId="0">
      <selection activeCell="L109" sqref="L109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261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20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1.0000000000000001E-5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N20</f>
        <v>20.000035</v>
      </c>
      <c r="D52" s="3" t="s">
        <v>113</v>
      </c>
    </row>
    <row r="53" spans="1:7" ht="14.25" customHeight="1" x14ac:dyDescent="0.3">
      <c r="B53" s="3" t="s">
        <v>122</v>
      </c>
      <c r="C53" s="36">
        <f>O20</f>
        <v>1.7999999999999999E-2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61">
        <v>20.000029999999999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62">
        <v>20.000070000000001</v>
      </c>
      <c r="G58" s="49">
        <f>B58-B57</f>
        <v>4.0000000002038405E-5</v>
      </c>
    </row>
    <row r="59" spans="1:7" ht="14.25" customHeight="1" x14ac:dyDescent="0.3">
      <c r="A59" s="28" t="s">
        <v>133</v>
      </c>
      <c r="B59" s="162">
        <v>20.000080000000001</v>
      </c>
      <c r="G59" s="47"/>
    </row>
    <row r="60" spans="1:7" ht="14.25" customHeight="1" x14ac:dyDescent="0.3">
      <c r="A60" s="28" t="s">
        <v>134</v>
      </c>
      <c r="B60" s="162">
        <v>20.000029999999999</v>
      </c>
      <c r="G60" s="49">
        <f>B59-B60</f>
        <v>5.0000000001659828E-5</v>
      </c>
    </row>
    <row r="61" spans="1:7" ht="14.25" customHeight="1" x14ac:dyDescent="0.3">
      <c r="A61" s="28" t="s">
        <v>135</v>
      </c>
      <c r="B61" s="50"/>
      <c r="C61" s="162">
        <v>20.000050000000002</v>
      </c>
      <c r="G61" s="47"/>
    </row>
    <row r="62" spans="1:7" ht="14.25" customHeight="1" x14ac:dyDescent="0.3">
      <c r="A62" s="28" t="s">
        <v>136</v>
      </c>
      <c r="B62" s="50"/>
      <c r="C62" s="162">
        <v>20.00009</v>
      </c>
      <c r="G62" s="47">
        <f>C62-C61</f>
        <v>3.9999999998485691E-5</v>
      </c>
    </row>
    <row r="63" spans="1:7" ht="14.25" customHeight="1" x14ac:dyDescent="0.3">
      <c r="A63" s="28" t="s">
        <v>137</v>
      </c>
      <c r="B63" s="50"/>
      <c r="C63" s="162">
        <v>20.0001</v>
      </c>
      <c r="G63" s="47"/>
    </row>
    <row r="64" spans="1:7" ht="14.25" customHeight="1" x14ac:dyDescent="0.3">
      <c r="A64" s="28" t="s">
        <v>138</v>
      </c>
      <c r="B64" s="50"/>
      <c r="C64" s="162">
        <v>20.00001</v>
      </c>
      <c r="G64" s="47">
        <f>C63-C64</f>
        <v>9.0000000000145519E-5</v>
      </c>
    </row>
    <row r="65" spans="1:19" ht="14.25" customHeight="1" x14ac:dyDescent="0.3">
      <c r="A65" s="28" t="s">
        <v>139</v>
      </c>
      <c r="B65" s="50"/>
      <c r="D65" s="162">
        <v>20.00001</v>
      </c>
      <c r="G65" s="47"/>
    </row>
    <row r="66" spans="1:19" ht="14.25" customHeight="1" x14ac:dyDescent="0.3">
      <c r="A66" s="28" t="s">
        <v>140</v>
      </c>
      <c r="B66" s="50"/>
      <c r="D66" s="162">
        <v>20.0001</v>
      </c>
      <c r="G66" s="47">
        <f>D66-D65</f>
        <v>9.0000000000145519E-5</v>
      </c>
    </row>
    <row r="67" spans="1:19" ht="14.25" customHeight="1" x14ac:dyDescent="0.3">
      <c r="A67" s="28" t="s">
        <v>141</v>
      </c>
      <c r="B67" s="50"/>
      <c r="D67" s="162">
        <v>20.000109999999999</v>
      </c>
      <c r="G67" s="47"/>
    </row>
    <row r="68" spans="1:19" ht="14.25" customHeight="1" x14ac:dyDescent="0.3">
      <c r="A68" s="28" t="s">
        <v>142</v>
      </c>
      <c r="B68" s="50"/>
      <c r="D68" s="162">
        <v>20.000019999999999</v>
      </c>
      <c r="G68" s="47">
        <f>D67-D68</f>
        <v>9.0000000000145519E-5</v>
      </c>
    </row>
    <row r="69" spans="1:19" ht="14.25" customHeight="1" x14ac:dyDescent="0.3">
      <c r="A69" s="28" t="s">
        <v>143</v>
      </c>
      <c r="B69" s="50"/>
      <c r="E69" s="162">
        <v>20.000029999999999</v>
      </c>
      <c r="G69" s="47"/>
    </row>
    <row r="70" spans="1:19" ht="14.25" customHeight="1" x14ac:dyDescent="0.3">
      <c r="A70" s="28" t="s">
        <v>144</v>
      </c>
      <c r="B70" s="50"/>
      <c r="E70" s="162">
        <v>20.00009</v>
      </c>
      <c r="G70" s="47">
        <f>E70-E69</f>
        <v>6.0000000001281251E-5</v>
      </c>
    </row>
    <row r="71" spans="1:19" ht="14.25" customHeight="1" x14ac:dyDescent="0.3">
      <c r="A71" s="28" t="s">
        <v>145</v>
      </c>
      <c r="B71" s="50"/>
      <c r="E71" s="162">
        <v>20.00009</v>
      </c>
      <c r="G71" s="47"/>
    </row>
    <row r="72" spans="1:19" ht="14.25" customHeight="1" x14ac:dyDescent="0.3">
      <c r="A72" s="28" t="s">
        <v>146</v>
      </c>
      <c r="B72" s="50"/>
      <c r="E72" s="162">
        <v>20.000050000000002</v>
      </c>
      <c r="G72" s="47">
        <f>E71-E72</f>
        <v>3.9999999998485691E-5</v>
      </c>
    </row>
    <row r="73" spans="1:19" ht="14.25" customHeight="1" x14ac:dyDescent="0.3">
      <c r="A73" s="28" t="s">
        <v>147</v>
      </c>
      <c r="B73" s="50"/>
      <c r="F73" s="162">
        <v>20.000019999999999</v>
      </c>
      <c r="G73" s="47"/>
    </row>
    <row r="74" spans="1:19" ht="14.25" customHeight="1" x14ac:dyDescent="0.3">
      <c r="A74" s="28" t="s">
        <v>148</v>
      </c>
      <c r="B74" s="50"/>
      <c r="F74" s="162">
        <v>20.000109999999999</v>
      </c>
      <c r="G74" s="47">
        <f>F74-F73</f>
        <v>9.0000000000145519E-5</v>
      </c>
    </row>
    <row r="75" spans="1:19" ht="14.25" customHeight="1" x14ac:dyDescent="0.3">
      <c r="A75" s="28" t="s">
        <v>149</v>
      </c>
      <c r="B75" s="50"/>
      <c r="F75" s="164">
        <v>20.000080000000001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64">
        <v>20.000029999999999</v>
      </c>
      <c r="G76" s="53">
        <f>F75-F76</f>
        <v>5.0000000001659828E-5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6.4000000000419272E-5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2.1999999999942269E-5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4.0999999999999997E-6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20.000099000000002</v>
      </c>
      <c r="H84" s="27" t="s">
        <v>113</v>
      </c>
    </row>
    <row r="85" spans="2:12" ht="14.25" customHeight="1" x14ac:dyDescent="0.3">
      <c r="G85" s="57">
        <f>G84</f>
        <v>20.000099000000002</v>
      </c>
    </row>
    <row r="86" spans="2:12" ht="14.25" customHeight="1" x14ac:dyDescent="0.3">
      <c r="F86" s="27" t="s">
        <v>155</v>
      </c>
      <c r="G86" s="27">
        <f>IF(G80&gt;G82,G80,G82)</f>
        <v>2.1999999999942269E-5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20</v>
      </c>
      <c r="D92" s="60" t="s">
        <v>113</v>
      </c>
      <c r="E92" s="66"/>
      <c r="F92" s="59" t="s">
        <v>282</v>
      </c>
      <c r="G92" s="59">
        <f>S13</f>
        <v>0.08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1.7999999999999999E-2</v>
      </c>
      <c r="F97" s="71">
        <v>2</v>
      </c>
      <c r="G97" s="71">
        <v>60</v>
      </c>
      <c r="H97" s="71">
        <f t="shared" ref="H97:H101" si="1">E97/F97</f>
        <v>8.9999999999999993E-3</v>
      </c>
      <c r="I97" s="71">
        <v>1</v>
      </c>
      <c r="J97" s="71">
        <f t="shared" ref="J97:J101" si="2">H97*I97</f>
        <v>8.9999999999999993E-3</v>
      </c>
      <c r="K97" s="71">
        <f t="shared" ref="K97:K101" si="3">J97^2</f>
        <v>8.099999999999999E-5</v>
      </c>
      <c r="L97" s="71">
        <f t="shared" ref="L97:L101" si="4">J97^4/G97</f>
        <v>1.0934999999999998E-10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6.9570108523521789E-3</v>
      </c>
      <c r="F98" s="74">
        <v>1</v>
      </c>
      <c r="G98" s="74">
        <f>IF(G80&gt;G82,9,1000)</f>
        <v>9</v>
      </c>
      <c r="H98" s="74">
        <f t="shared" si="1"/>
        <v>6.9570108523521789E-3</v>
      </c>
      <c r="I98" s="74">
        <v>1</v>
      </c>
      <c r="J98" s="74">
        <f t="shared" si="2"/>
        <v>6.9570108523521789E-3</v>
      </c>
      <c r="K98" s="74">
        <f t="shared" si="3"/>
        <v>4.8399999999745989E-5</v>
      </c>
      <c r="L98" s="74">
        <f t="shared" si="4"/>
        <v>2.6028444444171244E-10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f>0.0005</f>
        <v>5.0000000000000001E-4</v>
      </c>
      <c r="F99" s="77">
        <f>SQRT(3)</f>
        <v>1.7320508075688772</v>
      </c>
      <c r="G99" s="77">
        <v>1000</v>
      </c>
      <c r="H99" s="77">
        <f t="shared" si="1"/>
        <v>2.886751345948129E-4</v>
      </c>
      <c r="I99" s="77">
        <v>1</v>
      </c>
      <c r="J99" s="77">
        <f t="shared" si="2"/>
        <v>2.886751345948129E-4</v>
      </c>
      <c r="K99" s="77">
        <f t="shared" si="3"/>
        <v>8.3333333333333338E-8</v>
      </c>
      <c r="L99" s="77">
        <f t="shared" si="4"/>
        <v>6.944444444444445E-18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6.4000000000000003E-3</v>
      </c>
      <c r="F100" s="77">
        <v>1</v>
      </c>
      <c r="G100" s="77">
        <v>4</v>
      </c>
      <c r="H100" s="77">
        <f t="shared" si="1"/>
        <v>6.4000000000000003E-3</v>
      </c>
      <c r="I100" s="77">
        <v>1</v>
      </c>
      <c r="J100" s="77">
        <f t="shared" si="2"/>
        <v>6.4000000000000003E-3</v>
      </c>
      <c r="K100" s="77">
        <f t="shared" si="3"/>
        <v>4.0960000000000001E-5</v>
      </c>
      <c r="L100" s="77">
        <f t="shared" si="4"/>
        <v>4.1943040000000004E-10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8.2080000000000014E-5</v>
      </c>
      <c r="F101" s="79">
        <v>1</v>
      </c>
      <c r="G101" s="79">
        <v>1000</v>
      </c>
      <c r="H101" s="79">
        <f t="shared" si="1"/>
        <v>8.2080000000000014E-5</v>
      </c>
      <c r="I101" s="79">
        <v>1</v>
      </c>
      <c r="J101" s="79">
        <f t="shared" si="2"/>
        <v>8.2080000000000014E-5</v>
      </c>
      <c r="K101" s="79">
        <f t="shared" si="3"/>
        <v>6.7371264000000024E-9</v>
      </c>
      <c r="L101" s="79">
        <f t="shared" si="4"/>
        <v>4.5388872129576989E-20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1.7045007045947928E-4</v>
      </c>
      <c r="L102" s="71">
        <f t="shared" si="5"/>
        <v>7.8906485143154571E-10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1.3055652816289167E-2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36.81982091450682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2.028094000980452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2.6478091155599605E-2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2.6478091155599605E-2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3.5999999999999997E-2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2C3A-C875-4D90-839E-34E135DEFE14}">
  <sheetPr>
    <tabColor rgb="FF00B050"/>
  </sheetPr>
  <dimension ref="A1:Z1000"/>
  <sheetViews>
    <sheetView topLeftCell="A82" zoomScale="79" zoomScaleNormal="79" workbookViewId="0">
      <selection activeCell="K109" sqref="K109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261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20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1.0000000000000001E-5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N21</f>
        <v>20.000038</v>
      </c>
      <c r="D52" s="3" t="s">
        <v>113</v>
      </c>
    </row>
    <row r="53" spans="1:7" ht="14.25" customHeight="1" x14ac:dyDescent="0.3">
      <c r="B53" s="3" t="s">
        <v>122</v>
      </c>
      <c r="C53" s="36">
        <f>O21</f>
        <v>1.7999999999999999E-2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61">
        <v>20.000029999999999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62">
        <v>20.000209999999999</v>
      </c>
      <c r="G58" s="49">
        <f>B58-B57</f>
        <v>1.8000000000029104E-4</v>
      </c>
    </row>
    <row r="59" spans="1:7" ht="14.25" customHeight="1" x14ac:dyDescent="0.3">
      <c r="A59" s="28" t="s">
        <v>133</v>
      </c>
      <c r="B59" s="162">
        <v>20.00018</v>
      </c>
      <c r="G59" s="47"/>
    </row>
    <row r="60" spans="1:7" ht="14.25" customHeight="1" x14ac:dyDescent="0.3">
      <c r="A60" s="28" t="s">
        <v>134</v>
      </c>
      <c r="B60" s="162">
        <v>20.000029999999999</v>
      </c>
      <c r="G60" s="49">
        <f>B59-B60</f>
        <v>1.5000000000142677E-4</v>
      </c>
    </row>
    <row r="61" spans="1:7" ht="14.25" customHeight="1" x14ac:dyDescent="0.3">
      <c r="A61" s="28" t="s">
        <v>135</v>
      </c>
      <c r="B61" s="50"/>
      <c r="C61" s="162">
        <v>20.000050000000002</v>
      </c>
      <c r="G61" s="47"/>
    </row>
    <row r="62" spans="1:7" ht="14.25" customHeight="1" x14ac:dyDescent="0.3">
      <c r="A62" s="28" t="s">
        <v>136</v>
      </c>
      <c r="B62" s="50"/>
      <c r="C62" s="162">
        <v>20.00019</v>
      </c>
      <c r="G62" s="47">
        <f>C62-C61</f>
        <v>1.3999999999825263E-4</v>
      </c>
    </row>
    <row r="63" spans="1:7" ht="14.25" customHeight="1" x14ac:dyDescent="0.3">
      <c r="A63" s="28" t="s">
        <v>137</v>
      </c>
      <c r="B63" s="50"/>
      <c r="C63" s="162">
        <v>20.00019</v>
      </c>
      <c r="G63" s="47"/>
    </row>
    <row r="64" spans="1:7" ht="14.25" customHeight="1" x14ac:dyDescent="0.3">
      <c r="A64" s="28" t="s">
        <v>138</v>
      </c>
      <c r="B64" s="50"/>
      <c r="C64" s="162">
        <v>20.00001</v>
      </c>
      <c r="G64" s="47">
        <f>C63-C64</f>
        <v>1.8000000000029104E-4</v>
      </c>
    </row>
    <row r="65" spans="1:19" ht="14.25" customHeight="1" x14ac:dyDescent="0.3">
      <c r="A65" s="28" t="s">
        <v>139</v>
      </c>
      <c r="B65" s="50"/>
      <c r="D65" s="162">
        <v>20.00001</v>
      </c>
      <c r="G65" s="47"/>
    </row>
    <row r="66" spans="1:19" ht="14.25" customHeight="1" x14ac:dyDescent="0.3">
      <c r="A66" s="28" t="s">
        <v>140</v>
      </c>
      <c r="B66" s="50"/>
      <c r="D66" s="162">
        <v>20.000219999999999</v>
      </c>
      <c r="G66" s="47">
        <f>D66-D65</f>
        <v>2.0999999999915531E-4</v>
      </c>
    </row>
    <row r="67" spans="1:19" ht="14.25" customHeight="1" x14ac:dyDescent="0.3">
      <c r="A67" s="28" t="s">
        <v>141</v>
      </c>
      <c r="B67" s="50"/>
      <c r="D67" s="162">
        <v>20.00018</v>
      </c>
      <c r="G67" s="47"/>
    </row>
    <row r="68" spans="1:19" ht="14.25" customHeight="1" x14ac:dyDescent="0.3">
      <c r="A68" s="28" t="s">
        <v>142</v>
      </c>
      <c r="B68" s="50"/>
      <c r="D68" s="162">
        <v>20.000019999999999</v>
      </c>
      <c r="G68" s="47">
        <f>D67-D68</f>
        <v>1.6000000000104819E-4</v>
      </c>
    </row>
    <row r="69" spans="1:19" ht="14.25" customHeight="1" x14ac:dyDescent="0.3">
      <c r="A69" s="28" t="s">
        <v>143</v>
      </c>
      <c r="B69" s="50"/>
      <c r="E69" s="162">
        <v>20.000029999999999</v>
      </c>
      <c r="G69" s="47"/>
    </row>
    <row r="70" spans="1:19" ht="14.25" customHeight="1" x14ac:dyDescent="0.3">
      <c r="A70" s="28" t="s">
        <v>144</v>
      </c>
      <c r="B70" s="50"/>
      <c r="E70" s="162">
        <v>20.000209999999999</v>
      </c>
      <c r="G70" s="47">
        <f>E70-E69</f>
        <v>1.8000000000029104E-4</v>
      </c>
    </row>
    <row r="71" spans="1:19" ht="14.25" customHeight="1" x14ac:dyDescent="0.3">
      <c r="A71" s="28" t="s">
        <v>145</v>
      </c>
      <c r="B71" s="50"/>
      <c r="E71" s="162">
        <v>20.00018</v>
      </c>
      <c r="G71" s="47"/>
    </row>
    <row r="72" spans="1:19" ht="14.25" customHeight="1" x14ac:dyDescent="0.3">
      <c r="A72" s="28" t="s">
        <v>146</v>
      </c>
      <c r="B72" s="50"/>
      <c r="E72" s="162">
        <v>20.000050000000002</v>
      </c>
      <c r="G72" s="47">
        <f>E71-E72</f>
        <v>1.2999999999863121E-4</v>
      </c>
    </row>
    <row r="73" spans="1:19" ht="14.25" customHeight="1" x14ac:dyDescent="0.3">
      <c r="A73" s="28" t="s">
        <v>147</v>
      </c>
      <c r="B73" s="50"/>
      <c r="F73" s="162">
        <v>20.000019999999999</v>
      </c>
      <c r="G73" s="47"/>
    </row>
    <row r="74" spans="1:19" ht="14.25" customHeight="1" x14ac:dyDescent="0.3">
      <c r="A74" s="28" t="s">
        <v>148</v>
      </c>
      <c r="B74" s="50"/>
      <c r="F74" s="162">
        <v>20.000209999999999</v>
      </c>
      <c r="G74" s="47">
        <f>F74-F73</f>
        <v>1.8999999999991246E-4</v>
      </c>
    </row>
    <row r="75" spans="1:19" ht="14.25" customHeight="1" x14ac:dyDescent="0.3">
      <c r="A75" s="28" t="s">
        <v>149</v>
      </c>
      <c r="B75" s="50"/>
      <c r="F75" s="162">
        <v>20.000209999999999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64">
        <v>20.000050000000002</v>
      </c>
      <c r="G76" s="53">
        <f>F75-F76</f>
        <v>1.5999999999749548E-4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1.6799999999967953E-4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2.315167380583954E-5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4.0999999999999997E-6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20.000205999999999</v>
      </c>
      <c r="H84" s="27" t="s">
        <v>113</v>
      </c>
    </row>
    <row r="85" spans="2:12" ht="14.25" customHeight="1" x14ac:dyDescent="0.3">
      <c r="G85" s="57">
        <f>G84</f>
        <v>20.000205999999999</v>
      </c>
    </row>
    <row r="86" spans="2:12" ht="14.25" customHeight="1" x14ac:dyDescent="0.3">
      <c r="F86" s="27" t="s">
        <v>155</v>
      </c>
      <c r="G86" s="27">
        <f>IF(G80&gt;G82,G80,G82)</f>
        <v>2.315167380583954E-5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20</v>
      </c>
      <c r="D92" s="60" t="s">
        <v>113</v>
      </c>
      <c r="E92" s="66"/>
      <c r="F92" s="59" t="s">
        <v>283</v>
      </c>
      <c r="G92" s="59">
        <f>S13</f>
        <v>0.08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1.7999999999999999E-2</v>
      </c>
      <c r="F97" s="71">
        <v>2</v>
      </c>
      <c r="G97" s="71">
        <v>60</v>
      </c>
      <c r="H97" s="71">
        <f t="shared" ref="H97:H101" si="1">E97/F97</f>
        <v>8.9999999999999993E-3</v>
      </c>
      <c r="I97" s="71">
        <v>1</v>
      </c>
      <c r="J97" s="71">
        <f t="shared" ref="J97:J101" si="2">H97*I97</f>
        <v>8.9999999999999993E-3</v>
      </c>
      <c r="K97" s="71">
        <f t="shared" ref="K97:K101" si="3">J97^2</f>
        <v>8.099999999999999E-5</v>
      </c>
      <c r="L97" s="71">
        <f t="shared" ref="L97:L101" si="4">J97^4/G97</f>
        <v>1.0934999999999998E-10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7.3212020871711806E-3</v>
      </c>
      <c r="F98" s="74">
        <v>1</v>
      </c>
      <c r="G98" s="74">
        <f>IF(G80&gt;G82,9,1000)</f>
        <v>9</v>
      </c>
      <c r="H98" s="74">
        <f t="shared" si="1"/>
        <v>7.3212020871711806E-3</v>
      </c>
      <c r="I98" s="74">
        <v>1</v>
      </c>
      <c r="J98" s="74">
        <f t="shared" si="2"/>
        <v>7.3212020871711806E-3</v>
      </c>
      <c r="K98" s="74">
        <f t="shared" si="3"/>
        <v>5.3600000001199651E-5</v>
      </c>
      <c r="L98" s="74">
        <f t="shared" si="4"/>
        <v>3.1921777779206696E-10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v>5.0000000000000001E-4</v>
      </c>
      <c r="F99" s="77">
        <f>SQRT(3)</f>
        <v>1.7320508075688772</v>
      </c>
      <c r="G99" s="77">
        <v>1000</v>
      </c>
      <c r="H99" s="77">
        <f t="shared" si="1"/>
        <v>2.886751345948129E-4</v>
      </c>
      <c r="I99" s="77">
        <v>1</v>
      </c>
      <c r="J99" s="77">
        <f t="shared" si="2"/>
        <v>2.886751345948129E-4</v>
      </c>
      <c r="K99" s="77">
        <f t="shared" si="3"/>
        <v>8.3333333333333338E-8</v>
      </c>
      <c r="L99" s="77">
        <f t="shared" si="4"/>
        <v>6.944444444444445E-18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6.4000000000000003E-3</v>
      </c>
      <c r="F100" s="77">
        <v>1</v>
      </c>
      <c r="G100" s="77">
        <v>4</v>
      </c>
      <c r="H100" s="77">
        <f t="shared" si="1"/>
        <v>6.4000000000000003E-3</v>
      </c>
      <c r="I100" s="77">
        <v>1</v>
      </c>
      <c r="J100" s="77">
        <f t="shared" si="2"/>
        <v>6.4000000000000003E-3</v>
      </c>
      <c r="K100" s="77">
        <f t="shared" si="3"/>
        <v>4.0960000000000001E-5</v>
      </c>
      <c r="L100" s="77">
        <f t="shared" si="4"/>
        <v>4.1943040000000004E-10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8.2080000000000014E-5</v>
      </c>
      <c r="F101" s="79">
        <v>1</v>
      </c>
      <c r="G101" s="79">
        <v>1000</v>
      </c>
      <c r="H101" s="79">
        <f t="shared" si="1"/>
        <v>8.2080000000000014E-5</v>
      </c>
      <c r="I101" s="79">
        <v>1</v>
      </c>
      <c r="J101" s="79">
        <f t="shared" si="2"/>
        <v>8.2080000000000014E-5</v>
      </c>
      <c r="K101" s="79">
        <f t="shared" si="3"/>
        <v>6.7371264000000024E-9</v>
      </c>
      <c r="L101" s="79">
        <f t="shared" si="4"/>
        <v>4.5388872129576989E-20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1.7565007046093295E-4</v>
      </c>
      <c r="L102" s="71">
        <f t="shared" si="5"/>
        <v>8.4799818478190023E-10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1.3253304133722011E-2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36.383270396817991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2.028094000980452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2.6878946606771037E-2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2.6878946606771037E-2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3.5999999999999997E-2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367FE-A618-494F-B73C-F394D0DBB15A}">
  <sheetPr>
    <tabColor rgb="FF00B050"/>
  </sheetPr>
  <dimension ref="A1:Z1000"/>
  <sheetViews>
    <sheetView topLeftCell="A65" zoomScale="79" zoomScaleNormal="79" workbookViewId="0">
      <selection activeCell="N106" sqref="N106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261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50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1.0000000000000001E-5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N22</f>
        <v>50.000019999999999</v>
      </c>
      <c r="D52" s="3" t="s">
        <v>113</v>
      </c>
    </row>
    <row r="53" spans="1:7" ht="14.25" customHeight="1" x14ac:dyDescent="0.3">
      <c r="B53" s="3" t="s">
        <v>122</v>
      </c>
      <c r="C53" s="36">
        <f>O22</f>
        <v>0.03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61">
        <v>50.000010000000003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62">
        <v>50.000059999999998</v>
      </c>
      <c r="G58" s="49">
        <f>B58-B57</f>
        <v>4.99999999945544E-5</v>
      </c>
    </row>
    <row r="59" spans="1:7" ht="14.25" customHeight="1" x14ac:dyDescent="0.3">
      <c r="A59" s="28" t="s">
        <v>133</v>
      </c>
      <c r="B59" s="162">
        <v>50.000070000000001</v>
      </c>
      <c r="G59" s="47"/>
    </row>
    <row r="60" spans="1:7" ht="14.25" customHeight="1" x14ac:dyDescent="0.3">
      <c r="A60" s="28" t="s">
        <v>134</v>
      </c>
      <c r="B60" s="162">
        <v>49.999960000000002</v>
      </c>
      <c r="G60" s="49">
        <f>B59-B60</f>
        <v>1.0999999999938836E-4</v>
      </c>
    </row>
    <row r="61" spans="1:7" ht="14.25" customHeight="1" x14ac:dyDescent="0.3">
      <c r="A61" s="28" t="s">
        <v>135</v>
      </c>
      <c r="B61" s="50"/>
      <c r="C61" s="162">
        <v>49.999960000000002</v>
      </c>
      <c r="G61" s="47"/>
    </row>
    <row r="62" spans="1:7" ht="14.25" customHeight="1" x14ac:dyDescent="0.3">
      <c r="A62" s="28" t="s">
        <v>136</v>
      </c>
      <c r="B62" s="50"/>
      <c r="C62" s="162">
        <v>50.000039999999998</v>
      </c>
      <c r="G62" s="47">
        <f>C62-C61</f>
        <v>7.9999999996971383E-5</v>
      </c>
    </row>
    <row r="63" spans="1:7" ht="14.25" customHeight="1" x14ac:dyDescent="0.3">
      <c r="A63" s="28" t="s">
        <v>137</v>
      </c>
      <c r="B63" s="50"/>
      <c r="C63" s="162">
        <v>50.000050000000002</v>
      </c>
      <c r="G63" s="47"/>
    </row>
    <row r="64" spans="1:7" ht="14.25" customHeight="1" x14ac:dyDescent="0.3">
      <c r="A64" s="28" t="s">
        <v>138</v>
      </c>
      <c r="B64" s="50"/>
      <c r="C64" s="162">
        <v>49.999980000000001</v>
      </c>
      <c r="G64" s="47">
        <f>C63-C64</f>
        <v>7.0000000000902673E-5</v>
      </c>
    </row>
    <row r="65" spans="1:19" ht="14.25" customHeight="1" x14ac:dyDescent="0.3">
      <c r="A65" s="28" t="s">
        <v>139</v>
      </c>
      <c r="B65" s="50"/>
      <c r="D65" s="162">
        <v>50.000030000000002</v>
      </c>
      <c r="G65" s="47"/>
    </row>
    <row r="66" spans="1:19" ht="14.25" customHeight="1" x14ac:dyDescent="0.3">
      <c r="A66" s="28" t="s">
        <v>140</v>
      </c>
      <c r="B66" s="50"/>
      <c r="D66" s="162">
        <v>50.000019999999999</v>
      </c>
      <c r="G66" s="47">
        <f>D66-D65</f>
        <v>-1.0000000003174137E-5</v>
      </c>
    </row>
    <row r="67" spans="1:19" ht="14.25" customHeight="1" x14ac:dyDescent="0.3">
      <c r="A67" s="28" t="s">
        <v>141</v>
      </c>
      <c r="B67" s="50"/>
      <c r="D67" s="162">
        <v>50</v>
      </c>
      <c r="G67" s="47"/>
    </row>
    <row r="68" spans="1:19" ht="14.25" customHeight="1" x14ac:dyDescent="0.3">
      <c r="A68" s="28" t="s">
        <v>142</v>
      </c>
      <c r="B68" s="50"/>
      <c r="D68" s="162">
        <v>50.000010000000003</v>
      </c>
      <c r="G68" s="47">
        <f>D67-D68</f>
        <v>-1.0000000003174137E-5</v>
      </c>
    </row>
    <row r="69" spans="1:19" ht="14.25" customHeight="1" x14ac:dyDescent="0.3">
      <c r="A69" s="28" t="s">
        <v>143</v>
      </c>
      <c r="B69" s="50"/>
      <c r="E69" s="162">
        <v>49.999980000000001</v>
      </c>
      <c r="G69" s="47"/>
    </row>
    <row r="70" spans="1:19" ht="14.25" customHeight="1" x14ac:dyDescent="0.3">
      <c r="A70" s="28" t="s">
        <v>144</v>
      </c>
      <c r="B70" s="50"/>
      <c r="E70" s="162">
        <v>50.000050000000002</v>
      </c>
      <c r="G70" s="47">
        <f>E70-E69</f>
        <v>7.0000000000902673E-5</v>
      </c>
    </row>
    <row r="71" spans="1:19" ht="14.25" customHeight="1" x14ac:dyDescent="0.3">
      <c r="A71" s="28" t="s">
        <v>145</v>
      </c>
      <c r="B71" s="50"/>
      <c r="E71" s="162">
        <v>50.000039999999998</v>
      </c>
      <c r="G71" s="47"/>
    </row>
    <row r="72" spans="1:19" ht="14.25" customHeight="1" x14ac:dyDescent="0.3">
      <c r="A72" s="28" t="s">
        <v>146</v>
      </c>
      <c r="B72" s="50"/>
      <c r="E72" s="162">
        <v>49.999969999999998</v>
      </c>
      <c r="G72" s="47">
        <f>E71-E72</f>
        <v>7.0000000000902673E-5</v>
      </c>
    </row>
    <row r="73" spans="1:19" ht="14.25" customHeight="1" x14ac:dyDescent="0.3">
      <c r="A73" s="28" t="s">
        <v>147</v>
      </c>
      <c r="B73" s="50"/>
      <c r="F73" s="162">
        <v>49.999980000000001</v>
      </c>
      <c r="G73" s="47"/>
    </row>
    <row r="74" spans="1:19" ht="14.25" customHeight="1" x14ac:dyDescent="0.3">
      <c r="A74" s="28" t="s">
        <v>148</v>
      </c>
      <c r="B74" s="50"/>
      <c r="F74" s="162">
        <v>50.000050000000002</v>
      </c>
      <c r="G74" s="47">
        <f>F74-F73</f>
        <v>7.0000000000902673E-5</v>
      </c>
    </row>
    <row r="75" spans="1:19" ht="14.25" customHeight="1" x14ac:dyDescent="0.3">
      <c r="A75" s="28" t="s">
        <v>149</v>
      </c>
      <c r="B75" s="50"/>
      <c r="F75" s="162">
        <v>50.000039999999998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64">
        <v>50</v>
      </c>
      <c r="G76" s="53">
        <f>F75-F76</f>
        <v>3.9999999998485691E-5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5.3999999998666226E-5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3.638681079840344E-5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4.0999999999999997E-6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50.000073999999998</v>
      </c>
      <c r="H84" s="27" t="s">
        <v>113</v>
      </c>
    </row>
    <row r="85" spans="2:12" ht="14.25" customHeight="1" x14ac:dyDescent="0.3">
      <c r="G85" s="57">
        <f>G84</f>
        <v>50.000073999999998</v>
      </c>
    </row>
    <row r="86" spans="2:12" ht="14.25" customHeight="1" x14ac:dyDescent="0.3">
      <c r="F86" s="27" t="s">
        <v>155</v>
      </c>
      <c r="G86" s="27">
        <f>IF(G80&gt;G82,G80,G82)</f>
        <v>3.638681079840344E-5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50</v>
      </c>
      <c r="D92" s="60" t="s">
        <v>113</v>
      </c>
      <c r="E92" s="66"/>
      <c r="F92" s="59" t="s">
        <v>284</v>
      </c>
      <c r="G92" s="59">
        <f>S12</f>
        <v>0.1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0.03</v>
      </c>
      <c r="F97" s="71">
        <v>2</v>
      </c>
      <c r="G97" s="71">
        <v>60</v>
      </c>
      <c r="H97" s="71">
        <f t="shared" ref="H97:H101" si="1">E97/F97</f>
        <v>1.4999999999999999E-2</v>
      </c>
      <c r="I97" s="71">
        <v>1</v>
      </c>
      <c r="J97" s="71">
        <f t="shared" ref="J97:J101" si="2">H97*I97</f>
        <v>1.4999999999999999E-2</v>
      </c>
      <c r="K97" s="71">
        <f t="shared" ref="K97:K101" si="3">J97^2</f>
        <v>2.2499999999999999E-4</v>
      </c>
      <c r="L97" s="71">
        <f t="shared" ref="L97:L101" si="4">J97^4/G97</f>
        <v>8.4375000000000001E-10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1.1506519891256475E-2</v>
      </c>
      <c r="F98" s="74">
        <v>1</v>
      </c>
      <c r="G98" s="74">
        <f>IF(G80&gt;G82,9,1000)</f>
        <v>9</v>
      </c>
      <c r="H98" s="74">
        <f t="shared" si="1"/>
        <v>1.1506519891256475E-2</v>
      </c>
      <c r="I98" s="74">
        <v>1</v>
      </c>
      <c r="J98" s="74">
        <f t="shared" si="2"/>
        <v>1.1506519891256475E-2</v>
      </c>
      <c r="K98" s="74">
        <f t="shared" si="3"/>
        <v>1.3240000000788092E-4</v>
      </c>
      <c r="L98" s="74">
        <f t="shared" si="4"/>
        <v>1.9477511113429854E-9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v>5.0000000000000001E-4</v>
      </c>
      <c r="F99" s="77">
        <f>SQRT(3)</f>
        <v>1.7320508075688772</v>
      </c>
      <c r="G99" s="77">
        <v>1000</v>
      </c>
      <c r="H99" s="77">
        <f t="shared" si="1"/>
        <v>2.886751345948129E-4</v>
      </c>
      <c r="I99" s="77">
        <v>1</v>
      </c>
      <c r="J99" s="77">
        <f t="shared" si="2"/>
        <v>2.886751345948129E-4</v>
      </c>
      <c r="K99" s="77">
        <f t="shared" si="3"/>
        <v>8.3333333333333338E-8</v>
      </c>
      <c r="L99" s="77">
        <f t="shared" si="4"/>
        <v>6.944444444444445E-18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8.0000000000000002E-3</v>
      </c>
      <c r="F100" s="77">
        <v>1</v>
      </c>
      <c r="G100" s="77">
        <v>4</v>
      </c>
      <c r="H100" s="77">
        <f t="shared" si="1"/>
        <v>8.0000000000000002E-3</v>
      </c>
      <c r="I100" s="77">
        <v>1</v>
      </c>
      <c r="J100" s="77">
        <f t="shared" si="2"/>
        <v>8.0000000000000002E-3</v>
      </c>
      <c r="K100" s="77">
        <f t="shared" si="3"/>
        <v>6.3999999999999997E-5</v>
      </c>
      <c r="L100" s="77">
        <f t="shared" si="4"/>
        <v>1.024E-9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2.0520000000000005E-4</v>
      </c>
      <c r="F101" s="79">
        <v>1</v>
      </c>
      <c r="G101" s="79">
        <v>1000</v>
      </c>
      <c r="H101" s="79">
        <f t="shared" si="1"/>
        <v>2.0520000000000005E-4</v>
      </c>
      <c r="I101" s="79">
        <v>1</v>
      </c>
      <c r="J101" s="79">
        <f t="shared" si="2"/>
        <v>2.0520000000000005E-4</v>
      </c>
      <c r="K101" s="79">
        <f t="shared" si="3"/>
        <v>4.210704000000002E-8</v>
      </c>
      <c r="L101" s="79">
        <f t="shared" si="4"/>
        <v>1.7730028175616016E-18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4.215254403812142E-4</v>
      </c>
      <c r="L102" s="71">
        <f t="shared" si="5"/>
        <v>3.8155011200604325E-9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2.0531084734646005E-2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46.568901776593449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2.0128955989194299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4.1326930103410833E-2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4.1326930103410833E-2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4.2000000000000003E-2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F510-F12E-4AC3-A6D1-DB83CF0D852F}">
  <sheetPr>
    <tabColor rgb="FF00B050"/>
  </sheetPr>
  <dimension ref="A1:Z1000"/>
  <sheetViews>
    <sheetView topLeftCell="A82" zoomScale="79" zoomScaleNormal="79" workbookViewId="0">
      <selection activeCell="E101" sqref="E101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261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100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2.0000000000000002E-5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N23</f>
        <v>100.00029000000001</v>
      </c>
      <c r="D52" s="3" t="s">
        <v>113</v>
      </c>
    </row>
    <row r="53" spans="1:7" ht="14.25" customHeight="1" x14ac:dyDescent="0.3">
      <c r="B53" s="3" t="s">
        <v>122</v>
      </c>
      <c r="C53" s="36">
        <f>O23</f>
        <v>0.05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61">
        <v>100.00002000000001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62">
        <v>100.00002000000001</v>
      </c>
      <c r="G58" s="49">
        <f>B58-B57</f>
        <v>0</v>
      </c>
    </row>
    <row r="59" spans="1:7" ht="14.25" customHeight="1" x14ac:dyDescent="0.3">
      <c r="A59" s="28" t="s">
        <v>133</v>
      </c>
      <c r="B59" s="162">
        <v>100.00002000000001</v>
      </c>
      <c r="G59" s="47"/>
    </row>
    <row r="60" spans="1:7" ht="14.25" customHeight="1" x14ac:dyDescent="0.3">
      <c r="A60" s="28" t="s">
        <v>134</v>
      </c>
      <c r="B60" s="162">
        <v>100.00002000000001</v>
      </c>
      <c r="G60" s="49">
        <f>B59-B60</f>
        <v>0</v>
      </c>
    </row>
    <row r="61" spans="1:7" ht="14.25" customHeight="1" x14ac:dyDescent="0.3">
      <c r="A61" s="28" t="s">
        <v>135</v>
      </c>
      <c r="B61" s="50"/>
      <c r="C61" s="162">
        <v>100.00002000000001</v>
      </c>
      <c r="G61" s="47"/>
    </row>
    <row r="62" spans="1:7" ht="14.25" customHeight="1" x14ac:dyDescent="0.3">
      <c r="A62" s="28" t="s">
        <v>136</v>
      </c>
      <c r="B62" s="50"/>
      <c r="C62" s="162">
        <v>100.00006</v>
      </c>
      <c r="G62" s="47">
        <f>C62-C61</f>
        <v>3.9999999998485691E-5</v>
      </c>
    </row>
    <row r="63" spans="1:7" ht="14.25" customHeight="1" x14ac:dyDescent="0.3">
      <c r="A63" s="28" t="s">
        <v>137</v>
      </c>
      <c r="B63" s="50"/>
      <c r="C63" s="162">
        <v>100.00006</v>
      </c>
      <c r="G63" s="47"/>
    </row>
    <row r="64" spans="1:7" ht="14.25" customHeight="1" x14ac:dyDescent="0.3">
      <c r="A64" s="28" t="s">
        <v>138</v>
      </c>
      <c r="B64" s="50"/>
      <c r="C64" s="162">
        <v>100</v>
      </c>
      <c r="G64" s="47">
        <f>C63-C64</f>
        <v>6.0000000004833964E-5</v>
      </c>
    </row>
    <row r="65" spans="1:19" ht="14.25" customHeight="1" x14ac:dyDescent="0.3">
      <c r="A65" s="28" t="s">
        <v>139</v>
      </c>
      <c r="B65" s="50"/>
      <c r="D65" s="162">
        <v>100</v>
      </c>
      <c r="G65" s="47"/>
    </row>
    <row r="66" spans="1:19" ht="14.25" customHeight="1" x14ac:dyDescent="0.3">
      <c r="A66" s="28" t="s">
        <v>140</v>
      </c>
      <c r="B66" s="50"/>
      <c r="D66" s="162">
        <v>100.00002000000001</v>
      </c>
      <c r="G66" s="47">
        <f>D66-D65</f>
        <v>2.0000000006348273E-5</v>
      </c>
    </row>
    <row r="67" spans="1:19" ht="14.25" customHeight="1" x14ac:dyDescent="0.3">
      <c r="A67" s="28" t="s">
        <v>141</v>
      </c>
      <c r="B67" s="50"/>
      <c r="D67" s="162">
        <v>100.00002000000001</v>
      </c>
      <c r="G67" s="47"/>
    </row>
    <row r="68" spans="1:19" ht="14.25" customHeight="1" x14ac:dyDescent="0.3">
      <c r="A68" s="28" t="s">
        <v>142</v>
      </c>
      <c r="B68" s="50"/>
      <c r="D68" s="162">
        <v>99.999979999999994</v>
      </c>
      <c r="G68" s="47">
        <f>D67-D68</f>
        <v>4.0000000012696546E-5</v>
      </c>
    </row>
    <row r="69" spans="1:19" ht="14.25" customHeight="1" x14ac:dyDescent="0.3">
      <c r="A69" s="28" t="s">
        <v>143</v>
      </c>
      <c r="B69" s="50"/>
      <c r="E69" s="162">
        <v>99.999979999999994</v>
      </c>
      <c r="G69" s="47"/>
    </row>
    <row r="70" spans="1:19" ht="14.25" customHeight="1" x14ac:dyDescent="0.3">
      <c r="A70" s="28" t="s">
        <v>144</v>
      </c>
      <c r="B70" s="50"/>
      <c r="E70" s="162">
        <v>100.00002000000001</v>
      </c>
      <c r="G70" s="47">
        <f>E70-E69</f>
        <v>4.0000000012696546E-5</v>
      </c>
    </row>
    <row r="71" spans="1:19" ht="14.25" customHeight="1" x14ac:dyDescent="0.3">
      <c r="A71" s="28" t="s">
        <v>145</v>
      </c>
      <c r="B71" s="50"/>
      <c r="E71" s="162">
        <v>100.00004</v>
      </c>
      <c r="G71" s="47"/>
    </row>
    <row r="72" spans="1:19" ht="14.25" customHeight="1" x14ac:dyDescent="0.3">
      <c r="A72" s="28" t="s">
        <v>146</v>
      </c>
      <c r="B72" s="50"/>
      <c r="E72" s="162">
        <v>100.00002000000001</v>
      </c>
      <c r="G72" s="47">
        <f>E71-E72</f>
        <v>1.9999999992137418E-5</v>
      </c>
    </row>
    <row r="73" spans="1:19" ht="14.25" customHeight="1" x14ac:dyDescent="0.3">
      <c r="A73" s="28" t="s">
        <v>147</v>
      </c>
      <c r="B73" s="50"/>
      <c r="F73" s="162">
        <v>99.999979999999994</v>
      </c>
      <c r="G73" s="47"/>
    </row>
    <row r="74" spans="1:19" ht="14.25" customHeight="1" x14ac:dyDescent="0.3">
      <c r="A74" s="28" t="s">
        <v>148</v>
      </c>
      <c r="B74" s="50"/>
      <c r="F74" s="162">
        <v>100</v>
      </c>
      <c r="G74" s="47">
        <f>F74-F73</f>
        <v>2.0000000006348273E-5</v>
      </c>
    </row>
    <row r="75" spans="1:19" ht="14.25" customHeight="1" x14ac:dyDescent="0.3">
      <c r="A75" s="28" t="s">
        <v>149</v>
      </c>
      <c r="B75" s="50"/>
      <c r="F75" s="162">
        <v>99.999979999999994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64">
        <v>99.999960000000002</v>
      </c>
      <c r="G76" s="53">
        <f>F75-F76</f>
        <v>1.9999999992137418E-5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2.6000000002568412E-5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1.8000000002871276E-5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8.1999999999999994E-6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100.00031600000001</v>
      </c>
      <c r="H84" s="27" t="s">
        <v>113</v>
      </c>
    </row>
    <row r="85" spans="2:12" ht="14.25" customHeight="1" x14ac:dyDescent="0.3">
      <c r="G85" s="57">
        <f>G84</f>
        <v>100.00031600000001</v>
      </c>
    </row>
    <row r="86" spans="2:12" ht="14.25" customHeight="1" x14ac:dyDescent="0.3">
      <c r="F86" s="27" t="s">
        <v>155</v>
      </c>
      <c r="G86" s="27">
        <f>IF(G80&gt;G82,G80,G82)</f>
        <v>1.8000000002871276E-5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100</v>
      </c>
      <c r="D92" s="60" t="s">
        <v>113</v>
      </c>
      <c r="E92" s="66"/>
      <c r="F92" s="59" t="s">
        <v>285</v>
      </c>
      <c r="G92" s="59">
        <f>S11</f>
        <v>0.15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0.05</v>
      </c>
      <c r="F97" s="71">
        <v>2</v>
      </c>
      <c r="G97" s="71">
        <v>60</v>
      </c>
      <c r="H97" s="71">
        <f t="shared" ref="H97:H101" si="1">E97/F97</f>
        <v>2.5000000000000001E-2</v>
      </c>
      <c r="I97" s="71">
        <v>1</v>
      </c>
      <c r="J97" s="71">
        <f t="shared" ref="J97:J101" si="2">H97*I97</f>
        <v>2.5000000000000001E-2</v>
      </c>
      <c r="K97" s="71">
        <f t="shared" ref="K97:K101" si="3">J97^2</f>
        <v>6.2500000000000012E-4</v>
      </c>
      <c r="L97" s="71">
        <f t="shared" ref="L97:L101" si="4">J97^4/G97</f>
        <v>6.51041666666667E-9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5.6920997892110593E-3</v>
      </c>
      <c r="F98" s="74">
        <v>1</v>
      </c>
      <c r="G98" s="74">
        <f>IF(G80&gt;G82,9,1000)</f>
        <v>9</v>
      </c>
      <c r="H98" s="74">
        <f t="shared" si="1"/>
        <v>5.6920997892110593E-3</v>
      </c>
      <c r="I98" s="74">
        <v>1</v>
      </c>
      <c r="J98" s="74">
        <f t="shared" si="2"/>
        <v>5.6920997892110593E-3</v>
      </c>
      <c r="K98" s="74">
        <f t="shared" si="3"/>
        <v>3.2400000010336588E-5</v>
      </c>
      <c r="L98" s="74">
        <f t="shared" si="4"/>
        <v>1.1664000007442343E-10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v>5.0000000000000001E-4</v>
      </c>
      <c r="F99" s="77">
        <f>SQRT(3)</f>
        <v>1.7320508075688772</v>
      </c>
      <c r="G99" s="77">
        <v>1000</v>
      </c>
      <c r="H99" s="77">
        <f t="shared" si="1"/>
        <v>2.886751345948129E-4</v>
      </c>
      <c r="I99" s="77">
        <v>1</v>
      </c>
      <c r="J99" s="77">
        <f t="shared" si="2"/>
        <v>2.886751345948129E-4</v>
      </c>
      <c r="K99" s="77">
        <f t="shared" si="3"/>
        <v>8.3333333333333338E-8</v>
      </c>
      <c r="L99" s="77">
        <f t="shared" si="4"/>
        <v>6.944444444444445E-18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1.2E-2</v>
      </c>
      <c r="F100" s="77">
        <v>1</v>
      </c>
      <c r="G100" s="77">
        <v>4</v>
      </c>
      <c r="H100" s="77">
        <f t="shared" si="1"/>
        <v>1.2E-2</v>
      </c>
      <c r="I100" s="77">
        <v>1</v>
      </c>
      <c r="J100" s="77">
        <f t="shared" si="2"/>
        <v>1.2E-2</v>
      </c>
      <c r="K100" s="77">
        <f t="shared" si="3"/>
        <v>1.44E-4</v>
      </c>
      <c r="L100" s="77">
        <f t="shared" si="4"/>
        <v>5.1840000000000003E-9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4.1040000000000011E-4</v>
      </c>
      <c r="F101" s="79">
        <v>1</v>
      </c>
      <c r="G101" s="79">
        <v>1000</v>
      </c>
      <c r="H101" s="79">
        <f t="shared" si="1"/>
        <v>4.1040000000000011E-4</v>
      </c>
      <c r="I101" s="79">
        <v>1</v>
      </c>
      <c r="J101" s="79">
        <f t="shared" si="2"/>
        <v>4.1040000000000011E-4</v>
      </c>
      <c r="K101" s="79">
        <f t="shared" si="3"/>
        <v>1.6842816000000008E-7</v>
      </c>
      <c r="L101" s="79">
        <f t="shared" si="4"/>
        <v>2.8368045080985625E-17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8.0165176150367014E-4</v>
      </c>
      <c r="L102" s="71">
        <f t="shared" si="5"/>
        <v>1.1811056702053582E-8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2.83134554850458E-2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54.410503897606453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2.0048792881880577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5.6765060479002885E-2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5.6765060479002885E-2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6.7000000000000004E-2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73464-EC79-4C09-AAF5-15732A8F1A2D}">
  <sheetPr>
    <tabColor rgb="FF00B050"/>
  </sheetPr>
  <dimension ref="A1:Z1000"/>
  <sheetViews>
    <sheetView topLeftCell="A69" zoomScale="79" zoomScaleNormal="79" workbookViewId="0">
      <selection activeCell="K108" sqref="K108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261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200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5.0000000000000004E-6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N24</f>
        <v>200.00024999999999</v>
      </c>
      <c r="D52" s="3" t="s">
        <v>113</v>
      </c>
    </row>
    <row r="53" spans="1:7" ht="14.25" customHeight="1" x14ac:dyDescent="0.3">
      <c r="B53" s="3" t="s">
        <v>122</v>
      </c>
      <c r="C53" s="36">
        <f>O24</f>
        <v>0.08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63">
        <v>200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>
        <v>200.00004999999999</v>
      </c>
      <c r="G58" s="49">
        <f>B58-B57</f>
        <v>4.9999999987448973E-5</v>
      </c>
    </row>
    <row r="59" spans="1:7" ht="14.25" customHeight="1" x14ac:dyDescent="0.3">
      <c r="A59" s="28" t="s">
        <v>133</v>
      </c>
      <c r="B59">
        <v>200.00004999999999</v>
      </c>
      <c r="G59" s="47"/>
    </row>
    <row r="60" spans="1:7" ht="14.25" customHeight="1" x14ac:dyDescent="0.3">
      <c r="A60" s="28" t="s">
        <v>134</v>
      </c>
      <c r="B60">
        <v>199.99995000000001</v>
      </c>
      <c r="G60" s="49">
        <f>B59-B60</f>
        <v>9.9999999974897946E-5</v>
      </c>
    </row>
    <row r="61" spans="1:7" ht="14.25" customHeight="1" x14ac:dyDescent="0.3">
      <c r="A61" s="28" t="s">
        <v>135</v>
      </c>
      <c r="B61" s="50"/>
      <c r="C61" s="163">
        <v>200</v>
      </c>
      <c r="G61" s="47"/>
    </row>
    <row r="62" spans="1:7" ht="14.25" customHeight="1" x14ac:dyDescent="0.3">
      <c r="A62" s="28" t="s">
        <v>136</v>
      </c>
      <c r="B62" s="50"/>
      <c r="C62" s="163">
        <v>200.00004999999999</v>
      </c>
      <c r="G62" s="47">
        <f>C62-C61</f>
        <v>4.9999999987448973E-5</v>
      </c>
    </row>
    <row r="63" spans="1:7" ht="14.25" customHeight="1" x14ac:dyDescent="0.3">
      <c r="A63" s="28" t="s">
        <v>137</v>
      </c>
      <c r="B63" s="50"/>
      <c r="C63">
        <v>200.00004999999999</v>
      </c>
      <c r="G63" s="47"/>
    </row>
    <row r="64" spans="1:7" ht="14.25" customHeight="1" x14ac:dyDescent="0.3">
      <c r="A64" s="28" t="s">
        <v>138</v>
      </c>
      <c r="B64" s="50"/>
      <c r="C64" s="163">
        <v>200</v>
      </c>
      <c r="G64" s="47">
        <f>C63-C64</f>
        <v>4.9999999987448973E-5</v>
      </c>
    </row>
    <row r="65" spans="1:19" ht="14.25" customHeight="1" x14ac:dyDescent="0.3">
      <c r="A65" s="28" t="s">
        <v>139</v>
      </c>
      <c r="B65" s="50"/>
      <c r="D65" s="163">
        <v>199.99995000000001</v>
      </c>
      <c r="G65" s="47"/>
    </row>
    <row r="66" spans="1:19" ht="14.25" customHeight="1" x14ac:dyDescent="0.3">
      <c r="A66" s="28" t="s">
        <v>140</v>
      </c>
      <c r="B66" s="50"/>
      <c r="D66" s="163">
        <v>200</v>
      </c>
      <c r="G66" s="47">
        <f>D66-D65</f>
        <v>4.9999999987448973E-5</v>
      </c>
    </row>
    <row r="67" spans="1:19" ht="14.25" customHeight="1" x14ac:dyDescent="0.3">
      <c r="A67" s="28" t="s">
        <v>141</v>
      </c>
      <c r="B67" s="50"/>
      <c r="D67" s="163">
        <v>200</v>
      </c>
      <c r="G67" s="47"/>
    </row>
    <row r="68" spans="1:19" ht="14.25" customHeight="1" x14ac:dyDescent="0.3">
      <c r="A68" s="28" t="s">
        <v>142</v>
      </c>
      <c r="B68" s="50"/>
      <c r="D68" s="163">
        <v>199.99995000000001</v>
      </c>
      <c r="G68" s="47">
        <f>D67-D68</f>
        <v>4.9999999987448973E-5</v>
      </c>
    </row>
    <row r="69" spans="1:19" ht="14.25" customHeight="1" x14ac:dyDescent="0.3">
      <c r="A69" s="28" t="s">
        <v>143</v>
      </c>
      <c r="B69" s="50"/>
      <c r="E69" s="163">
        <v>199.9999</v>
      </c>
      <c r="G69" s="47"/>
    </row>
    <row r="70" spans="1:19" ht="14.25" customHeight="1" x14ac:dyDescent="0.3">
      <c r="A70" s="28" t="s">
        <v>144</v>
      </c>
      <c r="B70" s="50"/>
      <c r="E70" s="163">
        <v>199.99995000000001</v>
      </c>
      <c r="G70" s="47">
        <f>E70-E69</f>
        <v>5.0000000015870683E-5</v>
      </c>
    </row>
    <row r="71" spans="1:19" ht="14.25" customHeight="1" x14ac:dyDescent="0.3">
      <c r="A71" s="28" t="s">
        <v>145</v>
      </c>
      <c r="B71" s="50"/>
      <c r="E71" s="163">
        <v>199.99995000000001</v>
      </c>
      <c r="G71" s="47"/>
    </row>
    <row r="72" spans="1:19" ht="14.25" customHeight="1" x14ac:dyDescent="0.3">
      <c r="A72" s="28" t="s">
        <v>146</v>
      </c>
      <c r="B72" s="50"/>
      <c r="E72" s="163">
        <v>199.99995000000001</v>
      </c>
      <c r="G72" s="47">
        <f>E71-E72</f>
        <v>0</v>
      </c>
    </row>
    <row r="73" spans="1:19" ht="14.25" customHeight="1" x14ac:dyDescent="0.3">
      <c r="A73" s="28" t="s">
        <v>147</v>
      </c>
      <c r="B73" s="50"/>
      <c r="F73" s="163">
        <v>199.99995000000001</v>
      </c>
      <c r="G73" s="47"/>
    </row>
    <row r="74" spans="1:19" ht="14.25" customHeight="1" x14ac:dyDescent="0.3">
      <c r="A74" s="28" t="s">
        <v>148</v>
      </c>
      <c r="B74" s="50"/>
      <c r="F74" s="163">
        <v>199.99995000000001</v>
      </c>
      <c r="G74" s="47">
        <f>F74-F73</f>
        <v>0</v>
      </c>
    </row>
    <row r="75" spans="1:19" ht="14.25" customHeight="1" x14ac:dyDescent="0.3">
      <c r="A75" s="28" t="s">
        <v>149</v>
      </c>
      <c r="B75" s="50"/>
      <c r="F75" s="163">
        <v>199.99995000000001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63">
        <v>199.9999</v>
      </c>
      <c r="G76" s="53">
        <f>F75-F76</f>
        <v>5.0000000015870683E-5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4.4999999994388416E-5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2.6925824029969142E-5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2.0499999999999999E-6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200.00029499999999</v>
      </c>
      <c r="H84" s="27" t="s">
        <v>113</v>
      </c>
    </row>
    <row r="85" spans="2:12" ht="14.25" customHeight="1" x14ac:dyDescent="0.3">
      <c r="G85" s="57">
        <f>G84</f>
        <v>200.00029499999999</v>
      </c>
    </row>
    <row r="86" spans="2:12" ht="14.25" customHeight="1" x14ac:dyDescent="0.3">
      <c r="F86" s="27" t="s">
        <v>155</v>
      </c>
      <c r="G86" s="27">
        <f>IF(G80&gt;G82,G80,G82)</f>
        <v>2.6925824029969142E-5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200</v>
      </c>
      <c r="D92" s="60" t="s">
        <v>113</v>
      </c>
      <c r="E92" s="66"/>
      <c r="F92" s="59" t="s">
        <v>286</v>
      </c>
      <c r="G92" s="59">
        <f>S10</f>
        <v>0.3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0.08</v>
      </c>
      <c r="F97" s="71">
        <v>2</v>
      </c>
      <c r="G97" s="71">
        <v>60</v>
      </c>
      <c r="H97" s="71">
        <f t="shared" ref="H97:H101" si="1">E97/F97</f>
        <v>0.04</v>
      </c>
      <c r="I97" s="71">
        <v>1</v>
      </c>
      <c r="J97" s="71">
        <f t="shared" ref="J97:J101" si="2">H97*I97</f>
        <v>0.04</v>
      </c>
      <c r="K97" s="71">
        <f t="shared" ref="K97:K101" si="3">J97^2</f>
        <v>1.6000000000000001E-3</v>
      </c>
      <c r="L97" s="71">
        <f t="shared" ref="L97:L101" si="4">J97^4/G97</f>
        <v>4.2666666666666665E-8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8.5146931811596344E-3</v>
      </c>
      <c r="F98" s="74">
        <v>1</v>
      </c>
      <c r="G98" s="74">
        <f>IF(G80&gt;G82,9,1000)</f>
        <v>9</v>
      </c>
      <c r="H98" s="74">
        <f t="shared" si="1"/>
        <v>8.5146931811596344E-3</v>
      </c>
      <c r="I98" s="74">
        <v>1</v>
      </c>
      <c r="J98" s="74">
        <f t="shared" si="2"/>
        <v>8.5146931811596344E-3</v>
      </c>
      <c r="K98" s="74">
        <f t="shared" si="3"/>
        <v>7.2499999969286369E-5</v>
      </c>
      <c r="L98" s="74">
        <f t="shared" si="4"/>
        <v>5.8402777728294706E-10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v>5.0000000000000001E-4</v>
      </c>
      <c r="F99" s="77">
        <f>SQRT(3)</f>
        <v>1.7320508075688772</v>
      </c>
      <c r="G99" s="77">
        <v>1000</v>
      </c>
      <c r="H99" s="77">
        <f t="shared" si="1"/>
        <v>2.886751345948129E-4</v>
      </c>
      <c r="I99" s="77">
        <v>1</v>
      </c>
      <c r="J99" s="77">
        <f t="shared" si="2"/>
        <v>2.886751345948129E-4</v>
      </c>
      <c r="K99" s="77">
        <f t="shared" si="3"/>
        <v>8.3333333333333338E-8</v>
      </c>
      <c r="L99" s="77">
        <f t="shared" si="4"/>
        <v>6.944444444444445E-18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2.4E-2</v>
      </c>
      <c r="F100" s="77">
        <v>1</v>
      </c>
      <c r="G100" s="77">
        <v>4</v>
      </c>
      <c r="H100" s="77">
        <f t="shared" si="1"/>
        <v>2.4E-2</v>
      </c>
      <c r="I100" s="77">
        <v>1</v>
      </c>
      <c r="J100" s="77">
        <f t="shared" si="2"/>
        <v>2.4E-2</v>
      </c>
      <c r="K100" s="77">
        <f t="shared" si="3"/>
        <v>5.7600000000000001E-4</v>
      </c>
      <c r="L100" s="77">
        <f t="shared" si="4"/>
        <v>8.2944000000000005E-8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8.2080000000000022E-4</v>
      </c>
      <c r="F101" s="79">
        <v>1</v>
      </c>
      <c r="G101" s="79">
        <v>1000</v>
      </c>
      <c r="H101" s="79">
        <f t="shared" si="1"/>
        <v>8.2080000000000022E-4</v>
      </c>
      <c r="I101" s="79">
        <v>1</v>
      </c>
      <c r="J101" s="79">
        <f t="shared" si="2"/>
        <v>8.2080000000000022E-4</v>
      </c>
      <c r="K101" s="79">
        <f t="shared" si="3"/>
        <v>6.7371264000000033E-7</v>
      </c>
      <c r="L101" s="79">
        <f t="shared" si="4"/>
        <v>4.5388872129577E-16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2.2492570459426197E-3</v>
      </c>
      <c r="L102" s="71">
        <f t="shared" si="5"/>
        <v>1.2619469490478278E-7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4.742633283253745E-2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40.090094615623791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2.0210753903062737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9.5852194140315872E-2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9.5852194140315872E-2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0.11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14C8-ACCC-4145-ACD9-FC307F6F60BF}">
  <sheetPr>
    <tabColor rgb="FF00B050"/>
  </sheetPr>
  <dimension ref="A1:Z1000"/>
  <sheetViews>
    <sheetView topLeftCell="A72" zoomScale="79" zoomScaleNormal="79" workbookViewId="0">
      <selection activeCell="E99" sqref="E99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261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200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5.0000000000000002E-5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N25</f>
        <v>200.00024999999999</v>
      </c>
      <c r="D52" s="3" t="s">
        <v>113</v>
      </c>
    </row>
    <row r="53" spans="1:7" ht="14.25" customHeight="1" x14ac:dyDescent="0.3">
      <c r="B53" s="3" t="s">
        <v>122</v>
      </c>
      <c r="C53" s="36">
        <f>O25</f>
        <v>0.08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63">
        <v>200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63">
        <v>199.9999</v>
      </c>
      <c r="G58" s="49">
        <f>B58-B57</f>
        <v>-1.0000000000331966E-4</v>
      </c>
    </row>
    <row r="59" spans="1:7" ht="14.25" customHeight="1" x14ac:dyDescent="0.3">
      <c r="A59" s="28" t="s">
        <v>133</v>
      </c>
      <c r="B59">
        <v>199.99995000000001</v>
      </c>
      <c r="G59" s="47"/>
    </row>
    <row r="60" spans="1:7" ht="14.25" customHeight="1" x14ac:dyDescent="0.3">
      <c r="A60" s="28" t="s">
        <v>134</v>
      </c>
      <c r="B60">
        <v>199.99995000000001</v>
      </c>
      <c r="G60" s="49">
        <f>B59-B60</f>
        <v>0</v>
      </c>
    </row>
    <row r="61" spans="1:7" ht="14.25" customHeight="1" x14ac:dyDescent="0.3">
      <c r="A61" s="28" t="s">
        <v>135</v>
      </c>
      <c r="B61" s="50"/>
      <c r="C61" s="163">
        <v>200</v>
      </c>
      <c r="G61" s="47"/>
    </row>
    <row r="62" spans="1:7" ht="14.25" customHeight="1" x14ac:dyDescent="0.3">
      <c r="A62" s="28" t="s">
        <v>136</v>
      </c>
      <c r="B62" s="50"/>
      <c r="C62" s="163">
        <v>199.9999</v>
      </c>
      <c r="G62" s="47">
        <f>C62-C61</f>
        <v>-1.0000000000331966E-4</v>
      </c>
    </row>
    <row r="63" spans="1:7" ht="14.25" customHeight="1" x14ac:dyDescent="0.3">
      <c r="A63" s="28" t="s">
        <v>137</v>
      </c>
      <c r="B63" s="50"/>
      <c r="C63" s="163">
        <v>199.9999</v>
      </c>
      <c r="G63" s="47"/>
    </row>
    <row r="64" spans="1:7" ht="14.25" customHeight="1" x14ac:dyDescent="0.3">
      <c r="A64" s="28" t="s">
        <v>138</v>
      </c>
      <c r="B64" s="50"/>
      <c r="C64" s="163">
        <v>200</v>
      </c>
      <c r="G64" s="47">
        <f>C63-C64</f>
        <v>-1.0000000000331966E-4</v>
      </c>
    </row>
    <row r="65" spans="1:19" ht="14.25" customHeight="1" x14ac:dyDescent="0.3">
      <c r="A65" s="28" t="s">
        <v>139</v>
      </c>
      <c r="B65" s="50"/>
      <c r="D65" s="163">
        <v>199.99995000000001</v>
      </c>
      <c r="G65" s="47"/>
    </row>
    <row r="66" spans="1:19" ht="14.25" customHeight="1" x14ac:dyDescent="0.3">
      <c r="A66" s="28" t="s">
        <v>140</v>
      </c>
      <c r="B66" s="50"/>
      <c r="D66" s="163">
        <v>199.99979999999999</v>
      </c>
      <c r="G66" s="47">
        <f>D66-D65</f>
        <v>-1.5000000001919034E-4</v>
      </c>
    </row>
    <row r="67" spans="1:19" ht="14.25" customHeight="1" x14ac:dyDescent="0.3">
      <c r="A67" s="28" t="s">
        <v>141</v>
      </c>
      <c r="B67" s="50"/>
      <c r="D67" s="163">
        <v>199.99979999999999</v>
      </c>
      <c r="G67" s="47"/>
    </row>
    <row r="68" spans="1:19" ht="14.25" customHeight="1" x14ac:dyDescent="0.3">
      <c r="A68" s="28" t="s">
        <v>142</v>
      </c>
      <c r="B68" s="50"/>
      <c r="D68" s="163">
        <v>199.99995000000001</v>
      </c>
      <c r="G68" s="47">
        <f>D67-D68</f>
        <v>-1.5000000001919034E-4</v>
      </c>
    </row>
    <row r="69" spans="1:19" ht="14.25" customHeight="1" x14ac:dyDescent="0.3">
      <c r="A69" s="28" t="s">
        <v>143</v>
      </c>
      <c r="B69" s="50"/>
      <c r="E69" s="163">
        <v>199.99995000000001</v>
      </c>
      <c r="G69" s="47"/>
    </row>
    <row r="70" spans="1:19" ht="14.25" customHeight="1" x14ac:dyDescent="0.3">
      <c r="A70" s="28" t="s">
        <v>144</v>
      </c>
      <c r="B70" s="50"/>
      <c r="E70" s="163">
        <v>199.99979999999999</v>
      </c>
      <c r="G70" s="47">
        <f>E70-E69</f>
        <v>-1.5000000001919034E-4</v>
      </c>
    </row>
    <row r="71" spans="1:19" ht="14.25" customHeight="1" x14ac:dyDescent="0.3">
      <c r="A71" s="28" t="s">
        <v>145</v>
      </c>
      <c r="B71" s="50"/>
      <c r="E71" s="163">
        <v>199.99979999999999</v>
      </c>
      <c r="G71" s="47"/>
    </row>
    <row r="72" spans="1:19" ht="14.25" customHeight="1" x14ac:dyDescent="0.3">
      <c r="A72" s="28" t="s">
        <v>146</v>
      </c>
      <c r="B72" s="50"/>
      <c r="E72" s="163">
        <v>199.99995000000001</v>
      </c>
      <c r="G72" s="47">
        <f>E71-E72</f>
        <v>-1.5000000001919034E-4</v>
      </c>
    </row>
    <row r="73" spans="1:19" ht="14.25" customHeight="1" x14ac:dyDescent="0.3">
      <c r="A73" s="28" t="s">
        <v>147</v>
      </c>
      <c r="B73" s="50"/>
      <c r="F73" s="163">
        <v>199.99995000000001</v>
      </c>
      <c r="G73" s="47"/>
    </row>
    <row r="74" spans="1:19" ht="14.25" customHeight="1" x14ac:dyDescent="0.3">
      <c r="A74" s="28" t="s">
        <v>148</v>
      </c>
      <c r="B74" s="50"/>
      <c r="F74" s="163">
        <v>199.99979999999999</v>
      </c>
      <c r="G74" s="47">
        <f>F74-F73</f>
        <v>-1.5000000001919034E-4</v>
      </c>
    </row>
    <row r="75" spans="1:19" ht="14.25" customHeight="1" x14ac:dyDescent="0.3">
      <c r="A75" s="28" t="s">
        <v>149</v>
      </c>
      <c r="B75" s="50"/>
      <c r="F75" s="163">
        <v>199.99979999999999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63">
        <v>199.9999</v>
      </c>
      <c r="G76" s="53">
        <f>F75-F76</f>
        <v>-1.0000000000331966E-4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-1.1500000001092303E-4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4.5000000007020286E-5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2.05E-5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200.00013499999997</v>
      </c>
      <c r="H84" s="27" t="s">
        <v>113</v>
      </c>
    </row>
    <row r="85" spans="2:12" ht="14.25" customHeight="1" x14ac:dyDescent="0.3">
      <c r="G85" s="57">
        <f>G84</f>
        <v>200.00013499999997</v>
      </c>
    </row>
    <row r="86" spans="2:12" ht="14.25" customHeight="1" x14ac:dyDescent="0.3">
      <c r="F86" s="27" t="s">
        <v>155</v>
      </c>
      <c r="G86" s="27">
        <f>IF(G80&gt;G82,G80,G82)</f>
        <v>4.5000000007020286E-5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200</v>
      </c>
      <c r="D92" s="60" t="s">
        <v>113</v>
      </c>
      <c r="E92" s="66"/>
      <c r="F92" s="59" t="s">
        <v>164</v>
      </c>
      <c r="G92" s="59">
        <f>S10</f>
        <v>0.3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0.08</v>
      </c>
      <c r="F97" s="71">
        <v>2</v>
      </c>
      <c r="G97" s="71">
        <v>60</v>
      </c>
      <c r="H97" s="71">
        <f t="shared" ref="H97:H101" si="1">E97/F97</f>
        <v>0.04</v>
      </c>
      <c r="I97" s="71">
        <v>1</v>
      </c>
      <c r="J97" s="71">
        <f t="shared" ref="J97:J101" si="2">H97*I97</f>
        <v>0.04</v>
      </c>
      <c r="K97" s="71">
        <f t="shared" ref="K97:K101" si="3">J97^2</f>
        <v>1.6000000000000001E-3</v>
      </c>
      <c r="L97" s="71">
        <f t="shared" ref="L97:L101" si="4">J97^4/G97</f>
        <v>4.2666666666666665E-8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1.4230249472977715E-2</v>
      </c>
      <c r="F98" s="74">
        <v>1</v>
      </c>
      <c r="G98" s="74">
        <f>IF(G80&gt;G82,9,1000)</f>
        <v>9</v>
      </c>
      <c r="H98" s="74">
        <f t="shared" si="1"/>
        <v>1.4230249472977715E-2</v>
      </c>
      <c r="I98" s="74">
        <v>1</v>
      </c>
      <c r="J98" s="74">
        <f t="shared" si="2"/>
        <v>1.4230249472977715E-2</v>
      </c>
      <c r="K98" s="74">
        <f t="shared" si="3"/>
        <v>2.0250000006318252E-4</v>
      </c>
      <c r="L98" s="74">
        <f t="shared" si="4"/>
        <v>4.5562500028432132E-9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v>5.0000000000000001E-4</v>
      </c>
      <c r="F99" s="77">
        <f>SQRT(3)</f>
        <v>1.7320508075688772</v>
      </c>
      <c r="G99" s="77">
        <v>1000</v>
      </c>
      <c r="H99" s="77">
        <f t="shared" si="1"/>
        <v>2.886751345948129E-4</v>
      </c>
      <c r="I99" s="77">
        <v>1</v>
      </c>
      <c r="J99" s="77">
        <f t="shared" si="2"/>
        <v>2.886751345948129E-4</v>
      </c>
      <c r="K99" s="77">
        <f t="shared" si="3"/>
        <v>8.3333333333333338E-8</v>
      </c>
      <c r="L99" s="77">
        <f t="shared" si="4"/>
        <v>6.944444444444445E-18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2.4E-2</v>
      </c>
      <c r="F100" s="77">
        <v>1</v>
      </c>
      <c r="G100" s="77">
        <v>4</v>
      </c>
      <c r="H100" s="77">
        <f t="shared" si="1"/>
        <v>2.4E-2</v>
      </c>
      <c r="I100" s="77">
        <v>1</v>
      </c>
      <c r="J100" s="77">
        <f t="shared" si="2"/>
        <v>2.4E-2</v>
      </c>
      <c r="K100" s="77">
        <f t="shared" si="3"/>
        <v>5.7600000000000001E-4</v>
      </c>
      <c r="L100" s="77">
        <f t="shared" si="4"/>
        <v>8.2944000000000005E-8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8.2080000000000022E-4</v>
      </c>
      <c r="F101" s="79">
        <v>1</v>
      </c>
      <c r="G101" s="79">
        <v>1000</v>
      </c>
      <c r="H101" s="79">
        <f t="shared" si="1"/>
        <v>8.2080000000000022E-4</v>
      </c>
      <c r="I101" s="79">
        <v>1</v>
      </c>
      <c r="J101" s="79">
        <f t="shared" si="2"/>
        <v>8.2080000000000022E-4</v>
      </c>
      <c r="K101" s="79">
        <f t="shared" si="3"/>
        <v>6.7371264000000033E-7</v>
      </c>
      <c r="L101" s="79">
        <f t="shared" si="4"/>
        <v>4.5388872129577E-16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2.3792570460365158E-3</v>
      </c>
      <c r="L102" s="71">
        <f t="shared" si="5"/>
        <v>1.3016691713034304E-7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4.8777628540515539E-2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43.489269131617242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2.0166921992278248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9.8369462974490202E-2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9.8369462974490202E-2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0.11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8A85-ADC5-48CD-AC97-F5A5275BB29D}">
  <sheetPr>
    <tabColor rgb="FF00B050"/>
  </sheetPr>
  <dimension ref="A1:Z1000"/>
  <sheetViews>
    <sheetView topLeftCell="A69" zoomScale="79" zoomScaleNormal="79" workbookViewId="0">
      <selection activeCell="E101" sqref="E101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261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500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1E-3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N26</f>
        <v>500.00074999999998</v>
      </c>
      <c r="D52" s="3" t="s">
        <v>113</v>
      </c>
    </row>
    <row r="53" spans="1:7" ht="14.25" customHeight="1" x14ac:dyDescent="0.3">
      <c r="B53" s="3" t="s">
        <v>122</v>
      </c>
      <c r="C53" s="36">
        <f>O26</f>
        <v>0.16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73">
        <v>500.00799999999998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74">
        <v>500.00900000000001</v>
      </c>
      <c r="G58" s="49">
        <f>B58-B57</f>
        <v>1.0000000000331966E-3</v>
      </c>
    </row>
    <row r="59" spans="1:7" ht="14.25" customHeight="1" x14ac:dyDescent="0.3">
      <c r="A59" s="28" t="s">
        <v>133</v>
      </c>
      <c r="B59" s="174">
        <v>500.00900000000001</v>
      </c>
      <c r="G59" s="47"/>
    </row>
    <row r="60" spans="1:7" ht="14.25" customHeight="1" x14ac:dyDescent="0.3">
      <c r="A60" s="28" t="s">
        <v>134</v>
      </c>
      <c r="B60" s="173">
        <v>500.01</v>
      </c>
      <c r="G60" s="49">
        <f>B59-B60</f>
        <v>-9.9999999997635314E-4</v>
      </c>
    </row>
    <row r="61" spans="1:7" ht="14.25" customHeight="1" x14ac:dyDescent="0.3">
      <c r="A61" s="28" t="s">
        <v>135</v>
      </c>
      <c r="B61" s="50"/>
      <c r="C61" s="173">
        <v>500.012</v>
      </c>
      <c r="G61" s="47"/>
    </row>
    <row r="62" spans="1:7" ht="14.25" customHeight="1" x14ac:dyDescent="0.3">
      <c r="A62" s="28" t="s">
        <v>136</v>
      </c>
      <c r="B62" s="50"/>
      <c r="C62" s="174">
        <v>500.01400000000001</v>
      </c>
      <c r="G62" s="47">
        <f>C62-C61</f>
        <v>2.0000000000095497E-3</v>
      </c>
    </row>
    <row r="63" spans="1:7" ht="14.25" customHeight="1" x14ac:dyDescent="0.3">
      <c r="A63" s="28" t="s">
        <v>137</v>
      </c>
      <c r="B63" s="50"/>
      <c r="C63" s="174">
        <v>500.01299999999998</v>
      </c>
      <c r="G63" s="47"/>
    </row>
    <row r="64" spans="1:7" ht="14.25" customHeight="1" x14ac:dyDescent="0.3">
      <c r="A64" s="28" t="s">
        <v>138</v>
      </c>
      <c r="B64" s="50"/>
      <c r="C64" s="173">
        <v>500.01400000000001</v>
      </c>
      <c r="G64" s="47">
        <f>C63-C64</f>
        <v>-1.0000000000331966E-3</v>
      </c>
    </row>
    <row r="65" spans="1:19" ht="14.25" customHeight="1" x14ac:dyDescent="0.3">
      <c r="A65" s="28" t="s">
        <v>139</v>
      </c>
      <c r="B65" s="50"/>
      <c r="D65" s="173">
        <v>500.01400000000001</v>
      </c>
      <c r="G65" s="47"/>
    </row>
    <row r="66" spans="1:19" ht="14.25" customHeight="1" x14ac:dyDescent="0.3">
      <c r="A66" s="28" t="s">
        <v>140</v>
      </c>
      <c r="B66" s="50"/>
      <c r="D66" s="174">
        <v>500.01600000000002</v>
      </c>
      <c r="G66" s="47">
        <f>D66-D65</f>
        <v>2.0000000000095497E-3</v>
      </c>
    </row>
    <row r="67" spans="1:19" ht="14.25" customHeight="1" x14ac:dyDescent="0.3">
      <c r="A67" s="28" t="s">
        <v>141</v>
      </c>
      <c r="B67" s="50"/>
      <c r="D67" s="174">
        <v>500.01499999999999</v>
      </c>
      <c r="G67" s="47"/>
    </row>
    <row r="68" spans="1:19" ht="14.25" customHeight="1" x14ac:dyDescent="0.3">
      <c r="A68" s="28" t="s">
        <v>142</v>
      </c>
      <c r="B68" s="50"/>
      <c r="D68" s="173">
        <v>500.01299999999998</v>
      </c>
      <c r="G68" s="47">
        <f>D67-D68</f>
        <v>2.0000000000095497E-3</v>
      </c>
    </row>
    <row r="69" spans="1:19" ht="14.25" customHeight="1" x14ac:dyDescent="0.3">
      <c r="A69" s="28" t="s">
        <v>143</v>
      </c>
      <c r="B69" s="50"/>
      <c r="E69" s="175">
        <v>500.00700000000001</v>
      </c>
      <c r="G69" s="47"/>
    </row>
    <row r="70" spans="1:19" ht="14.25" customHeight="1" x14ac:dyDescent="0.3">
      <c r="A70" s="28" t="s">
        <v>144</v>
      </c>
      <c r="B70" s="50"/>
      <c r="E70" s="176">
        <v>500.00799999999998</v>
      </c>
      <c r="G70" s="47">
        <f>E70-E69</f>
        <v>9.9999999997635314E-4</v>
      </c>
    </row>
    <row r="71" spans="1:19" ht="14.25" customHeight="1" x14ac:dyDescent="0.3">
      <c r="A71" s="28" t="s">
        <v>145</v>
      </c>
      <c r="B71" s="50"/>
      <c r="E71" s="176">
        <v>500.00799999999998</v>
      </c>
      <c r="G71" s="47"/>
    </row>
    <row r="72" spans="1:19" ht="14.25" customHeight="1" x14ac:dyDescent="0.3">
      <c r="A72" s="28" t="s">
        <v>146</v>
      </c>
      <c r="B72" s="50"/>
      <c r="E72" s="175">
        <v>500.00900000000001</v>
      </c>
      <c r="G72" s="47">
        <f>E71-E72</f>
        <v>-1.0000000000331966E-3</v>
      </c>
    </row>
    <row r="73" spans="1:19" ht="14.25" customHeight="1" x14ac:dyDescent="0.3">
      <c r="A73" s="28" t="s">
        <v>147</v>
      </c>
      <c r="B73" s="50"/>
      <c r="F73" s="175">
        <v>500.00799999999998</v>
      </c>
      <c r="G73" s="47"/>
    </row>
    <row r="74" spans="1:19" ht="14.25" customHeight="1" x14ac:dyDescent="0.3">
      <c r="A74" s="28" t="s">
        <v>148</v>
      </c>
      <c r="B74" s="50"/>
      <c r="F74" s="176">
        <v>500.00799999999998</v>
      </c>
      <c r="G74" s="47">
        <f>F74-F73</f>
        <v>0</v>
      </c>
    </row>
    <row r="75" spans="1:19" ht="14.25" customHeight="1" x14ac:dyDescent="0.3">
      <c r="A75" s="28" t="s">
        <v>149</v>
      </c>
      <c r="B75" s="50"/>
      <c r="F75" s="176">
        <v>500.00900000000001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75">
        <v>500.01</v>
      </c>
      <c r="G76" s="53">
        <f>F75-F76</f>
        <v>-9.9999999997635314E-4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4.0000000000190995E-4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1.2806248474926845E-3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4.0999999999999999E-4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500.00115</v>
      </c>
      <c r="H84" s="27" t="s">
        <v>113</v>
      </c>
    </row>
    <row r="85" spans="2:12" ht="14.25" customHeight="1" x14ac:dyDescent="0.3">
      <c r="G85" s="57">
        <f>G84</f>
        <v>500.00115</v>
      </c>
    </row>
    <row r="86" spans="2:12" ht="14.25" customHeight="1" x14ac:dyDescent="0.3">
      <c r="F86" s="27" t="s">
        <v>155</v>
      </c>
      <c r="G86" s="27">
        <f>IF(G80&gt;G82,G80,G82)</f>
        <v>1.2806248474926845E-3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500</v>
      </c>
      <c r="D92" s="60" t="s">
        <v>113</v>
      </c>
      <c r="E92" s="66"/>
      <c r="F92" s="59" t="s">
        <v>287</v>
      </c>
      <c r="G92" s="59">
        <f>S9</f>
        <v>0.75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0.16</v>
      </c>
      <c r="F97" s="71">
        <v>2</v>
      </c>
      <c r="G97" s="71">
        <v>60</v>
      </c>
      <c r="H97" s="71">
        <f t="shared" ref="H97:H101" si="1">E97/F97</f>
        <v>0.08</v>
      </c>
      <c r="I97" s="71">
        <v>1</v>
      </c>
      <c r="J97" s="71">
        <f t="shared" ref="J97:J101" si="2">H97*I97</f>
        <v>0.08</v>
      </c>
      <c r="K97" s="71">
        <f t="shared" ref="K97:K101" si="3">J97^2</f>
        <v>6.4000000000000003E-3</v>
      </c>
      <c r="L97" s="71">
        <f t="shared" ref="L97:L101" si="4">J97^4/G97</f>
        <v>6.8266666666666664E-7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0.40496913462826534</v>
      </c>
      <c r="F98" s="74">
        <v>1</v>
      </c>
      <c r="G98" s="74">
        <f>IF(G80&gt;G82,9,1000)</f>
        <v>9</v>
      </c>
      <c r="H98" s="74">
        <f t="shared" si="1"/>
        <v>0.40496913462826534</v>
      </c>
      <c r="I98" s="74">
        <v>1</v>
      </c>
      <c r="J98" s="74">
        <f t="shared" si="2"/>
        <v>0.40496913462826534</v>
      </c>
      <c r="K98" s="74">
        <f t="shared" si="3"/>
        <v>0.16400000000156609</v>
      </c>
      <c r="L98" s="74">
        <f t="shared" si="4"/>
        <v>2.9884444445015196E-3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v>5.0000000000000001E-3</v>
      </c>
      <c r="F99" s="77">
        <f>SQRT(3)</f>
        <v>1.7320508075688772</v>
      </c>
      <c r="G99" s="77">
        <v>1000</v>
      </c>
      <c r="H99" s="77">
        <f t="shared" si="1"/>
        <v>2.886751345948129E-3</v>
      </c>
      <c r="I99" s="77">
        <v>1</v>
      </c>
      <c r="J99" s="77">
        <f t="shared" si="2"/>
        <v>2.886751345948129E-3</v>
      </c>
      <c r="K99" s="77">
        <f t="shared" si="3"/>
        <v>8.3333333333333337E-6</v>
      </c>
      <c r="L99" s="77">
        <f t="shared" si="4"/>
        <v>6.9444444444444449E-14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0.06</v>
      </c>
      <c r="F100" s="77">
        <v>1</v>
      </c>
      <c r="G100" s="77">
        <v>4</v>
      </c>
      <c r="H100" s="77">
        <f t="shared" si="1"/>
        <v>0.06</v>
      </c>
      <c r="I100" s="77">
        <v>1</v>
      </c>
      <c r="J100" s="77">
        <f t="shared" si="2"/>
        <v>0.06</v>
      </c>
      <c r="K100" s="77">
        <f t="shared" si="3"/>
        <v>3.5999999999999999E-3</v>
      </c>
      <c r="L100" s="77">
        <f t="shared" si="4"/>
        <v>3.2399999999999999E-6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2.0520000000000004E-3</v>
      </c>
      <c r="F101" s="79">
        <v>1</v>
      </c>
      <c r="G101" s="79">
        <v>1000</v>
      </c>
      <c r="H101" s="79">
        <f t="shared" si="1"/>
        <v>2.0520000000000004E-3</v>
      </c>
      <c r="I101" s="79">
        <v>1</v>
      </c>
      <c r="J101" s="79">
        <f t="shared" si="2"/>
        <v>2.0520000000000004E-3</v>
      </c>
      <c r="K101" s="79">
        <f t="shared" si="3"/>
        <v>4.210704000000002E-6</v>
      </c>
      <c r="L101" s="79">
        <f t="shared" si="4"/>
        <v>1.7730028175616018E-14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0.1740125440388994</v>
      </c>
      <c r="L102" s="71">
        <f t="shared" si="5"/>
        <v>2.9923671112553609E-3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0.41714810803706087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10.119201407138396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2.2281388519862744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0.92946390654994315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0.92946390654994315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1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DA1C-FF2E-45BB-AD3C-A5EEC14D87A7}">
  <sheetPr>
    <tabColor rgb="FF00B050"/>
  </sheetPr>
  <dimension ref="A1:Z1000"/>
  <sheetViews>
    <sheetView topLeftCell="A38" zoomScale="79" zoomScaleNormal="79" workbookViewId="0">
      <selection activeCell="I58" sqref="I58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261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1000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1E-3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262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263</v>
      </c>
      <c r="D50" s="3"/>
    </row>
    <row r="51" spans="1:7" ht="14.25" customHeight="1" x14ac:dyDescent="0.3">
      <c r="B51" s="3" t="s">
        <v>93</v>
      </c>
      <c r="C51" s="26">
        <v>158856</v>
      </c>
      <c r="D51" s="3"/>
    </row>
    <row r="52" spans="1:7" ht="14.25" customHeight="1" x14ac:dyDescent="0.3">
      <c r="B52" s="3" t="s">
        <v>121</v>
      </c>
      <c r="C52" s="35">
        <f>N27</f>
        <v>1000.00094</v>
      </c>
      <c r="D52" s="3" t="s">
        <v>113</v>
      </c>
    </row>
    <row r="53" spans="1:7" ht="14.25" customHeight="1" x14ac:dyDescent="0.3">
      <c r="B53" s="3" t="s">
        <v>122</v>
      </c>
      <c r="C53" s="36">
        <f>O27</f>
        <v>0.16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73">
        <v>1000.01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74">
        <v>1000.013</v>
      </c>
      <c r="G58" s="49">
        <f>B58-B57</f>
        <v>3.0000000000427463E-3</v>
      </c>
    </row>
    <row r="59" spans="1:7" ht="14.25" customHeight="1" x14ac:dyDescent="0.3">
      <c r="A59" s="28" t="s">
        <v>133</v>
      </c>
      <c r="B59" s="174">
        <v>1000.014</v>
      </c>
      <c r="G59" s="47"/>
    </row>
    <row r="60" spans="1:7" ht="14.25" customHeight="1" x14ac:dyDescent="0.3">
      <c r="A60" s="28" t="s">
        <v>134</v>
      </c>
      <c r="B60" s="173">
        <v>1000.014</v>
      </c>
      <c r="G60" s="49">
        <f>B59-B60</f>
        <v>0</v>
      </c>
    </row>
    <row r="61" spans="1:7" ht="14.25" customHeight="1" x14ac:dyDescent="0.3">
      <c r="A61" s="28" t="s">
        <v>135</v>
      </c>
      <c r="B61" s="50"/>
      <c r="C61" s="173">
        <v>1000.016</v>
      </c>
      <c r="G61" s="47"/>
    </row>
    <row r="62" spans="1:7" ht="14.25" customHeight="1" x14ac:dyDescent="0.3">
      <c r="A62" s="28" t="s">
        <v>136</v>
      </c>
      <c r="B62" s="50"/>
      <c r="C62" s="174">
        <v>1000.016</v>
      </c>
      <c r="G62" s="47">
        <f>C62-C61</f>
        <v>0</v>
      </c>
    </row>
    <row r="63" spans="1:7" ht="14.25" customHeight="1" x14ac:dyDescent="0.3">
      <c r="A63" s="28" t="s">
        <v>137</v>
      </c>
      <c r="B63" s="50"/>
      <c r="C63" s="174">
        <v>1000.016</v>
      </c>
      <c r="G63" s="47"/>
    </row>
    <row r="64" spans="1:7" ht="14.25" customHeight="1" x14ac:dyDescent="0.3">
      <c r="A64" s="28" t="s">
        <v>138</v>
      </c>
      <c r="B64" s="50"/>
      <c r="C64" s="173">
        <v>1000.016</v>
      </c>
      <c r="G64" s="47">
        <f>C63-C64</f>
        <v>0</v>
      </c>
    </row>
    <row r="65" spans="1:19" ht="14.25" customHeight="1" x14ac:dyDescent="0.3">
      <c r="A65" s="28" t="s">
        <v>139</v>
      </c>
      <c r="B65" s="50"/>
      <c r="D65" s="173">
        <v>1000.02</v>
      </c>
      <c r="G65" s="47"/>
    </row>
    <row r="66" spans="1:19" ht="14.25" customHeight="1" x14ac:dyDescent="0.3">
      <c r="A66" s="28" t="s">
        <v>140</v>
      </c>
      <c r="B66" s="50"/>
      <c r="D66" s="174">
        <v>1000.02</v>
      </c>
      <c r="G66" s="47">
        <f>D66-D65</f>
        <v>0</v>
      </c>
    </row>
    <row r="67" spans="1:19" ht="14.25" customHeight="1" x14ac:dyDescent="0.3">
      <c r="A67" s="28" t="s">
        <v>141</v>
      </c>
      <c r="B67" s="50"/>
      <c r="D67" s="174">
        <v>1000.018</v>
      </c>
      <c r="G67" s="47"/>
    </row>
    <row r="68" spans="1:19" ht="14.25" customHeight="1" x14ac:dyDescent="0.3">
      <c r="A68" s="28" t="s">
        <v>142</v>
      </c>
      <c r="B68" s="50"/>
      <c r="D68" s="173">
        <v>1000.02</v>
      </c>
      <c r="G68" s="47">
        <f>D67-D68</f>
        <v>-1.9999999999527063E-3</v>
      </c>
    </row>
    <row r="69" spans="1:19" ht="14.25" customHeight="1" x14ac:dyDescent="0.3">
      <c r="A69" s="28" t="s">
        <v>143</v>
      </c>
      <c r="B69" s="50"/>
      <c r="E69" s="173">
        <v>1000.015</v>
      </c>
      <c r="G69" s="47"/>
    </row>
    <row r="70" spans="1:19" ht="14.25" customHeight="1" x14ac:dyDescent="0.3">
      <c r="A70" s="28" t="s">
        <v>144</v>
      </c>
      <c r="B70" s="50"/>
      <c r="E70" s="174">
        <v>1000.018</v>
      </c>
      <c r="G70" s="47">
        <f>E70-E69</f>
        <v>3.0000000000427463E-3</v>
      </c>
    </row>
    <row r="71" spans="1:19" ht="14.25" customHeight="1" x14ac:dyDescent="0.3">
      <c r="A71" s="28" t="s">
        <v>145</v>
      </c>
      <c r="B71" s="50"/>
      <c r="E71" s="174">
        <v>1000.018</v>
      </c>
      <c r="G71" s="47"/>
    </row>
    <row r="72" spans="1:19" ht="14.25" customHeight="1" x14ac:dyDescent="0.3">
      <c r="A72" s="28" t="s">
        <v>146</v>
      </c>
      <c r="B72" s="50"/>
      <c r="E72" s="173">
        <v>1000.019</v>
      </c>
      <c r="G72" s="47">
        <f>E71-E72</f>
        <v>-9.9999999997635314E-4</v>
      </c>
    </row>
    <row r="73" spans="1:19" ht="14.25" customHeight="1" x14ac:dyDescent="0.3">
      <c r="A73" s="28" t="s">
        <v>147</v>
      </c>
      <c r="B73" s="50"/>
      <c r="F73" s="173">
        <v>1000.02</v>
      </c>
      <c r="G73" s="47"/>
    </row>
    <row r="74" spans="1:19" ht="14.25" customHeight="1" x14ac:dyDescent="0.3">
      <c r="A74" s="28" t="s">
        <v>148</v>
      </c>
      <c r="B74" s="50"/>
      <c r="F74" s="174">
        <v>1000.02</v>
      </c>
      <c r="G74" s="47">
        <f>F74-F73</f>
        <v>0</v>
      </c>
    </row>
    <row r="75" spans="1:19" ht="14.25" customHeight="1" x14ac:dyDescent="0.3">
      <c r="A75" s="28" t="s">
        <v>149</v>
      </c>
      <c r="B75" s="50"/>
      <c r="F75" s="174">
        <v>1000.021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73">
        <v>1000.021</v>
      </c>
      <c r="G76" s="53">
        <f>F75-F76</f>
        <v>0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3.0000000001564333E-4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1.4866068747379929E-3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4.0999999999999999E-4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1000.0012400000001</v>
      </c>
      <c r="H84" s="27" t="s">
        <v>113</v>
      </c>
    </row>
    <row r="85" spans="2:12" ht="14.25" customHeight="1" x14ac:dyDescent="0.3">
      <c r="G85" s="57">
        <f>G84</f>
        <v>1000.0012400000001</v>
      </c>
    </row>
    <row r="86" spans="2:12" ht="14.25" customHeight="1" x14ac:dyDescent="0.3">
      <c r="F86" s="27" t="s">
        <v>155</v>
      </c>
      <c r="G86" s="27">
        <f>IF(G80&gt;G82,G80,G82)</f>
        <v>1.4866068747379929E-3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1000</v>
      </c>
      <c r="D92" s="60" t="s">
        <v>113</v>
      </c>
      <c r="E92" s="66"/>
      <c r="F92" s="59" t="s">
        <v>288</v>
      </c>
      <c r="G92" s="59">
        <f>S8</f>
        <v>1.5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0.16</v>
      </c>
      <c r="F97" s="71">
        <v>2</v>
      </c>
      <c r="G97" s="71">
        <v>60</v>
      </c>
      <c r="H97" s="71">
        <f t="shared" ref="H97:H101" si="1">E97/F97</f>
        <v>0.08</v>
      </c>
      <c r="I97" s="71">
        <v>1</v>
      </c>
      <c r="J97" s="71">
        <f t="shared" ref="J97:J101" si="2">H97*I97</f>
        <v>0.08</v>
      </c>
      <c r="K97" s="71">
        <f t="shared" ref="K97:K101" si="3">J97^2</f>
        <v>6.4000000000000003E-3</v>
      </c>
      <c r="L97" s="71">
        <f t="shared" ref="L97:L101" si="4">J97^4/G97</f>
        <v>6.8266666666666664E-7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0.47010637094366864</v>
      </c>
      <c r="F98" s="74">
        <v>1</v>
      </c>
      <c r="G98" s="74">
        <f>IF(G80&gt;G82,9,1000)</f>
        <v>9</v>
      </c>
      <c r="H98" s="74">
        <f t="shared" si="1"/>
        <v>0.47010637094366864</v>
      </c>
      <c r="I98" s="74">
        <v>1</v>
      </c>
      <c r="J98" s="74">
        <f t="shared" si="2"/>
        <v>0.47010637094366864</v>
      </c>
      <c r="K98" s="74">
        <f t="shared" si="3"/>
        <v>0.22100000000182618</v>
      </c>
      <c r="L98" s="74">
        <f t="shared" si="4"/>
        <v>5.426777777867463E-3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v>0.05</v>
      </c>
      <c r="F99" s="77">
        <f>SQRT(3)</f>
        <v>1.7320508075688772</v>
      </c>
      <c r="G99" s="77">
        <v>1000</v>
      </c>
      <c r="H99" s="77">
        <f t="shared" si="1"/>
        <v>2.8867513459481291E-2</v>
      </c>
      <c r="I99" s="77">
        <v>1</v>
      </c>
      <c r="J99" s="77">
        <f t="shared" si="2"/>
        <v>2.8867513459481291E-2</v>
      </c>
      <c r="K99" s="77">
        <f t="shared" si="3"/>
        <v>8.333333333333335E-4</v>
      </c>
      <c r="L99" s="77">
        <f t="shared" si="4"/>
        <v>6.944444444444447E-10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0.12</v>
      </c>
      <c r="F100" s="77">
        <v>1</v>
      </c>
      <c r="G100" s="77">
        <v>4</v>
      </c>
      <c r="H100" s="77">
        <f t="shared" si="1"/>
        <v>0.12</v>
      </c>
      <c r="I100" s="77">
        <v>1</v>
      </c>
      <c r="J100" s="77">
        <f t="shared" si="2"/>
        <v>0.12</v>
      </c>
      <c r="K100" s="77">
        <f t="shared" si="3"/>
        <v>1.44E-2</v>
      </c>
      <c r="L100" s="77">
        <f t="shared" si="4"/>
        <v>5.1839999999999998E-5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4.1040000000000009E-3</v>
      </c>
      <c r="F101" s="79">
        <v>1</v>
      </c>
      <c r="G101" s="79">
        <v>1000</v>
      </c>
      <c r="H101" s="79">
        <f t="shared" si="1"/>
        <v>4.1040000000000009E-3</v>
      </c>
      <c r="I101" s="79">
        <v>1</v>
      </c>
      <c r="J101" s="79">
        <f t="shared" si="2"/>
        <v>4.1040000000000009E-3</v>
      </c>
      <c r="K101" s="79">
        <f t="shared" si="3"/>
        <v>1.6842816000000008E-5</v>
      </c>
      <c r="L101" s="79">
        <f t="shared" si="4"/>
        <v>2.8368045080985628E-13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0.2426501761511595</v>
      </c>
      <c r="L102" s="71">
        <f t="shared" si="5"/>
        <v>5.4793011392622543E-3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0.49259534726909421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10.745733167371846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2.2281388519862744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1.0975708315579398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1.0975708315579398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1.1000000000000001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4591C-49D8-41B8-942B-990097677C7A}">
  <sheetPr>
    <tabColor rgb="FF00B050"/>
  </sheetPr>
  <dimension ref="A1:Z1000"/>
  <sheetViews>
    <sheetView topLeftCell="A37" zoomScale="79" zoomScaleNormal="79" workbookViewId="0">
      <selection activeCell="C51" sqref="C51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261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2000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1E-3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271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297</v>
      </c>
      <c r="D50" s="3"/>
    </row>
    <row r="51" spans="1:7" ht="14.25" customHeight="1" x14ac:dyDescent="0.3">
      <c r="B51" s="3" t="s">
        <v>93</v>
      </c>
      <c r="C51" s="26" t="s">
        <v>298</v>
      </c>
      <c r="D51" s="3"/>
    </row>
    <row r="52" spans="1:7" ht="14.25" customHeight="1" x14ac:dyDescent="0.3">
      <c r="B52" s="3" t="s">
        <v>121</v>
      </c>
      <c r="C52" s="35">
        <f>B3</f>
        <v>1999.9985200000001</v>
      </c>
      <c r="D52" s="3" t="s">
        <v>113</v>
      </c>
    </row>
    <row r="53" spans="1:7" ht="14.25" customHeight="1" x14ac:dyDescent="0.3">
      <c r="B53" s="3" t="s">
        <v>122</v>
      </c>
      <c r="C53" s="36">
        <f>C3</f>
        <v>0.32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77">
        <v>2000.0260000000001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78">
        <v>2000.0319999999999</v>
      </c>
      <c r="G58" s="49">
        <f>B58-B57</f>
        <v>5.9999999998581188E-3</v>
      </c>
    </row>
    <row r="59" spans="1:7" ht="14.25" customHeight="1" x14ac:dyDescent="0.3">
      <c r="A59" s="28" t="s">
        <v>133</v>
      </c>
      <c r="B59" s="178">
        <v>2000.0309999999999</v>
      </c>
      <c r="G59" s="47"/>
    </row>
    <row r="60" spans="1:7" ht="14.25" customHeight="1" x14ac:dyDescent="0.3">
      <c r="A60" s="28" t="s">
        <v>134</v>
      </c>
      <c r="B60" s="178">
        <v>2000.029</v>
      </c>
      <c r="G60" s="49">
        <f>B59-B60</f>
        <v>1.9999999999527063E-3</v>
      </c>
    </row>
    <row r="61" spans="1:7" ht="14.25" customHeight="1" x14ac:dyDescent="0.3">
      <c r="A61" s="28" t="s">
        <v>135</v>
      </c>
      <c r="B61" s="50"/>
      <c r="C61" s="179">
        <v>2000.0309999999999</v>
      </c>
      <c r="G61" s="47"/>
    </row>
    <row r="62" spans="1:7" ht="14.25" customHeight="1" x14ac:dyDescent="0.3">
      <c r="A62" s="28" t="s">
        <v>136</v>
      </c>
      <c r="B62" s="50"/>
      <c r="C62" s="180">
        <v>2000.038</v>
      </c>
      <c r="G62" s="47">
        <f>C62-C61</f>
        <v>7.0000000000618456E-3</v>
      </c>
    </row>
    <row r="63" spans="1:7" ht="14.25" customHeight="1" x14ac:dyDescent="0.3">
      <c r="A63" s="28" t="s">
        <v>137</v>
      </c>
      <c r="B63" s="50"/>
      <c r="C63" s="180">
        <v>2000.0360000000001</v>
      </c>
      <c r="G63" s="47"/>
    </row>
    <row r="64" spans="1:7" ht="14.25" customHeight="1" x14ac:dyDescent="0.3">
      <c r="A64" s="28" t="s">
        <v>138</v>
      </c>
      <c r="B64" s="50"/>
      <c r="C64" s="180">
        <v>2000.0340000000001</v>
      </c>
      <c r="G64" s="47">
        <f>C63-C64</f>
        <v>1.9999999999527063E-3</v>
      </c>
    </row>
    <row r="65" spans="1:19" ht="14.25" customHeight="1" x14ac:dyDescent="0.3">
      <c r="A65" s="28" t="s">
        <v>139</v>
      </c>
      <c r="B65" s="50"/>
      <c r="D65" s="180">
        <v>2000.03</v>
      </c>
      <c r="G65" s="47"/>
    </row>
    <row r="66" spans="1:19" ht="14.25" customHeight="1" x14ac:dyDescent="0.3">
      <c r="A66" s="28" t="s">
        <v>140</v>
      </c>
      <c r="B66" s="50"/>
      <c r="D66" s="180">
        <v>2000.037</v>
      </c>
      <c r="G66" s="47">
        <f>D66-D65</f>
        <v>7.0000000000618456E-3</v>
      </c>
    </row>
    <row r="67" spans="1:19" ht="14.25" customHeight="1" x14ac:dyDescent="0.3">
      <c r="A67" s="28" t="s">
        <v>141</v>
      </c>
      <c r="B67" s="50"/>
      <c r="D67" s="180">
        <v>2000.037</v>
      </c>
      <c r="G67" s="47"/>
    </row>
    <row r="68" spans="1:19" ht="14.25" customHeight="1" x14ac:dyDescent="0.3">
      <c r="A68" s="28" t="s">
        <v>142</v>
      </c>
      <c r="B68" s="50"/>
      <c r="D68" s="180">
        <v>2000.0309999999999</v>
      </c>
      <c r="G68" s="47">
        <f>D67-D68</f>
        <v>6.0000000000854925E-3</v>
      </c>
    </row>
    <row r="69" spans="1:19" ht="14.25" customHeight="1" x14ac:dyDescent="0.3">
      <c r="A69" s="28" t="s">
        <v>143</v>
      </c>
      <c r="B69" s="50"/>
      <c r="E69" s="180">
        <v>2000.0319999999999</v>
      </c>
      <c r="G69" s="47"/>
    </row>
    <row r="70" spans="1:19" ht="14.25" customHeight="1" x14ac:dyDescent="0.3">
      <c r="A70" s="28" t="s">
        <v>144</v>
      </c>
      <c r="B70" s="50"/>
      <c r="E70" s="180">
        <v>2000.0360000000001</v>
      </c>
      <c r="G70" s="47">
        <f>E70-E69</f>
        <v>4.0000000001327862E-3</v>
      </c>
    </row>
    <row r="71" spans="1:19" ht="14.25" customHeight="1" x14ac:dyDescent="0.3">
      <c r="A71" s="28" t="s">
        <v>145</v>
      </c>
      <c r="B71" s="50"/>
      <c r="E71" s="180">
        <v>2000.038</v>
      </c>
      <c r="G71" s="47"/>
    </row>
    <row r="72" spans="1:19" ht="14.25" customHeight="1" x14ac:dyDescent="0.3">
      <c r="A72" s="28" t="s">
        <v>146</v>
      </c>
      <c r="B72" s="50"/>
      <c r="E72" s="180">
        <v>2000.0319999999999</v>
      </c>
      <c r="G72" s="47">
        <f>E71-E72</f>
        <v>6.0000000000854925E-3</v>
      </c>
    </row>
    <row r="73" spans="1:19" ht="14.25" customHeight="1" x14ac:dyDescent="0.3">
      <c r="A73" s="28" t="s">
        <v>147</v>
      </c>
      <c r="B73" s="50"/>
      <c r="F73" s="180">
        <v>2000.0309999999999</v>
      </c>
      <c r="G73" s="47"/>
    </row>
    <row r="74" spans="1:19" ht="14.25" customHeight="1" x14ac:dyDescent="0.3">
      <c r="A74" s="28" t="s">
        <v>148</v>
      </c>
      <c r="B74" s="50"/>
      <c r="F74" s="180">
        <v>2000.038</v>
      </c>
      <c r="G74" s="47">
        <f>F74-F73</f>
        <v>7.0000000000618456E-3</v>
      </c>
    </row>
    <row r="75" spans="1:19" ht="14.25" customHeight="1" x14ac:dyDescent="0.3">
      <c r="A75" s="28" t="s">
        <v>149</v>
      </c>
      <c r="B75" s="50"/>
      <c r="F75" s="180">
        <v>2000.0360000000001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81">
        <v>2000.0319999999999</v>
      </c>
      <c r="G76" s="53">
        <f>F75-F76</f>
        <v>4.0000000001327862E-3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5.1000000000385624E-3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1.8681541692472706E-3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4.0999999999999999E-4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2000.0036200000002</v>
      </c>
      <c r="H84" s="27" t="s">
        <v>113</v>
      </c>
    </row>
    <row r="85" spans="2:12" ht="14.25" customHeight="1" x14ac:dyDescent="0.3">
      <c r="G85" s="57">
        <f>G84</f>
        <v>2000.0036200000002</v>
      </c>
    </row>
    <row r="86" spans="2:12" ht="14.25" customHeight="1" x14ac:dyDescent="0.3">
      <c r="F86" s="27" t="s">
        <v>155</v>
      </c>
      <c r="G86" s="27">
        <f>IF(G80&gt;G82,G80,G82)</f>
        <v>1.8681541692472706E-3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2000</v>
      </c>
      <c r="D92" s="60" t="s">
        <v>113</v>
      </c>
      <c r="E92" s="66"/>
      <c r="F92" s="59" t="s">
        <v>287</v>
      </c>
      <c r="G92" s="59">
        <f>S7</f>
        <v>3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0.32</v>
      </c>
      <c r="F97" s="71">
        <v>2</v>
      </c>
      <c r="G97" s="71">
        <v>60</v>
      </c>
      <c r="H97" s="71">
        <f t="shared" ref="H97:H101" si="1">E97/F97</f>
        <v>0.16</v>
      </c>
      <c r="I97" s="71">
        <v>1</v>
      </c>
      <c r="J97" s="71">
        <f t="shared" ref="J97:J101" si="2">H97*I97</f>
        <v>0.16</v>
      </c>
      <c r="K97" s="71">
        <f t="shared" ref="K97:K101" si="3">J97^2</f>
        <v>2.5600000000000001E-2</v>
      </c>
      <c r="L97" s="71">
        <f t="shared" ref="L97:L101" si="4">J97^4/G97</f>
        <v>1.0922666666666666E-5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0.59076221951610608</v>
      </c>
      <c r="F98" s="74">
        <v>1</v>
      </c>
      <c r="G98" s="74">
        <f>IF(G80&gt;G82,9,1000)</f>
        <v>9</v>
      </c>
      <c r="H98" s="74">
        <f t="shared" si="1"/>
        <v>0.59076221951610608</v>
      </c>
      <c r="I98" s="74">
        <v>1</v>
      </c>
      <c r="J98" s="74">
        <f t="shared" si="2"/>
        <v>0.59076221951610608</v>
      </c>
      <c r="K98" s="74">
        <f t="shared" si="3"/>
        <v>0.3490000000075959</v>
      </c>
      <c r="L98" s="74">
        <f t="shared" si="4"/>
        <v>1.3533444445033549E-2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v>0.05</v>
      </c>
      <c r="F99" s="77">
        <f>SQRT(3)</f>
        <v>1.7320508075688772</v>
      </c>
      <c r="G99" s="77">
        <v>1000</v>
      </c>
      <c r="H99" s="77">
        <f t="shared" si="1"/>
        <v>2.8867513459481291E-2</v>
      </c>
      <c r="I99" s="77">
        <v>1</v>
      </c>
      <c r="J99" s="77">
        <f t="shared" si="2"/>
        <v>2.8867513459481291E-2</v>
      </c>
      <c r="K99" s="77">
        <f t="shared" si="3"/>
        <v>8.333333333333335E-4</v>
      </c>
      <c r="L99" s="77">
        <f t="shared" si="4"/>
        <v>6.944444444444447E-10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0.24</v>
      </c>
      <c r="F100" s="77">
        <v>1</v>
      </c>
      <c r="G100" s="77">
        <v>4</v>
      </c>
      <c r="H100" s="77">
        <f t="shared" si="1"/>
        <v>0.24</v>
      </c>
      <c r="I100" s="77">
        <v>1</v>
      </c>
      <c r="J100" s="77">
        <f t="shared" si="2"/>
        <v>0.24</v>
      </c>
      <c r="K100" s="77">
        <f t="shared" si="3"/>
        <v>5.7599999999999998E-2</v>
      </c>
      <c r="L100" s="77">
        <f t="shared" si="4"/>
        <v>8.2943999999999997E-4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8.2080000000000018E-3</v>
      </c>
      <c r="F101" s="79">
        <v>1</v>
      </c>
      <c r="G101" s="79">
        <v>1000</v>
      </c>
      <c r="H101" s="79">
        <f t="shared" si="1"/>
        <v>8.2080000000000018E-3</v>
      </c>
      <c r="I101" s="79">
        <v>1</v>
      </c>
      <c r="J101" s="79">
        <f t="shared" si="2"/>
        <v>8.2080000000000018E-3</v>
      </c>
      <c r="K101" s="79">
        <f t="shared" si="3"/>
        <v>6.7371264000000032E-5</v>
      </c>
      <c r="L101" s="79">
        <f t="shared" si="4"/>
        <v>4.5388872129577005E-12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0.43310070460492928</v>
      </c>
      <c r="L102" s="71">
        <f t="shared" si="5"/>
        <v>1.4373807810683547E-2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0.65810387068070741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13.049862833832199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2.1603686564627926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1.4217469749154432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1.4217469749154432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1.1000000000000001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0C3A-CE20-495F-BD7F-7EBDC412EC15}">
  <sheetPr>
    <tabColor rgb="FF00B050"/>
  </sheetPr>
  <dimension ref="A1:Z1000"/>
  <sheetViews>
    <sheetView topLeftCell="A32" zoomScale="79" zoomScaleNormal="79" workbookViewId="0">
      <selection activeCell="J53" sqref="J53"/>
    </sheetView>
  </sheetViews>
  <sheetFormatPr defaultColWidth="14.44140625" defaultRowHeight="15" customHeight="1" x14ac:dyDescent="0.3"/>
  <cols>
    <col min="1" max="1" width="9.109375" customWidth="1"/>
    <col min="2" max="2" width="20.88671875" customWidth="1"/>
    <col min="3" max="3" width="9.88671875" customWidth="1"/>
    <col min="4" max="4" width="10.33203125" customWidth="1"/>
    <col min="5" max="5" width="11.44140625" customWidth="1"/>
    <col min="6" max="6" width="12" customWidth="1"/>
    <col min="7" max="7" width="11.5546875" customWidth="1"/>
    <col min="8" max="8" width="9.109375" customWidth="1"/>
    <col min="9" max="9" width="9.33203125" customWidth="1"/>
    <col min="10" max="10" width="12.109375" customWidth="1"/>
    <col min="11" max="11" width="10" customWidth="1"/>
    <col min="12" max="12" width="9.109375" customWidth="1"/>
    <col min="13" max="13" width="9.33203125" customWidth="1"/>
    <col min="14" max="14" width="12.33203125" customWidth="1"/>
    <col min="15" max="15" width="12.109375" customWidth="1"/>
    <col min="16" max="17" width="9.109375" customWidth="1"/>
    <col min="18" max="18" width="9.33203125" customWidth="1"/>
    <col min="19" max="26" width="9.109375" customWidth="1"/>
  </cols>
  <sheetData>
    <row r="1" spans="1:26" ht="14.25" customHeight="1" x14ac:dyDescent="0.35">
      <c r="A1" s="4" t="s">
        <v>41</v>
      </c>
      <c r="B1" s="5"/>
      <c r="C1" s="5"/>
      <c r="D1" s="5"/>
      <c r="E1" s="6" t="s">
        <v>42</v>
      </c>
      <c r="F1" s="7"/>
      <c r="G1" s="7"/>
      <c r="H1" s="5"/>
      <c r="I1" s="6" t="s">
        <v>43</v>
      </c>
      <c r="J1" s="8"/>
      <c r="K1" s="8"/>
      <c r="L1" s="5"/>
      <c r="M1" s="4" t="s">
        <v>44</v>
      </c>
      <c r="N1" s="5"/>
      <c r="O1" s="5"/>
      <c r="P1" s="5"/>
      <c r="Q1" s="4" t="s">
        <v>45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9" t="s">
        <v>31</v>
      </c>
      <c r="B2" s="9" t="s">
        <v>46</v>
      </c>
      <c r="C2" s="9" t="s">
        <v>47</v>
      </c>
      <c r="E2" s="10" t="s">
        <v>31</v>
      </c>
      <c r="F2" s="10" t="s">
        <v>46</v>
      </c>
      <c r="G2" s="10" t="s">
        <v>47</v>
      </c>
      <c r="I2" s="11" t="s">
        <v>48</v>
      </c>
      <c r="J2" s="11" t="s">
        <v>46</v>
      </c>
      <c r="K2" s="11" t="s">
        <v>47</v>
      </c>
      <c r="M2" s="9" t="s">
        <v>31</v>
      </c>
      <c r="N2" s="9" t="s">
        <v>46</v>
      </c>
      <c r="O2" s="9" t="s">
        <v>47</v>
      </c>
      <c r="Q2" s="12" t="s">
        <v>0</v>
      </c>
      <c r="R2" s="12" t="s">
        <v>49</v>
      </c>
      <c r="S2" s="12" t="s">
        <v>50</v>
      </c>
      <c r="T2" s="12" t="s">
        <v>1</v>
      </c>
      <c r="U2" s="12" t="s">
        <v>2</v>
      </c>
      <c r="V2" s="12" t="s">
        <v>3</v>
      </c>
      <c r="W2" s="12" t="s">
        <v>4</v>
      </c>
      <c r="X2" s="12" t="s">
        <v>5</v>
      </c>
    </row>
    <row r="3" spans="1:26" ht="14.25" customHeight="1" x14ac:dyDescent="0.3">
      <c r="A3" s="3">
        <v>2000</v>
      </c>
      <c r="B3" s="13">
        <v>1999.9985200000001</v>
      </c>
      <c r="C3" s="13">
        <v>0.32</v>
      </c>
      <c r="E3" s="14">
        <v>20000</v>
      </c>
      <c r="F3" s="14">
        <v>20000.022000000001</v>
      </c>
      <c r="G3" s="14">
        <v>13</v>
      </c>
      <c r="I3" s="14" t="s">
        <v>43</v>
      </c>
      <c r="J3" s="14">
        <v>19999.413999999997</v>
      </c>
      <c r="K3" s="14">
        <v>45</v>
      </c>
      <c r="M3" s="188">
        <v>1E-3</v>
      </c>
      <c r="N3" s="189">
        <v>1.003E-3</v>
      </c>
      <c r="O3" s="189">
        <v>2E-3</v>
      </c>
      <c r="Q3" s="15" t="s">
        <v>6</v>
      </c>
      <c r="R3" s="15">
        <v>25</v>
      </c>
      <c r="S3" s="15">
        <v>75</v>
      </c>
      <c r="T3" s="15">
        <v>250</v>
      </c>
      <c r="U3" s="15">
        <v>750</v>
      </c>
      <c r="V3" s="15">
        <v>2500</v>
      </c>
      <c r="W3" s="15">
        <v>7500</v>
      </c>
      <c r="X3" s="15">
        <v>25000</v>
      </c>
    </row>
    <row r="4" spans="1:26" ht="14.25" customHeight="1" x14ac:dyDescent="0.3">
      <c r="A4" s="3">
        <v>1000</v>
      </c>
      <c r="B4" s="13">
        <v>1000.00055</v>
      </c>
      <c r="C4" s="13">
        <v>0.14000000000000001</v>
      </c>
      <c r="E4" s="14">
        <v>10000</v>
      </c>
      <c r="F4" s="14">
        <v>10000.040999999999</v>
      </c>
      <c r="G4" s="14">
        <v>4.5999999999999996</v>
      </c>
      <c r="I4" s="14" t="s">
        <v>51</v>
      </c>
      <c r="J4" s="14">
        <v>19999.233999999997</v>
      </c>
      <c r="K4" s="14">
        <v>45</v>
      </c>
      <c r="M4" s="188">
        <v>2E-3</v>
      </c>
      <c r="N4" s="190">
        <v>2.003E-3</v>
      </c>
      <c r="O4" s="189">
        <v>2E-3</v>
      </c>
      <c r="Q4" s="15" t="s">
        <v>7</v>
      </c>
      <c r="R4" s="15">
        <v>10</v>
      </c>
      <c r="S4" s="15">
        <v>30</v>
      </c>
      <c r="T4" s="15">
        <v>100</v>
      </c>
      <c r="U4" s="15">
        <v>300</v>
      </c>
      <c r="V4" s="15">
        <v>1000</v>
      </c>
      <c r="W4" s="15">
        <v>3000</v>
      </c>
      <c r="X4" s="15">
        <v>10000</v>
      </c>
    </row>
    <row r="5" spans="1:26" ht="14.25" customHeight="1" x14ac:dyDescent="0.3">
      <c r="A5" s="3">
        <v>500</v>
      </c>
      <c r="B5" s="16">
        <v>500.00000999999997</v>
      </c>
      <c r="C5" s="13">
        <v>0.08</v>
      </c>
      <c r="E5" s="14">
        <v>5000</v>
      </c>
      <c r="F5" s="17">
        <v>5000.0050000000001</v>
      </c>
      <c r="G5" s="14">
        <v>8</v>
      </c>
      <c r="I5" s="14" t="s">
        <v>52</v>
      </c>
      <c r="J5" s="14">
        <v>19999.627</v>
      </c>
      <c r="K5" s="14">
        <v>45</v>
      </c>
      <c r="M5" s="188" t="s">
        <v>265</v>
      </c>
      <c r="N5" s="190">
        <v>2.0010000000000002E-3</v>
      </c>
      <c r="O5" s="189">
        <v>2E-3</v>
      </c>
      <c r="Q5" s="15" t="s">
        <v>8</v>
      </c>
      <c r="R5" s="15">
        <v>5</v>
      </c>
      <c r="S5" s="15">
        <v>15</v>
      </c>
      <c r="T5" s="15">
        <v>50</v>
      </c>
      <c r="U5" s="15">
        <v>150</v>
      </c>
      <c r="V5" s="15">
        <v>500</v>
      </c>
      <c r="W5" s="15">
        <v>1500</v>
      </c>
      <c r="X5" s="15">
        <v>5000</v>
      </c>
    </row>
    <row r="6" spans="1:26" ht="14.25" customHeight="1" x14ac:dyDescent="0.3">
      <c r="A6" s="3">
        <v>200</v>
      </c>
      <c r="B6" s="16">
        <v>200.00001</v>
      </c>
      <c r="C6" s="13">
        <v>0.04</v>
      </c>
      <c r="E6" s="14" t="s">
        <v>34</v>
      </c>
      <c r="F6" s="17">
        <v>1999.999</v>
      </c>
      <c r="G6" s="14">
        <v>3</v>
      </c>
      <c r="I6" s="14" t="s">
        <v>53</v>
      </c>
      <c r="J6" s="14">
        <v>20000.345999999998</v>
      </c>
      <c r="K6" s="14">
        <v>45</v>
      </c>
      <c r="M6" s="188">
        <v>5.0000000000000001E-3</v>
      </c>
      <c r="N6" s="190">
        <v>5.0039999999999998E-3</v>
      </c>
      <c r="O6" s="189">
        <v>2E-3</v>
      </c>
      <c r="Q6" s="15" t="s">
        <v>9</v>
      </c>
      <c r="R6" s="15">
        <v>2.5</v>
      </c>
      <c r="S6" s="15">
        <v>7.5</v>
      </c>
      <c r="T6" s="15">
        <v>25</v>
      </c>
      <c r="U6" s="15">
        <v>75</v>
      </c>
      <c r="V6" s="15">
        <v>250</v>
      </c>
      <c r="W6" s="15">
        <v>750</v>
      </c>
      <c r="X6" s="15">
        <v>2500</v>
      </c>
    </row>
    <row r="7" spans="1:26" ht="14.25" customHeight="1" x14ac:dyDescent="0.3">
      <c r="A7" s="3" t="s">
        <v>35</v>
      </c>
      <c r="B7" s="16">
        <v>200.00004999999999</v>
      </c>
      <c r="C7" s="13">
        <v>0.04</v>
      </c>
      <c r="E7" s="3">
        <v>2000</v>
      </c>
      <c r="F7" s="18">
        <v>1999.9960000000001</v>
      </c>
      <c r="G7" s="13">
        <v>3</v>
      </c>
      <c r="I7" s="14" t="s">
        <v>54</v>
      </c>
      <c r="J7" s="14">
        <v>20000.124</v>
      </c>
      <c r="K7" s="14">
        <v>45</v>
      </c>
      <c r="M7" s="188">
        <v>0.01</v>
      </c>
      <c r="N7" s="190">
        <v>1.0002E-2</v>
      </c>
      <c r="O7" s="189">
        <v>3.0000000000000001E-3</v>
      </c>
      <c r="Q7" s="15" t="s">
        <v>10</v>
      </c>
      <c r="R7" s="15">
        <v>1</v>
      </c>
      <c r="S7" s="15">
        <v>3</v>
      </c>
      <c r="T7" s="15">
        <v>10</v>
      </c>
      <c r="U7" s="15">
        <v>30</v>
      </c>
      <c r="V7" s="15">
        <v>100</v>
      </c>
      <c r="W7" s="15">
        <v>300</v>
      </c>
      <c r="X7" s="15">
        <v>1000</v>
      </c>
    </row>
    <row r="8" spans="1:26" ht="14.25" customHeight="1" x14ac:dyDescent="0.3">
      <c r="A8" s="3">
        <v>100</v>
      </c>
      <c r="B8" s="16">
        <v>100.00008</v>
      </c>
      <c r="C8" s="13">
        <v>0.03</v>
      </c>
      <c r="E8" s="3">
        <v>1000</v>
      </c>
      <c r="F8" s="18">
        <v>1000.001</v>
      </c>
      <c r="G8" s="13">
        <v>1.7</v>
      </c>
      <c r="I8" s="14" t="s">
        <v>55</v>
      </c>
      <c r="J8" s="14">
        <v>20000.153999999999</v>
      </c>
      <c r="K8" s="14">
        <v>45</v>
      </c>
      <c r="M8" s="188">
        <v>0.02</v>
      </c>
      <c r="N8" s="190">
        <v>2.0003E-2</v>
      </c>
      <c r="O8" s="189">
        <v>3.0000000000000001E-3</v>
      </c>
      <c r="Q8" s="15" t="s">
        <v>11</v>
      </c>
      <c r="R8" s="15">
        <v>0.5</v>
      </c>
      <c r="S8" s="15">
        <v>1.5</v>
      </c>
      <c r="T8" s="15">
        <v>5</v>
      </c>
      <c r="U8" s="15">
        <v>15</v>
      </c>
      <c r="V8" s="15">
        <v>50</v>
      </c>
      <c r="W8" s="15">
        <v>150</v>
      </c>
      <c r="X8" s="15">
        <v>500</v>
      </c>
    </row>
    <row r="9" spans="1:26" ht="14.25" customHeight="1" x14ac:dyDescent="0.3">
      <c r="A9" s="3">
        <v>50</v>
      </c>
      <c r="B9" s="16">
        <v>50.000019999999999</v>
      </c>
      <c r="C9" s="13">
        <v>0.02</v>
      </c>
      <c r="E9" s="3">
        <v>500</v>
      </c>
      <c r="F9" s="18">
        <v>500</v>
      </c>
      <c r="G9" s="13">
        <v>1.1000000000000001</v>
      </c>
      <c r="I9" s="14" t="s">
        <v>56</v>
      </c>
      <c r="J9" s="14">
        <v>19999.125</v>
      </c>
      <c r="K9" s="14">
        <v>45</v>
      </c>
      <c r="M9" s="188" t="s">
        <v>266</v>
      </c>
      <c r="N9" s="191">
        <v>2.0004999999999998E-2</v>
      </c>
      <c r="O9" s="189">
        <v>3.0000000000000001E-3</v>
      </c>
      <c r="Q9" s="15" t="s">
        <v>12</v>
      </c>
      <c r="R9" s="15">
        <v>0.25</v>
      </c>
      <c r="S9" s="15">
        <v>0.75</v>
      </c>
      <c r="T9" s="15">
        <v>2.5</v>
      </c>
      <c r="U9" s="15">
        <v>7.5</v>
      </c>
      <c r="V9" s="15">
        <v>25</v>
      </c>
      <c r="W9" s="15">
        <v>75</v>
      </c>
      <c r="X9" s="15">
        <v>250</v>
      </c>
    </row>
    <row r="10" spans="1:26" ht="14.25" customHeight="1" x14ac:dyDescent="0.3">
      <c r="A10" s="3">
        <v>20</v>
      </c>
      <c r="B10" s="19">
        <v>19.999977999999999</v>
      </c>
      <c r="C10" s="13">
        <v>8.9999999999999993E-3</v>
      </c>
      <c r="E10" s="3">
        <v>200</v>
      </c>
      <c r="F10" s="20">
        <v>199.99952999999999</v>
      </c>
      <c r="G10" s="13">
        <v>0.3</v>
      </c>
      <c r="I10" s="14" t="s">
        <v>57</v>
      </c>
      <c r="J10" s="14">
        <v>19999.805999999997</v>
      </c>
      <c r="K10" s="14">
        <v>45</v>
      </c>
      <c r="M10" s="188">
        <v>0.05</v>
      </c>
      <c r="N10" s="191">
        <v>5.0005000000000001E-2</v>
      </c>
      <c r="O10" s="189">
        <v>3.0000000000000001E-3</v>
      </c>
      <c r="Q10" s="15" t="s">
        <v>13</v>
      </c>
      <c r="R10" s="15">
        <v>0.01</v>
      </c>
      <c r="S10" s="15">
        <v>0.3</v>
      </c>
      <c r="T10" s="15">
        <v>1</v>
      </c>
      <c r="U10" s="15">
        <v>3</v>
      </c>
      <c r="V10" s="15">
        <v>10</v>
      </c>
      <c r="W10" s="15">
        <v>30</v>
      </c>
      <c r="X10" s="15">
        <v>100</v>
      </c>
    </row>
    <row r="11" spans="1:26" ht="14.25" customHeight="1" x14ac:dyDescent="0.3">
      <c r="A11" s="3" t="s">
        <v>36</v>
      </c>
      <c r="B11" s="19">
        <v>19.999977000000001</v>
      </c>
      <c r="C11" s="13">
        <v>8.9999999999999993E-3</v>
      </c>
      <c r="E11" s="3" t="s">
        <v>35</v>
      </c>
      <c r="F11" s="20">
        <v>199.99872999999999</v>
      </c>
      <c r="G11" s="13">
        <v>0.3</v>
      </c>
      <c r="I11" s="14" t="s">
        <v>58</v>
      </c>
      <c r="J11" s="14">
        <v>20000.237000000001</v>
      </c>
      <c r="K11" s="14">
        <v>45</v>
      </c>
      <c r="M11" s="188">
        <v>0.1</v>
      </c>
      <c r="N11" s="190">
        <v>0.100008</v>
      </c>
      <c r="O11" s="189">
        <v>3.0000000000000001E-3</v>
      </c>
      <c r="Q11" s="15" t="s">
        <v>14</v>
      </c>
      <c r="R11" s="15">
        <v>0.05</v>
      </c>
      <c r="S11" s="15">
        <v>0.15</v>
      </c>
      <c r="T11" s="15">
        <v>0.5</v>
      </c>
      <c r="U11" s="15">
        <v>1.5</v>
      </c>
      <c r="V11" s="15">
        <v>5</v>
      </c>
      <c r="W11" s="15">
        <v>15</v>
      </c>
      <c r="X11" s="15">
        <v>50</v>
      </c>
    </row>
    <row r="12" spans="1:26" ht="14.25" customHeight="1" x14ac:dyDescent="0.3">
      <c r="A12" s="3">
        <v>10</v>
      </c>
      <c r="B12" s="16">
        <v>9.9999760000000002</v>
      </c>
      <c r="C12" s="13">
        <v>8.0000000000000002E-3</v>
      </c>
      <c r="E12" s="3">
        <v>100</v>
      </c>
      <c r="F12" s="20">
        <v>99.999610000000004</v>
      </c>
      <c r="G12" s="13">
        <v>0.16</v>
      </c>
      <c r="I12" s="14" t="s">
        <v>59</v>
      </c>
      <c r="J12" s="14">
        <v>19999.831999999999</v>
      </c>
      <c r="K12" s="14">
        <v>45</v>
      </c>
      <c r="M12" s="188">
        <v>0.2</v>
      </c>
      <c r="N12" s="192">
        <v>0.20000899999999999</v>
      </c>
      <c r="O12" s="189">
        <v>5.0000000000000001E-3</v>
      </c>
      <c r="Q12" s="15" t="s">
        <v>15</v>
      </c>
      <c r="R12" s="15">
        <v>0.03</v>
      </c>
      <c r="S12" s="15">
        <v>0.1</v>
      </c>
      <c r="T12" s="15">
        <v>0.3</v>
      </c>
      <c r="U12" s="15">
        <v>1</v>
      </c>
      <c r="V12" s="15">
        <v>3</v>
      </c>
      <c r="W12" s="15">
        <v>10</v>
      </c>
      <c r="X12" s="15">
        <v>30</v>
      </c>
    </row>
    <row r="13" spans="1:26" ht="14.25" customHeight="1" x14ac:dyDescent="0.3">
      <c r="A13" s="3">
        <v>5</v>
      </c>
      <c r="B13" s="21">
        <v>5.000006</v>
      </c>
      <c r="C13" s="13">
        <v>7.0000000000000001E-3</v>
      </c>
      <c r="E13" s="3">
        <v>50</v>
      </c>
      <c r="F13" s="20">
        <v>49.999560000000002</v>
      </c>
      <c r="G13" s="13">
        <v>0.1</v>
      </c>
      <c r="I13" s="14" t="s">
        <v>60</v>
      </c>
      <c r="J13" s="14">
        <v>19999.933999999997</v>
      </c>
      <c r="K13" s="14">
        <v>45</v>
      </c>
      <c r="M13" s="188" t="s">
        <v>267</v>
      </c>
      <c r="N13" s="189">
        <v>0.20000200000000001</v>
      </c>
      <c r="O13" s="189">
        <v>5.0000000000000001E-3</v>
      </c>
      <c r="Q13" s="15" t="s">
        <v>16</v>
      </c>
      <c r="R13" s="15">
        <v>2.5000000000000001E-2</v>
      </c>
      <c r="S13" s="15">
        <v>0.08</v>
      </c>
      <c r="T13" s="15">
        <v>0.25</v>
      </c>
      <c r="U13" s="15">
        <v>0.8</v>
      </c>
      <c r="V13" s="15">
        <v>2.5</v>
      </c>
      <c r="W13" s="15">
        <v>8</v>
      </c>
      <c r="X13" s="15">
        <v>25</v>
      </c>
    </row>
    <row r="14" spans="1:26" ht="14.25" customHeight="1" x14ac:dyDescent="0.3">
      <c r="A14" s="3">
        <v>2</v>
      </c>
      <c r="B14" s="13">
        <v>2.000013</v>
      </c>
      <c r="C14" s="13">
        <v>5.0000000000000001E-3</v>
      </c>
      <c r="E14" s="3">
        <v>20</v>
      </c>
      <c r="F14" s="22">
        <v>20.00001</v>
      </c>
      <c r="G14" s="13">
        <v>0.08</v>
      </c>
      <c r="I14" s="14" t="s">
        <v>61</v>
      </c>
      <c r="J14" s="14">
        <v>19999.844999999998</v>
      </c>
      <c r="K14" s="14">
        <v>45</v>
      </c>
      <c r="M14" s="188">
        <v>0.5</v>
      </c>
      <c r="N14" s="189">
        <v>0.50000599999999995</v>
      </c>
      <c r="O14" s="189">
        <v>6.0000000000000001E-3</v>
      </c>
      <c r="Q14" s="15" t="s">
        <v>17</v>
      </c>
      <c r="R14" s="15">
        <v>0.02</v>
      </c>
      <c r="S14" s="15">
        <v>0.06</v>
      </c>
      <c r="T14" s="15">
        <v>0.2</v>
      </c>
      <c r="U14" s="15">
        <v>0.6</v>
      </c>
      <c r="V14" s="15">
        <v>2</v>
      </c>
      <c r="W14" s="15">
        <v>6</v>
      </c>
      <c r="X14" s="15">
        <v>20</v>
      </c>
    </row>
    <row r="15" spans="1:26" ht="14.25" customHeight="1" x14ac:dyDescent="0.3">
      <c r="A15" s="3" t="s">
        <v>37</v>
      </c>
      <c r="B15" s="13">
        <v>2.0000149999999999</v>
      </c>
      <c r="C15" s="13">
        <v>5.0000000000000001E-3</v>
      </c>
      <c r="E15" s="3" t="s">
        <v>36</v>
      </c>
      <c r="F15" s="22">
        <v>20.000039999999998</v>
      </c>
      <c r="G15" s="13">
        <v>0.08</v>
      </c>
      <c r="I15" s="14" t="s">
        <v>62</v>
      </c>
      <c r="J15" s="14">
        <v>20000.802</v>
      </c>
      <c r="K15" s="14">
        <v>45</v>
      </c>
      <c r="M15" s="188">
        <v>1</v>
      </c>
      <c r="N15" s="189">
        <v>1.000016</v>
      </c>
      <c r="O15" s="189">
        <v>7.0000000000000001E-3</v>
      </c>
      <c r="Q15" s="15" t="s">
        <v>18</v>
      </c>
      <c r="R15" s="15">
        <v>1.4999999999999999E-2</v>
      </c>
      <c r="S15" s="15">
        <v>0.05</v>
      </c>
      <c r="T15" s="15">
        <v>0.15</v>
      </c>
      <c r="U15" s="15">
        <v>0.5</v>
      </c>
      <c r="V15" s="15">
        <v>1.5</v>
      </c>
      <c r="W15" s="15">
        <v>5</v>
      </c>
      <c r="X15" s="15">
        <v>15</v>
      </c>
    </row>
    <row r="16" spans="1:26" ht="14.25" customHeight="1" x14ac:dyDescent="0.3">
      <c r="A16" s="3">
        <v>1</v>
      </c>
      <c r="B16" s="13">
        <v>0.99999700000000002</v>
      </c>
      <c r="C16" s="13">
        <v>5.0000000000000001E-3</v>
      </c>
      <c r="E16" s="3">
        <v>10</v>
      </c>
      <c r="F16" s="20">
        <v>10.00001</v>
      </c>
      <c r="G16" s="13">
        <v>0.06</v>
      </c>
      <c r="I16" s="14" t="s">
        <v>63</v>
      </c>
      <c r="J16" s="14">
        <v>19999.575000000001</v>
      </c>
      <c r="K16" s="14">
        <v>45</v>
      </c>
      <c r="M16" s="188">
        <v>2</v>
      </c>
      <c r="N16" s="193">
        <v>1.999992</v>
      </c>
      <c r="O16" s="193">
        <v>8.9999999999999993E-3</v>
      </c>
      <c r="Q16" s="15" t="s">
        <v>19</v>
      </c>
      <c r="R16" s="15">
        <v>1.2E-2</v>
      </c>
      <c r="S16" s="15">
        <v>0.04</v>
      </c>
      <c r="T16" s="15">
        <v>0.12</v>
      </c>
      <c r="U16" s="15">
        <v>0.4</v>
      </c>
      <c r="V16" s="15">
        <v>1.2</v>
      </c>
      <c r="W16" s="15">
        <v>4</v>
      </c>
      <c r="X16" s="15">
        <v>12</v>
      </c>
    </row>
    <row r="17" spans="1:24" ht="14.25" customHeight="1" x14ac:dyDescent="0.3">
      <c r="A17" s="3">
        <v>0.5</v>
      </c>
      <c r="B17" s="14">
        <v>0.50001799999999996</v>
      </c>
      <c r="C17" s="14">
        <v>4.0000000000000001E-3</v>
      </c>
      <c r="E17" s="3">
        <v>5</v>
      </c>
      <c r="F17" s="20">
        <v>4.9999399999999996</v>
      </c>
      <c r="G17" s="13">
        <v>0.05</v>
      </c>
      <c r="I17" s="14" t="s">
        <v>64</v>
      </c>
      <c r="J17" s="14">
        <v>20000.328999999998</v>
      </c>
      <c r="K17" s="14">
        <v>45</v>
      </c>
      <c r="M17" s="188" t="s">
        <v>268</v>
      </c>
      <c r="N17" s="193">
        <v>1.9999910000000001</v>
      </c>
      <c r="O17" s="193">
        <v>8.9999999999999993E-3</v>
      </c>
      <c r="Q17" s="15" t="s">
        <v>20</v>
      </c>
      <c r="R17" s="15">
        <v>0.01</v>
      </c>
      <c r="S17" s="15">
        <v>0.03</v>
      </c>
      <c r="T17" s="15">
        <v>0.1</v>
      </c>
      <c r="U17" s="15">
        <v>0.3</v>
      </c>
      <c r="V17" s="15">
        <v>1</v>
      </c>
      <c r="W17" s="15">
        <v>3</v>
      </c>
      <c r="X17" s="15">
        <v>10</v>
      </c>
    </row>
    <row r="18" spans="1:24" ht="14.25" customHeight="1" x14ac:dyDescent="0.3">
      <c r="A18" s="3">
        <v>0.2</v>
      </c>
      <c r="B18" s="14">
        <v>0.200013</v>
      </c>
      <c r="C18" s="14">
        <v>3.0000000000000001E-3</v>
      </c>
      <c r="E18" s="3">
        <v>2</v>
      </c>
      <c r="F18" s="20">
        <v>2</v>
      </c>
      <c r="G18" s="13">
        <v>0.04</v>
      </c>
      <c r="I18" s="14" t="s">
        <v>65</v>
      </c>
      <c r="J18" s="14">
        <v>20000.932000000001</v>
      </c>
      <c r="K18" s="14">
        <v>45</v>
      </c>
      <c r="M18" s="193">
        <v>5</v>
      </c>
      <c r="N18" s="193">
        <v>0.50000599999999995</v>
      </c>
      <c r="O18" s="193">
        <v>1.0999999999999999E-2</v>
      </c>
      <c r="Q18" s="15" t="s">
        <v>21</v>
      </c>
      <c r="R18" s="15">
        <v>8.0000000000000002E-3</v>
      </c>
      <c r="S18" s="15">
        <v>2.5000000000000001E-2</v>
      </c>
      <c r="T18" s="15">
        <v>0.08</v>
      </c>
      <c r="U18" s="15">
        <v>0.25</v>
      </c>
      <c r="V18" s="15">
        <v>0.8</v>
      </c>
      <c r="W18" s="15">
        <v>2.5</v>
      </c>
      <c r="X18" s="15" t="s">
        <v>22</v>
      </c>
    </row>
    <row r="19" spans="1:24" ht="14.25" customHeight="1" x14ac:dyDescent="0.3">
      <c r="A19" s="14" t="s">
        <v>66</v>
      </c>
      <c r="B19" s="14">
        <v>0.200015</v>
      </c>
      <c r="C19" s="14">
        <v>3.0000000000000001E-3</v>
      </c>
      <c r="E19" s="3" t="s">
        <v>37</v>
      </c>
      <c r="F19" s="23">
        <v>1.9999800000000001</v>
      </c>
      <c r="G19" s="13">
        <v>0.04</v>
      </c>
      <c r="I19" s="14" t="s">
        <v>67</v>
      </c>
      <c r="J19" s="14">
        <v>20001.682999999997</v>
      </c>
      <c r="K19" s="14">
        <v>45</v>
      </c>
      <c r="M19" s="188">
        <v>10</v>
      </c>
      <c r="N19" s="193">
        <v>10.000033</v>
      </c>
      <c r="O19" s="193">
        <v>1.4E-2</v>
      </c>
      <c r="Q19" s="15" t="s">
        <v>23</v>
      </c>
      <c r="R19" s="15">
        <v>6.0000000000000001E-3</v>
      </c>
      <c r="S19" s="15">
        <v>0.02</v>
      </c>
      <c r="T19" s="15">
        <v>0.06</v>
      </c>
      <c r="U19" s="15">
        <v>0.2</v>
      </c>
      <c r="V19" s="15">
        <v>0.6</v>
      </c>
      <c r="W19" s="15">
        <v>2</v>
      </c>
      <c r="X19" s="15" t="s">
        <v>22</v>
      </c>
    </row>
    <row r="20" spans="1:24" ht="14.25" customHeight="1" x14ac:dyDescent="0.3">
      <c r="A20" s="3">
        <v>0.1</v>
      </c>
      <c r="B20" s="14">
        <v>0.10000299999999999</v>
      </c>
      <c r="C20" s="14">
        <v>2E-3</v>
      </c>
      <c r="E20" s="3">
        <v>1</v>
      </c>
      <c r="F20" s="23">
        <v>1</v>
      </c>
      <c r="G20" s="13">
        <v>0.03</v>
      </c>
      <c r="I20" s="14" t="s">
        <v>68</v>
      </c>
      <c r="J20" s="14">
        <v>10001.616900000001</v>
      </c>
      <c r="K20" s="14">
        <v>26</v>
      </c>
      <c r="M20" s="194">
        <v>20</v>
      </c>
      <c r="N20" s="194">
        <v>20.000035</v>
      </c>
      <c r="O20" s="194">
        <v>1.7999999999999999E-2</v>
      </c>
      <c r="Q20" s="15" t="s">
        <v>24</v>
      </c>
      <c r="R20" s="15">
        <v>5.0000000000000001E-3</v>
      </c>
      <c r="S20" s="15">
        <v>1.4999999999999999E-2</v>
      </c>
      <c r="T20" s="15">
        <v>0.05</v>
      </c>
      <c r="U20" s="15">
        <v>0.15</v>
      </c>
      <c r="V20" s="15">
        <v>0.5</v>
      </c>
      <c r="W20" s="15">
        <v>1.5</v>
      </c>
      <c r="X20" s="15" t="s">
        <v>22</v>
      </c>
    </row>
    <row r="21" spans="1:24" ht="14.25" customHeight="1" x14ac:dyDescent="0.3">
      <c r="I21" s="14" t="s">
        <v>69</v>
      </c>
      <c r="J21" s="14">
        <v>4998.9960000000001</v>
      </c>
      <c r="K21" s="14">
        <v>5.7</v>
      </c>
      <c r="M21" s="194" t="s">
        <v>269</v>
      </c>
      <c r="N21" s="194">
        <v>20.000038</v>
      </c>
      <c r="O21" s="194">
        <v>1.7999999999999999E-2</v>
      </c>
      <c r="Q21" s="15" t="s">
        <v>25</v>
      </c>
      <c r="R21" s="15">
        <v>4.0000000000000001E-3</v>
      </c>
      <c r="S21" s="15">
        <v>1.2E-2</v>
      </c>
      <c r="T21" s="15">
        <v>0.04</v>
      </c>
      <c r="U21" s="15">
        <v>0.12</v>
      </c>
      <c r="V21" s="15">
        <v>0.4</v>
      </c>
      <c r="W21" s="15" t="s">
        <v>22</v>
      </c>
      <c r="X21" s="15" t="s">
        <v>22</v>
      </c>
    </row>
    <row r="22" spans="1:24" ht="14.25" customHeight="1" x14ac:dyDescent="0.3">
      <c r="I22" s="14" t="s">
        <v>70</v>
      </c>
      <c r="J22" s="14">
        <v>9999.5660000000007</v>
      </c>
      <c r="K22" s="14">
        <v>26</v>
      </c>
      <c r="M22" s="194">
        <v>50</v>
      </c>
      <c r="N22" s="194">
        <v>50.000019999999999</v>
      </c>
      <c r="O22" s="194">
        <v>0.03</v>
      </c>
      <c r="Q22" s="15" t="s">
        <v>26</v>
      </c>
      <c r="R22" s="15">
        <v>3.0000000000000001E-3</v>
      </c>
      <c r="S22" s="15">
        <v>0.01</v>
      </c>
      <c r="T22" s="15">
        <v>0.03</v>
      </c>
      <c r="U22" s="15">
        <v>0.1</v>
      </c>
      <c r="V22" s="15">
        <v>0.3</v>
      </c>
      <c r="W22" s="15" t="s">
        <v>22</v>
      </c>
      <c r="X22" s="15" t="s">
        <v>22</v>
      </c>
    </row>
    <row r="23" spans="1:24" ht="14.25" customHeight="1" x14ac:dyDescent="0.3">
      <c r="B23" s="24" t="s">
        <v>71</v>
      </c>
      <c r="I23" s="14" t="s">
        <v>72</v>
      </c>
      <c r="J23" s="17">
        <v>19999.312000000002</v>
      </c>
      <c r="K23" s="14">
        <v>45</v>
      </c>
      <c r="M23" s="194">
        <v>100</v>
      </c>
      <c r="N23" s="194">
        <v>100.00029000000001</v>
      </c>
      <c r="O23" s="194">
        <v>0.05</v>
      </c>
      <c r="Q23" s="15" t="s">
        <v>27</v>
      </c>
      <c r="R23" s="15">
        <v>2E-3</v>
      </c>
      <c r="S23" s="15">
        <v>8.0000000000000002E-3</v>
      </c>
      <c r="T23" s="15">
        <v>2.5000000000000001E-2</v>
      </c>
      <c r="U23" s="15">
        <v>0.08</v>
      </c>
      <c r="V23" s="15">
        <v>0.25</v>
      </c>
      <c r="W23" s="15" t="s">
        <v>22</v>
      </c>
      <c r="X23" s="15" t="s">
        <v>22</v>
      </c>
    </row>
    <row r="24" spans="1:24" ht="14.25" customHeight="1" x14ac:dyDescent="0.3">
      <c r="B24" s="25" t="s">
        <v>73</v>
      </c>
      <c r="C24" s="25" t="s">
        <v>74</v>
      </c>
      <c r="D24" s="25" t="s">
        <v>75</v>
      </c>
      <c r="I24" s="14" t="s">
        <v>76</v>
      </c>
      <c r="J24" s="17">
        <v>19999.189999999999</v>
      </c>
      <c r="K24" s="14">
        <v>45</v>
      </c>
      <c r="M24" s="194">
        <v>200</v>
      </c>
      <c r="N24" s="194">
        <v>200.00024999999999</v>
      </c>
      <c r="O24" s="194">
        <v>0.08</v>
      </c>
      <c r="Q24" s="15" t="s">
        <v>28</v>
      </c>
      <c r="R24" s="15">
        <v>2E-3</v>
      </c>
      <c r="S24" s="15">
        <v>6.0000000000000001E-3</v>
      </c>
      <c r="T24" s="15">
        <v>0.02</v>
      </c>
      <c r="U24" s="15">
        <v>0.06</v>
      </c>
      <c r="V24" s="15">
        <v>0.2</v>
      </c>
      <c r="W24" s="15" t="s">
        <v>22</v>
      </c>
      <c r="X24" s="15" t="s">
        <v>22</v>
      </c>
    </row>
    <row r="25" spans="1:24" ht="14.25" customHeight="1" x14ac:dyDescent="0.3">
      <c r="B25" s="3" t="s">
        <v>77</v>
      </c>
      <c r="C25" s="26" t="s">
        <v>258</v>
      </c>
      <c r="D25" s="3"/>
      <c r="I25" s="14" t="s">
        <v>78</v>
      </c>
      <c r="J25" s="17">
        <v>19999.069</v>
      </c>
      <c r="K25" s="14">
        <v>45</v>
      </c>
      <c r="M25" s="194" t="s">
        <v>270</v>
      </c>
      <c r="N25" s="194">
        <v>200.00024999999999</v>
      </c>
      <c r="O25" s="194">
        <v>0.08</v>
      </c>
      <c r="Q25" s="15" t="s">
        <v>29</v>
      </c>
      <c r="R25" s="15">
        <v>2E-3</v>
      </c>
      <c r="S25" s="15">
        <v>6.0000000000000001E-3</v>
      </c>
      <c r="T25" s="15">
        <v>0.02</v>
      </c>
      <c r="U25" s="15">
        <v>0.06</v>
      </c>
      <c r="V25" s="15">
        <v>0.2</v>
      </c>
      <c r="W25" s="15" t="s">
        <v>22</v>
      </c>
      <c r="X25" s="15" t="s">
        <v>22</v>
      </c>
    </row>
    <row r="26" spans="1:24" ht="14.25" customHeight="1" x14ac:dyDescent="0.3">
      <c r="B26" s="3" t="s">
        <v>79</v>
      </c>
      <c r="C26" s="160" t="s">
        <v>259</v>
      </c>
      <c r="I26" s="14" t="s">
        <v>80</v>
      </c>
      <c r="J26" s="17">
        <v>19999.281999999999</v>
      </c>
      <c r="K26" s="14">
        <v>45</v>
      </c>
      <c r="M26" s="194">
        <v>500</v>
      </c>
      <c r="N26" s="194">
        <v>500.00074999999998</v>
      </c>
      <c r="O26" s="194">
        <v>0.16</v>
      </c>
      <c r="Q26" s="15" t="s">
        <v>30</v>
      </c>
      <c r="R26" s="15">
        <v>2E-3</v>
      </c>
      <c r="S26" s="15">
        <v>6.0000000000000001E-3</v>
      </c>
      <c r="T26" s="15">
        <v>0.02</v>
      </c>
      <c r="U26" s="15">
        <v>0.06</v>
      </c>
      <c r="V26" s="15">
        <v>0.2</v>
      </c>
      <c r="W26" s="15" t="s">
        <v>22</v>
      </c>
      <c r="X26" s="15" t="s">
        <v>22</v>
      </c>
    </row>
    <row r="27" spans="1:24" ht="14.25" customHeight="1" x14ac:dyDescent="0.3">
      <c r="B27" s="3" t="s">
        <v>81</v>
      </c>
      <c r="C27" s="160" t="s">
        <v>260</v>
      </c>
      <c r="I27" s="14" t="s">
        <v>82</v>
      </c>
      <c r="J27" s="17">
        <v>19999.268</v>
      </c>
      <c r="K27" s="14">
        <v>45</v>
      </c>
      <c r="M27" s="194">
        <v>1000</v>
      </c>
      <c r="N27" s="194">
        <v>1000.00094</v>
      </c>
      <c r="O27" s="194">
        <v>0.16</v>
      </c>
    </row>
    <row r="28" spans="1:24" ht="14.25" customHeight="1" x14ac:dyDescent="0.3">
      <c r="B28" s="3" t="s">
        <v>83</v>
      </c>
      <c r="C28" s="27" t="s">
        <v>84</v>
      </c>
      <c r="I28" s="14" t="s">
        <v>85</v>
      </c>
      <c r="J28" s="17">
        <v>19999.330000000002</v>
      </c>
      <c r="K28" s="14">
        <v>45</v>
      </c>
    </row>
    <row r="29" spans="1:24" ht="14.25" customHeight="1" x14ac:dyDescent="0.3">
      <c r="B29" s="3" t="s">
        <v>86</v>
      </c>
      <c r="C29" s="26" t="s">
        <v>87</v>
      </c>
      <c r="D29" s="3"/>
      <c r="I29" s="14" t="s">
        <v>88</v>
      </c>
      <c r="J29" s="17">
        <v>19999.21</v>
      </c>
      <c r="K29" s="14">
        <v>45</v>
      </c>
    </row>
    <row r="30" spans="1:24" ht="14.25" customHeight="1" x14ac:dyDescent="0.3">
      <c r="B30" s="3" t="s">
        <v>89</v>
      </c>
      <c r="C30" s="26" t="s">
        <v>22</v>
      </c>
      <c r="D30" s="3"/>
      <c r="I30" s="14" t="s">
        <v>90</v>
      </c>
      <c r="J30" s="17">
        <v>20000.486000000001</v>
      </c>
      <c r="K30" s="14">
        <v>45</v>
      </c>
    </row>
    <row r="31" spans="1:24" ht="14.25" customHeight="1" x14ac:dyDescent="0.3">
      <c r="B31" s="3" t="s">
        <v>91</v>
      </c>
      <c r="C31" s="26" t="s">
        <v>118</v>
      </c>
      <c r="D31" s="3"/>
      <c r="I31" s="14" t="s">
        <v>92</v>
      </c>
      <c r="J31" s="17">
        <v>19999.254000000001</v>
      </c>
      <c r="K31" s="14">
        <v>45</v>
      </c>
    </row>
    <row r="32" spans="1:24" ht="14.25" customHeight="1" x14ac:dyDescent="0.3">
      <c r="B32" s="3" t="s">
        <v>93</v>
      </c>
      <c r="C32" s="26">
        <v>124918</v>
      </c>
      <c r="D32" s="3"/>
    </row>
    <row r="33" spans="2:9" ht="14.25" customHeight="1" x14ac:dyDescent="0.3">
      <c r="B33" s="3" t="s">
        <v>94</v>
      </c>
      <c r="C33" s="26" t="s">
        <v>22</v>
      </c>
      <c r="D33" s="3"/>
    </row>
    <row r="34" spans="2:9" ht="14.25" customHeight="1" x14ac:dyDescent="0.3">
      <c r="B34" s="3" t="s">
        <v>95</v>
      </c>
      <c r="C34" s="26">
        <v>20.100000000000001</v>
      </c>
      <c r="D34" s="3" t="s">
        <v>96</v>
      </c>
    </row>
    <row r="35" spans="2:9" ht="14.25" customHeight="1" x14ac:dyDescent="0.3">
      <c r="B35" s="3" t="s">
        <v>97</v>
      </c>
      <c r="C35" s="26">
        <v>20.100000000000001</v>
      </c>
      <c r="D35" s="3" t="s">
        <v>96</v>
      </c>
    </row>
    <row r="36" spans="2:9" ht="14.25" customHeight="1" x14ac:dyDescent="0.3">
      <c r="B36" s="3" t="s">
        <v>98</v>
      </c>
      <c r="C36" s="26">
        <f>AVERAGE(C34,C35)</f>
        <v>20.100000000000001</v>
      </c>
      <c r="D36" s="3" t="s">
        <v>96</v>
      </c>
    </row>
    <row r="37" spans="2:9" ht="14.25" customHeight="1" x14ac:dyDescent="0.3">
      <c r="B37" s="3" t="s">
        <v>99</v>
      </c>
      <c r="C37" s="26">
        <v>60</v>
      </c>
      <c r="D37" s="3" t="s">
        <v>100</v>
      </c>
    </row>
    <row r="38" spans="2:9" ht="14.25" customHeight="1" x14ac:dyDescent="0.3">
      <c r="B38" s="3" t="s">
        <v>101</v>
      </c>
      <c r="C38" s="26">
        <v>60</v>
      </c>
      <c r="D38" s="3" t="s">
        <v>100</v>
      </c>
    </row>
    <row r="39" spans="2:9" ht="14.25" customHeight="1" x14ac:dyDescent="0.3">
      <c r="B39" s="3" t="s">
        <v>102</v>
      </c>
      <c r="C39" s="26">
        <f>AVERAGE(C37,C38)</f>
        <v>60</v>
      </c>
      <c r="D39" s="3" t="s">
        <v>100</v>
      </c>
    </row>
    <row r="40" spans="2:9" ht="14.25" customHeight="1" x14ac:dyDescent="0.3">
      <c r="B40" s="3" t="s">
        <v>103</v>
      </c>
      <c r="C40" s="26">
        <v>922</v>
      </c>
      <c r="D40" s="28" t="s">
        <v>104</v>
      </c>
      <c r="E40" s="29">
        <f t="shared" ref="E40:E42" si="0">C40*H40</f>
        <v>691.55900799999995</v>
      </c>
      <c r="F40" s="27" t="s">
        <v>105</v>
      </c>
      <c r="G40" s="27" t="s">
        <v>106</v>
      </c>
      <c r="H40" s="30">
        <v>0.75006399999999995</v>
      </c>
      <c r="I40" s="27" t="s">
        <v>105</v>
      </c>
    </row>
    <row r="41" spans="2:9" ht="14.25" customHeight="1" x14ac:dyDescent="0.3">
      <c r="B41" s="3" t="s">
        <v>107</v>
      </c>
      <c r="C41" s="26">
        <v>922</v>
      </c>
      <c r="D41" s="28" t="s">
        <v>104</v>
      </c>
      <c r="E41" s="29">
        <f t="shared" si="0"/>
        <v>691.55900799999995</v>
      </c>
      <c r="F41" s="27" t="s">
        <v>105</v>
      </c>
      <c r="G41" s="27" t="s">
        <v>106</v>
      </c>
      <c r="H41" s="30">
        <v>0.75006399999999995</v>
      </c>
      <c r="I41" s="27" t="s">
        <v>105</v>
      </c>
    </row>
    <row r="42" spans="2:9" ht="14.25" customHeight="1" x14ac:dyDescent="0.3">
      <c r="B42" s="3" t="s">
        <v>108</v>
      </c>
      <c r="C42" s="26">
        <f>AVERAGE(C40:C41)</f>
        <v>922</v>
      </c>
      <c r="D42" s="28" t="s">
        <v>104</v>
      </c>
      <c r="E42" s="29">
        <f t="shared" si="0"/>
        <v>691.55900799999995</v>
      </c>
      <c r="F42" s="27" t="s">
        <v>105</v>
      </c>
      <c r="G42" s="27" t="s">
        <v>106</v>
      </c>
      <c r="H42" s="30">
        <v>0.75006399999999995</v>
      </c>
      <c r="I42" s="27" t="s">
        <v>105</v>
      </c>
    </row>
    <row r="43" spans="2:9" ht="14.25" customHeight="1" x14ac:dyDescent="0.3">
      <c r="B43" s="3" t="s">
        <v>109</v>
      </c>
      <c r="C43" s="31" t="s">
        <v>261</v>
      </c>
      <c r="E43" s="32" t="s">
        <v>110</v>
      </c>
    </row>
    <row r="44" spans="2:9" ht="14.25" customHeight="1" x14ac:dyDescent="0.3">
      <c r="B44" s="3" t="s">
        <v>111</v>
      </c>
      <c r="C44" s="33" t="s">
        <v>261</v>
      </c>
      <c r="D44" s="3"/>
      <c r="E44" s="32" t="s">
        <v>110</v>
      </c>
    </row>
    <row r="45" spans="2:9" ht="14.25" customHeight="1" x14ac:dyDescent="0.3">
      <c r="B45" s="3" t="s">
        <v>112</v>
      </c>
      <c r="C45" s="26">
        <v>2000</v>
      </c>
      <c r="D45" s="3" t="s">
        <v>113</v>
      </c>
    </row>
    <row r="46" spans="2:9" ht="14.25" customHeight="1" x14ac:dyDescent="0.3">
      <c r="B46" s="34" t="s">
        <v>114</v>
      </c>
      <c r="C46" s="3"/>
      <c r="D46" s="3"/>
    </row>
    <row r="47" spans="2:9" ht="14.25" customHeight="1" x14ac:dyDescent="0.3">
      <c r="B47" s="3" t="s">
        <v>115</v>
      </c>
      <c r="C47" s="26">
        <v>1E-3</v>
      </c>
      <c r="D47" s="3" t="s">
        <v>113</v>
      </c>
    </row>
    <row r="48" spans="2:9" ht="14.25" customHeight="1" x14ac:dyDescent="0.3">
      <c r="B48" s="3" t="s">
        <v>116</v>
      </c>
      <c r="C48" s="26">
        <v>90803270</v>
      </c>
      <c r="D48" s="3"/>
    </row>
    <row r="49" spans="1:7" ht="14.25" customHeight="1" x14ac:dyDescent="0.3">
      <c r="B49" s="3" t="s">
        <v>117</v>
      </c>
      <c r="C49" s="26" t="s">
        <v>271</v>
      </c>
      <c r="D49" s="3"/>
      <c r="E49" s="27" t="s">
        <v>119</v>
      </c>
    </row>
    <row r="50" spans="1:7" ht="14.25" customHeight="1" x14ac:dyDescent="0.3">
      <c r="B50" s="3" t="s">
        <v>120</v>
      </c>
      <c r="C50" s="26" t="s">
        <v>297</v>
      </c>
      <c r="D50" s="3"/>
    </row>
    <row r="51" spans="1:7" ht="14.25" customHeight="1" x14ac:dyDescent="0.3">
      <c r="B51" s="3" t="s">
        <v>93</v>
      </c>
      <c r="C51" s="26" t="s">
        <v>298</v>
      </c>
      <c r="D51" s="3"/>
    </row>
    <row r="52" spans="1:7" ht="14.25" customHeight="1" x14ac:dyDescent="0.3">
      <c r="B52" s="3" t="s">
        <v>121</v>
      </c>
      <c r="C52" s="35">
        <f>B3</f>
        <v>1999.9985200000001</v>
      </c>
      <c r="D52" s="3" t="s">
        <v>113</v>
      </c>
    </row>
    <row r="53" spans="1:7" ht="14.25" customHeight="1" x14ac:dyDescent="0.3">
      <c r="B53" s="3" t="s">
        <v>122</v>
      </c>
      <c r="C53" s="36">
        <f>C3</f>
        <v>0.32</v>
      </c>
      <c r="D53" s="3" t="s">
        <v>123</v>
      </c>
    </row>
    <row r="54" spans="1:7" ht="14.25" customHeight="1" x14ac:dyDescent="0.3"/>
    <row r="55" spans="1:7" ht="14.25" customHeight="1" x14ac:dyDescent="0.3">
      <c r="A55" s="37"/>
      <c r="B55" s="38" t="s">
        <v>124</v>
      </c>
      <c r="C55" s="39" t="s">
        <v>125</v>
      </c>
      <c r="D55" s="39" t="s">
        <v>126</v>
      </c>
      <c r="E55" s="39" t="s">
        <v>127</v>
      </c>
      <c r="F55" s="39" t="s">
        <v>128</v>
      </c>
      <c r="G55" s="40" t="s">
        <v>129</v>
      </c>
    </row>
    <row r="56" spans="1:7" ht="14.25" customHeight="1" x14ac:dyDescent="0.3">
      <c r="A56" s="41"/>
      <c r="B56" s="42" t="s">
        <v>130</v>
      </c>
      <c r="C56" s="43" t="s">
        <v>130</v>
      </c>
      <c r="D56" s="43" t="s">
        <v>130</v>
      </c>
      <c r="E56" s="43" t="s">
        <v>130</v>
      </c>
      <c r="F56" s="43" t="s">
        <v>130</v>
      </c>
      <c r="G56" s="44" t="s">
        <v>113</v>
      </c>
    </row>
    <row r="57" spans="1:7" ht="14.25" customHeight="1" x14ac:dyDescent="0.3">
      <c r="A57" s="37" t="s">
        <v>131</v>
      </c>
      <c r="B57" s="182">
        <v>2000.0260000000001</v>
      </c>
      <c r="C57" s="46"/>
      <c r="D57" s="46"/>
      <c r="E57" s="46"/>
      <c r="F57" s="46"/>
      <c r="G57" s="47"/>
    </row>
    <row r="58" spans="1:7" ht="14.25" customHeight="1" x14ac:dyDescent="0.3">
      <c r="A58" s="28" t="s">
        <v>132</v>
      </c>
      <c r="B58" s="183">
        <v>2000.03</v>
      </c>
      <c r="G58" s="49">
        <f>B58-B57</f>
        <v>3.9999999999054126E-3</v>
      </c>
    </row>
    <row r="59" spans="1:7" ht="14.25" customHeight="1" x14ac:dyDescent="0.3">
      <c r="A59" s="28" t="s">
        <v>133</v>
      </c>
      <c r="B59" s="183">
        <v>2000.0409999999999</v>
      </c>
      <c r="G59" s="47"/>
    </row>
    <row r="60" spans="1:7" ht="14.25" customHeight="1" x14ac:dyDescent="0.3">
      <c r="A60" s="28" t="s">
        <v>134</v>
      </c>
      <c r="B60" s="183">
        <v>2000.0340000000001</v>
      </c>
      <c r="G60" s="49">
        <f>B59-B60</f>
        <v>6.999999999834472E-3</v>
      </c>
    </row>
    <row r="61" spans="1:7" ht="14.25" customHeight="1" x14ac:dyDescent="0.3">
      <c r="A61" s="28" t="s">
        <v>135</v>
      </c>
      <c r="B61" s="50"/>
      <c r="C61" s="184">
        <v>2000.0309999999999</v>
      </c>
      <c r="G61" s="47"/>
    </row>
    <row r="62" spans="1:7" ht="14.25" customHeight="1" x14ac:dyDescent="0.3">
      <c r="A62" s="28" t="s">
        <v>136</v>
      </c>
      <c r="B62" s="50"/>
      <c r="C62" s="185">
        <v>2000.039</v>
      </c>
      <c r="G62" s="47">
        <f>C62-C61</f>
        <v>8.0000000000381988E-3</v>
      </c>
    </row>
    <row r="63" spans="1:7" ht="14.25" customHeight="1" x14ac:dyDescent="0.3">
      <c r="A63" s="28" t="s">
        <v>137</v>
      </c>
      <c r="B63" s="50"/>
      <c r="C63" s="185">
        <v>2000.039</v>
      </c>
      <c r="G63" s="47"/>
    </row>
    <row r="64" spans="1:7" ht="14.25" customHeight="1" x14ac:dyDescent="0.3">
      <c r="A64" s="28" t="s">
        <v>138</v>
      </c>
      <c r="B64" s="50"/>
      <c r="C64" s="185">
        <v>2000.0340000000001</v>
      </c>
      <c r="G64" s="47">
        <f>C63-C64</f>
        <v>4.9999999998817657E-3</v>
      </c>
    </row>
    <row r="65" spans="1:19" ht="14.25" customHeight="1" x14ac:dyDescent="0.3">
      <c r="A65" s="28" t="s">
        <v>139</v>
      </c>
      <c r="B65" s="50"/>
      <c r="D65" s="185">
        <v>2000.03</v>
      </c>
      <c r="G65" s="47"/>
    </row>
    <row r="66" spans="1:19" ht="14.25" customHeight="1" x14ac:dyDescent="0.3">
      <c r="A66" s="28" t="s">
        <v>140</v>
      </c>
      <c r="B66" s="50"/>
      <c r="D66" s="185">
        <v>2000.04</v>
      </c>
      <c r="G66" s="47">
        <f>D66-D65</f>
        <v>9.9999999999909051E-3</v>
      </c>
    </row>
    <row r="67" spans="1:19" ht="14.25" customHeight="1" x14ac:dyDescent="0.3">
      <c r="A67" s="28" t="s">
        <v>141</v>
      </c>
      <c r="B67" s="50"/>
      <c r="D67" s="185">
        <v>2000.037</v>
      </c>
      <c r="G67" s="47"/>
    </row>
    <row r="68" spans="1:19" ht="14.25" customHeight="1" x14ac:dyDescent="0.3">
      <c r="A68" s="28" t="s">
        <v>142</v>
      </c>
      <c r="B68" s="50"/>
      <c r="D68" s="185">
        <v>2000.0309999999999</v>
      </c>
      <c r="G68" s="47">
        <f>D67-D68</f>
        <v>6.0000000000854925E-3</v>
      </c>
    </row>
    <row r="69" spans="1:19" ht="14.25" customHeight="1" x14ac:dyDescent="0.3">
      <c r="A69" s="28" t="s">
        <v>143</v>
      </c>
      <c r="B69" s="50"/>
      <c r="E69" s="185">
        <v>2000.0319999999999</v>
      </c>
      <c r="G69" s="47"/>
    </row>
    <row r="70" spans="1:19" ht="14.25" customHeight="1" x14ac:dyDescent="0.3">
      <c r="A70" s="28" t="s">
        <v>144</v>
      </c>
      <c r="B70" s="50"/>
      <c r="E70" s="185">
        <v>2000.04</v>
      </c>
      <c r="G70" s="47">
        <f>E70-E69</f>
        <v>8.0000000000381988E-3</v>
      </c>
    </row>
    <row r="71" spans="1:19" ht="14.25" customHeight="1" x14ac:dyDescent="0.3">
      <c r="A71" s="28" t="s">
        <v>145</v>
      </c>
      <c r="B71" s="50"/>
      <c r="E71" s="185">
        <v>2000.039</v>
      </c>
      <c r="G71" s="47"/>
    </row>
    <row r="72" spans="1:19" ht="14.25" customHeight="1" x14ac:dyDescent="0.3">
      <c r="A72" s="28" t="s">
        <v>146</v>
      </c>
      <c r="B72" s="50"/>
      <c r="E72" s="185">
        <v>2000.0319999999999</v>
      </c>
      <c r="G72" s="47">
        <f>E71-E72</f>
        <v>7.0000000000618456E-3</v>
      </c>
    </row>
    <row r="73" spans="1:19" ht="14.25" customHeight="1" x14ac:dyDescent="0.3">
      <c r="A73" s="28" t="s">
        <v>147</v>
      </c>
      <c r="B73" s="50"/>
      <c r="F73" s="185">
        <v>2000.0309999999999</v>
      </c>
      <c r="G73" s="47"/>
    </row>
    <row r="74" spans="1:19" ht="14.25" customHeight="1" x14ac:dyDescent="0.3">
      <c r="A74" s="28" t="s">
        <v>148</v>
      </c>
      <c r="B74" s="50"/>
      <c r="F74" s="185">
        <v>2000.0350000000001</v>
      </c>
      <c r="G74" s="47">
        <f>F74-F73</f>
        <v>4.0000000001327862E-3</v>
      </c>
    </row>
    <row r="75" spans="1:19" ht="14.25" customHeight="1" x14ac:dyDescent="0.3">
      <c r="A75" s="28" t="s">
        <v>149</v>
      </c>
      <c r="B75" s="50"/>
      <c r="F75" s="185">
        <v>2000.037</v>
      </c>
      <c r="G75" s="47"/>
    </row>
    <row r="76" spans="1:19" ht="14.25" customHeight="1" x14ac:dyDescent="0.3">
      <c r="A76" s="41" t="s">
        <v>150</v>
      </c>
      <c r="B76" s="51"/>
      <c r="C76" s="52"/>
      <c r="D76" s="52"/>
      <c r="E76" s="52"/>
      <c r="F76" s="186">
        <v>2000.0319999999999</v>
      </c>
      <c r="G76" s="53">
        <f>F75-F76</f>
        <v>5.0000000001091394E-3</v>
      </c>
    </row>
    <row r="77" spans="1:19" ht="14.25" customHeight="1" x14ac:dyDescent="0.3">
      <c r="F77" s="3"/>
      <c r="G77" s="3"/>
    </row>
    <row r="78" spans="1:19" ht="14.25" customHeight="1" x14ac:dyDescent="0.3">
      <c r="F78" s="3" t="s">
        <v>151</v>
      </c>
      <c r="G78" s="3">
        <f>AVERAGE(G57:G76)</f>
        <v>6.4000000000078213E-3</v>
      </c>
      <c r="H78" s="27" t="s">
        <v>113</v>
      </c>
    </row>
    <row r="79" spans="1:19" ht="14.25" customHeight="1" x14ac:dyDescent="0.3">
      <c r="F79" s="3"/>
      <c r="G79" s="3"/>
    </row>
    <row r="80" spans="1:19" ht="14.25" customHeight="1" x14ac:dyDescent="0.3">
      <c r="F80" s="3" t="s">
        <v>152</v>
      </c>
      <c r="G80" s="3">
        <f>STDEVP(G57:G76)</f>
        <v>1.8547236990945116E-3</v>
      </c>
      <c r="H80" s="27" t="s">
        <v>113</v>
      </c>
      <c r="K80" s="54"/>
      <c r="M80" s="54"/>
      <c r="R80" s="54"/>
      <c r="S80" s="54"/>
    </row>
    <row r="81" spans="2:12" ht="14.25" customHeight="1" x14ac:dyDescent="0.3">
      <c r="F81" s="3"/>
      <c r="G81" s="3"/>
    </row>
    <row r="82" spans="2:12" ht="14.25" customHeight="1" x14ac:dyDescent="0.3">
      <c r="F82" s="3" t="s">
        <v>153</v>
      </c>
      <c r="G82" s="3">
        <f>(0.82*C47)/2</f>
        <v>4.0999999999999999E-4</v>
      </c>
      <c r="H82" s="27" t="s">
        <v>113</v>
      </c>
      <c r="I82" s="55"/>
    </row>
    <row r="83" spans="2:12" ht="14.25" customHeight="1" x14ac:dyDescent="0.3">
      <c r="F83" s="3"/>
      <c r="G83" s="3"/>
    </row>
    <row r="84" spans="2:12" ht="14.25" customHeight="1" x14ac:dyDescent="0.3">
      <c r="F84" s="3" t="s">
        <v>154</v>
      </c>
      <c r="G84" s="56">
        <f>C52+G78</f>
        <v>2000.0049200000001</v>
      </c>
      <c r="H84" s="27" t="s">
        <v>113</v>
      </c>
    </row>
    <row r="85" spans="2:12" ht="14.25" customHeight="1" x14ac:dyDescent="0.3">
      <c r="G85" s="57">
        <f>G84</f>
        <v>2000.0049200000001</v>
      </c>
    </row>
    <row r="86" spans="2:12" ht="14.25" customHeight="1" x14ac:dyDescent="0.3">
      <c r="F86" s="27" t="s">
        <v>155</v>
      </c>
      <c r="G86" s="27">
        <f>IF(G80&gt;G82,G80,G82)</f>
        <v>1.8547236990945116E-3</v>
      </c>
    </row>
    <row r="87" spans="2:12" ht="14.25" customHeight="1" x14ac:dyDescent="0.3"/>
    <row r="88" spans="2:12" ht="14.25" customHeight="1" x14ac:dyDescent="0.3">
      <c r="B88" s="58" t="s">
        <v>156</v>
      </c>
      <c r="C88" s="58"/>
      <c r="D88" s="58"/>
      <c r="E88" s="58"/>
      <c r="F88" s="58"/>
      <c r="G88" s="59"/>
      <c r="H88" s="59"/>
      <c r="I88" s="59"/>
      <c r="J88" s="59"/>
      <c r="K88" s="59"/>
      <c r="L88" s="59"/>
    </row>
    <row r="89" spans="2:12" ht="14.25" customHeight="1" x14ac:dyDescent="0.3">
      <c r="B89" s="60" t="s">
        <v>157</v>
      </c>
      <c r="C89" s="60" t="s">
        <v>158</v>
      </c>
      <c r="D89" s="61"/>
      <c r="E89" s="62"/>
      <c r="F89" s="61"/>
      <c r="G89" s="59"/>
      <c r="H89" s="59"/>
      <c r="I89" s="59"/>
      <c r="J89" s="59"/>
      <c r="K89" s="59"/>
      <c r="L89" s="59"/>
    </row>
    <row r="90" spans="2:12" ht="14.25" customHeight="1" x14ac:dyDescent="0.3">
      <c r="B90" s="59" t="s">
        <v>159</v>
      </c>
      <c r="C90" s="59" t="s">
        <v>160</v>
      </c>
      <c r="D90" s="59"/>
      <c r="E90" s="63"/>
      <c r="F90" s="59"/>
      <c r="G90" s="59"/>
      <c r="H90" s="59"/>
      <c r="I90" s="59"/>
      <c r="J90" s="59"/>
      <c r="K90" s="64"/>
      <c r="L90" s="65"/>
    </row>
    <row r="91" spans="2:12" ht="14.25" customHeight="1" x14ac:dyDescent="0.3">
      <c r="B91" s="59" t="s">
        <v>161</v>
      </c>
      <c r="C91" s="59" t="s">
        <v>162</v>
      </c>
      <c r="D91" s="59"/>
      <c r="E91" s="63"/>
      <c r="F91" s="59"/>
      <c r="G91" s="59"/>
      <c r="H91" s="59"/>
      <c r="I91" s="59"/>
      <c r="J91" s="59"/>
      <c r="K91" s="64"/>
      <c r="L91" s="65"/>
    </row>
    <row r="92" spans="2:12" ht="14.25" customHeight="1" x14ac:dyDescent="0.3">
      <c r="B92" s="59" t="s">
        <v>163</v>
      </c>
      <c r="C92" s="59">
        <f>C45</f>
        <v>2000</v>
      </c>
      <c r="D92" s="60" t="s">
        <v>113</v>
      </c>
      <c r="E92" s="66"/>
      <c r="F92" s="59" t="s">
        <v>287</v>
      </c>
      <c r="G92" s="59">
        <f>S7</f>
        <v>3</v>
      </c>
      <c r="H92" s="59" t="s">
        <v>123</v>
      </c>
      <c r="I92" s="59"/>
      <c r="J92" s="59"/>
      <c r="K92" s="59"/>
      <c r="L92" s="59"/>
    </row>
    <row r="93" spans="2:12" ht="14.25" customHeight="1" x14ac:dyDescent="0.3">
      <c r="B93" s="59" t="s">
        <v>165</v>
      </c>
      <c r="C93" s="59"/>
      <c r="D93" s="59"/>
      <c r="E93" s="63"/>
      <c r="F93" s="59"/>
      <c r="G93" s="59"/>
      <c r="H93" s="59"/>
      <c r="I93" s="59"/>
      <c r="J93" s="59"/>
      <c r="K93" s="59"/>
      <c r="L93" s="59"/>
    </row>
    <row r="94" spans="2:12" ht="14.25" customHeight="1" x14ac:dyDescent="0.3">
      <c r="B94" s="59"/>
      <c r="C94" s="59"/>
      <c r="D94" s="59"/>
      <c r="E94" s="63"/>
      <c r="F94" s="59"/>
      <c r="G94" s="59"/>
      <c r="H94" s="59"/>
      <c r="I94" s="59"/>
      <c r="J94" s="59"/>
      <c r="K94" s="59"/>
      <c r="L94" s="59"/>
    </row>
    <row r="95" spans="2:12" ht="14.25" customHeight="1" x14ac:dyDescent="0.3">
      <c r="B95" s="67" t="s">
        <v>166</v>
      </c>
      <c r="C95" s="67" t="s">
        <v>75</v>
      </c>
      <c r="D95" s="67" t="s">
        <v>167</v>
      </c>
      <c r="E95" s="67" t="s">
        <v>168</v>
      </c>
      <c r="F95" s="67" t="s">
        <v>169</v>
      </c>
      <c r="G95" s="67" t="s">
        <v>170</v>
      </c>
      <c r="H95" s="68" t="s">
        <v>171</v>
      </c>
      <c r="I95" s="67" t="s">
        <v>172</v>
      </c>
      <c r="J95" s="68" t="s">
        <v>173</v>
      </c>
      <c r="K95" s="68" t="s">
        <v>174</v>
      </c>
      <c r="L95" s="67" t="s">
        <v>175</v>
      </c>
    </row>
    <row r="96" spans="2:12" ht="14.25" customHeight="1" x14ac:dyDescent="0.3">
      <c r="B96" s="69">
        <v>1</v>
      </c>
      <c r="C96" s="69">
        <v>2</v>
      </c>
      <c r="D96" s="69">
        <v>3</v>
      </c>
      <c r="E96" s="69">
        <v>4</v>
      </c>
      <c r="F96" s="69">
        <v>5</v>
      </c>
      <c r="G96" s="69">
        <v>6</v>
      </c>
      <c r="H96" s="69">
        <v>7</v>
      </c>
      <c r="I96" s="69">
        <v>8</v>
      </c>
      <c r="J96" s="69">
        <v>9</v>
      </c>
      <c r="K96" s="69">
        <v>10</v>
      </c>
      <c r="L96" s="69">
        <v>11</v>
      </c>
    </row>
    <row r="97" spans="2:12" ht="14.25" customHeight="1" x14ac:dyDescent="0.3">
      <c r="B97" s="70" t="s">
        <v>176</v>
      </c>
      <c r="C97" s="71" t="s">
        <v>123</v>
      </c>
      <c r="D97" s="71" t="s">
        <v>177</v>
      </c>
      <c r="E97" s="72">
        <f>C53</f>
        <v>0.32</v>
      </c>
      <c r="F97" s="71">
        <v>2</v>
      </c>
      <c r="G97" s="71">
        <v>60</v>
      </c>
      <c r="H97" s="71">
        <f t="shared" ref="H97:H101" si="1">E97/F97</f>
        <v>0.16</v>
      </c>
      <c r="I97" s="71">
        <v>1</v>
      </c>
      <c r="J97" s="71">
        <f t="shared" ref="J97:J101" si="2">H97*I97</f>
        <v>0.16</v>
      </c>
      <c r="K97" s="71">
        <f t="shared" ref="K97:K101" si="3">J97^2</f>
        <v>2.5600000000000001E-2</v>
      </c>
      <c r="L97" s="71">
        <f t="shared" ref="L97:L101" si="4">J97^4/G97</f>
        <v>1.0922666666666666E-5</v>
      </c>
    </row>
    <row r="98" spans="2:12" ht="14.25" customHeight="1" x14ac:dyDescent="0.3">
      <c r="B98" s="73" t="s">
        <v>178</v>
      </c>
      <c r="C98" s="71" t="s">
        <v>123</v>
      </c>
      <c r="D98" s="74" t="s">
        <v>179</v>
      </c>
      <c r="E98" s="75">
        <f>(G86*1000)/SQRT(10)</f>
        <v>0.58651513194314331</v>
      </c>
      <c r="F98" s="74">
        <v>1</v>
      </c>
      <c r="G98" s="74">
        <f>IF(G80&gt;G82,9,1000)</f>
        <v>9</v>
      </c>
      <c r="H98" s="74">
        <f t="shared" si="1"/>
        <v>0.58651513194314331</v>
      </c>
      <c r="I98" s="74">
        <v>1</v>
      </c>
      <c r="J98" s="74">
        <f t="shared" si="2"/>
        <v>0.58651513194314331</v>
      </c>
      <c r="K98" s="74">
        <f t="shared" si="3"/>
        <v>0.34399999999828279</v>
      </c>
      <c r="L98" s="74">
        <f t="shared" si="4"/>
        <v>1.3148444444313174E-2</v>
      </c>
    </row>
    <row r="99" spans="2:12" ht="14.25" customHeight="1" x14ac:dyDescent="0.3">
      <c r="B99" s="76" t="s">
        <v>180</v>
      </c>
      <c r="C99" s="71" t="s">
        <v>123</v>
      </c>
      <c r="D99" s="77" t="s">
        <v>179</v>
      </c>
      <c r="E99" s="77">
        <v>0.05</v>
      </c>
      <c r="F99" s="77">
        <f>SQRT(3)</f>
        <v>1.7320508075688772</v>
      </c>
      <c r="G99" s="77">
        <v>1000</v>
      </c>
      <c r="H99" s="77">
        <f t="shared" si="1"/>
        <v>2.8867513459481291E-2</v>
      </c>
      <c r="I99" s="77">
        <v>1</v>
      </c>
      <c r="J99" s="77">
        <f t="shared" si="2"/>
        <v>2.8867513459481291E-2</v>
      </c>
      <c r="K99" s="77">
        <f t="shared" si="3"/>
        <v>8.333333333333335E-4</v>
      </c>
      <c r="L99" s="77">
        <f t="shared" si="4"/>
        <v>6.944444444444447E-10</v>
      </c>
    </row>
    <row r="100" spans="2:12" ht="14.25" customHeight="1" x14ac:dyDescent="0.3">
      <c r="B100" s="76" t="s">
        <v>181</v>
      </c>
      <c r="C100" s="71" t="s">
        <v>123</v>
      </c>
      <c r="D100" s="77" t="s">
        <v>177</v>
      </c>
      <c r="E100" s="77">
        <f>0.08*G92</f>
        <v>0.24</v>
      </c>
      <c r="F100" s="77">
        <v>1</v>
      </c>
      <c r="G100" s="77">
        <v>4</v>
      </c>
      <c r="H100" s="77">
        <f t="shared" si="1"/>
        <v>0.24</v>
      </c>
      <c r="I100" s="77">
        <v>1</v>
      </c>
      <c r="J100" s="77">
        <f t="shared" si="2"/>
        <v>0.24</v>
      </c>
      <c r="K100" s="77">
        <f t="shared" si="3"/>
        <v>5.7599999999999998E-2</v>
      </c>
      <c r="L100" s="77">
        <f t="shared" si="4"/>
        <v>8.2943999999999997E-4</v>
      </c>
    </row>
    <row r="101" spans="2:12" ht="14.25" customHeight="1" x14ac:dyDescent="0.3">
      <c r="B101" s="78" t="s">
        <v>182</v>
      </c>
      <c r="C101" s="71" t="s">
        <v>123</v>
      </c>
      <c r="D101" s="79" t="s">
        <v>179</v>
      </c>
      <c r="E101" s="79">
        <f>4.5*10^-9*8000*0.114*$C$92</f>
        <v>8.2080000000000018E-3</v>
      </c>
      <c r="F101" s="79">
        <v>1</v>
      </c>
      <c r="G101" s="79">
        <v>1000</v>
      </c>
      <c r="H101" s="79">
        <f t="shared" si="1"/>
        <v>8.2080000000000018E-3</v>
      </c>
      <c r="I101" s="79">
        <v>1</v>
      </c>
      <c r="J101" s="79">
        <f t="shared" si="2"/>
        <v>8.2080000000000018E-3</v>
      </c>
      <c r="K101" s="79">
        <f t="shared" si="3"/>
        <v>6.7371264000000032E-5</v>
      </c>
      <c r="L101" s="79">
        <f t="shared" si="4"/>
        <v>4.5388872129577005E-12</v>
      </c>
    </row>
    <row r="102" spans="2:12" ht="14.25" customHeight="1" x14ac:dyDescent="0.3">
      <c r="B102" s="80" t="s">
        <v>183</v>
      </c>
      <c r="C102" s="81"/>
      <c r="D102" s="81"/>
      <c r="E102" s="82"/>
      <c r="F102" s="81"/>
      <c r="G102" s="81"/>
      <c r="H102" s="81"/>
      <c r="I102" s="83"/>
      <c r="J102" s="84"/>
      <c r="K102" s="85">
        <f t="shared" ref="K102:L102" si="5">SUM(K97:K101)</f>
        <v>0.42810070459561617</v>
      </c>
      <c r="L102" s="71">
        <f t="shared" si="5"/>
        <v>1.3988807809963172E-2</v>
      </c>
    </row>
    <row r="103" spans="2:12" ht="14.25" customHeight="1" x14ac:dyDescent="0.3">
      <c r="B103" s="86" t="s">
        <v>184</v>
      </c>
      <c r="C103" s="87"/>
      <c r="D103" s="87"/>
      <c r="E103" s="88"/>
      <c r="F103" s="87"/>
      <c r="G103" s="87"/>
      <c r="H103" s="87"/>
      <c r="I103" s="89"/>
      <c r="J103" s="90"/>
      <c r="K103" s="91">
        <f>SQRT(K102)</f>
        <v>0.65429405055801648</v>
      </c>
      <c r="L103" s="77"/>
    </row>
    <row r="104" spans="2:12" ht="14.25" customHeight="1" x14ac:dyDescent="0.3">
      <c r="B104" s="86" t="s">
        <v>185</v>
      </c>
      <c r="C104" s="87"/>
      <c r="D104" s="87"/>
      <c r="E104" s="88"/>
      <c r="F104" s="87"/>
      <c r="G104" s="87"/>
      <c r="H104" s="87"/>
      <c r="I104" s="89"/>
      <c r="J104" s="90"/>
      <c r="K104" s="91">
        <f>(K103^4)/L102</f>
        <v>13.10120317363525</v>
      </c>
      <c r="L104" s="77"/>
    </row>
    <row r="105" spans="2:12" ht="14.25" customHeight="1" x14ac:dyDescent="0.3">
      <c r="B105" s="86" t="s">
        <v>186</v>
      </c>
      <c r="C105" s="87"/>
      <c r="D105" s="87"/>
      <c r="E105" s="88"/>
      <c r="F105" s="87"/>
      <c r="G105" s="87"/>
      <c r="H105" s="87"/>
      <c r="I105" s="89"/>
      <c r="J105" s="90"/>
      <c r="K105" s="92">
        <f>TINV(0.05,K104)</f>
        <v>2.1603686564627926</v>
      </c>
      <c r="L105" s="77"/>
    </row>
    <row r="106" spans="2:12" ht="14.25" customHeight="1" x14ac:dyDescent="0.3">
      <c r="B106" s="86" t="s">
        <v>187</v>
      </c>
      <c r="C106" s="87"/>
      <c r="D106" s="87"/>
      <c r="E106" s="88"/>
      <c r="F106" s="87"/>
      <c r="G106" s="87"/>
      <c r="H106" s="87"/>
      <c r="I106" s="89"/>
      <c r="J106" s="90"/>
      <c r="K106" s="91">
        <f>K105*K103</f>
        <v>1.4135163589356206</v>
      </c>
      <c r="L106" s="77"/>
    </row>
    <row r="107" spans="2:12" ht="14.25" customHeight="1" x14ac:dyDescent="0.3">
      <c r="B107" s="93" t="s">
        <v>188</v>
      </c>
      <c r="C107" s="94"/>
      <c r="D107" s="94"/>
      <c r="E107" s="95"/>
      <c r="F107" s="94"/>
      <c r="G107" s="94"/>
      <c r="H107" s="94"/>
      <c r="I107" s="96"/>
      <c r="J107" s="97"/>
      <c r="K107" s="98">
        <f>K105*K103</f>
        <v>1.4135163589356206</v>
      </c>
      <c r="L107" s="79"/>
    </row>
    <row r="108" spans="2:12" ht="14.25" customHeight="1" x14ac:dyDescent="0.3">
      <c r="B108" s="99" t="s">
        <v>189</v>
      </c>
      <c r="C108" s="100"/>
      <c r="D108" s="100"/>
      <c r="E108" s="100"/>
      <c r="F108" s="100"/>
      <c r="G108" s="100"/>
      <c r="H108" s="100"/>
      <c r="I108" s="100"/>
      <c r="J108" s="100"/>
      <c r="K108" s="98">
        <v>1.1000000000000001</v>
      </c>
      <c r="L108" s="101"/>
    </row>
    <row r="109" spans="2:12" ht="14.25" customHeight="1" x14ac:dyDescent="0.3"/>
    <row r="110" spans="2:12" ht="14.25" customHeight="1" x14ac:dyDescent="0.3">
      <c r="K110" s="55"/>
    </row>
    <row r="111" spans="2:12" ht="14.25" customHeight="1" x14ac:dyDescent="0.3">
      <c r="I111" s="54"/>
      <c r="K111" s="57"/>
    </row>
    <row r="112" spans="2: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</vt:i4>
      </vt:variant>
    </vt:vector>
  </HeadingPairs>
  <TitlesOfParts>
    <vt:vector size="32" baseType="lpstr">
      <vt:lpstr>E2</vt:lpstr>
      <vt:lpstr>U95</vt:lpstr>
      <vt:lpstr>Koreksi themohygro rotronic 202</vt:lpstr>
      <vt:lpstr>Sertifikat</vt:lpstr>
      <vt:lpstr>0,001</vt:lpstr>
      <vt:lpstr>0,002</vt:lpstr>
      <vt:lpstr>0,002t</vt:lpstr>
      <vt:lpstr>0,005</vt:lpstr>
      <vt:lpstr>0,01</vt:lpstr>
      <vt:lpstr>0,02</vt:lpstr>
      <vt:lpstr>0,02t</vt:lpstr>
      <vt:lpstr>0,05</vt:lpstr>
      <vt:lpstr>0,1</vt:lpstr>
      <vt:lpstr>0,2</vt:lpstr>
      <vt:lpstr>0,2t</vt:lpstr>
      <vt:lpstr>0,5</vt:lpstr>
      <vt:lpstr>1</vt:lpstr>
      <vt:lpstr>2</vt:lpstr>
      <vt:lpstr>2t</vt:lpstr>
      <vt:lpstr>5</vt:lpstr>
      <vt:lpstr>10</vt:lpstr>
      <vt:lpstr>20</vt:lpstr>
      <vt:lpstr>20t</vt:lpstr>
      <vt:lpstr>50</vt:lpstr>
      <vt:lpstr>100</vt:lpstr>
      <vt:lpstr>200</vt:lpstr>
      <vt:lpstr>200t</vt:lpstr>
      <vt:lpstr>500</vt:lpstr>
      <vt:lpstr>1000</vt:lpstr>
      <vt:lpstr>2000</vt:lpstr>
      <vt:lpstr>2000t</vt:lpstr>
      <vt:lpstr>Sertifikat!Print_Area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drw1770</dc:creator>
  <cp:lastModifiedBy>Athalla Abhiyoga</cp:lastModifiedBy>
  <cp:lastPrinted>2026-04-08T01:54:00Z</cp:lastPrinted>
  <dcterms:created xsi:type="dcterms:W3CDTF">2022-04-27T09:33:40Z</dcterms:created>
  <dcterms:modified xsi:type="dcterms:W3CDTF">2026-04-08T04:05:56Z</dcterms:modified>
</cp:coreProperties>
</file>