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Teori Metrolog\Kalibrasi Instrument anallitik\pH Meter\K663\"/>
    </mc:Choice>
  </mc:AlternateContent>
  <xr:revisionPtr revIDLastSave="0" documentId="13_ncr:1_{593352E9-216C-4064-9A1B-40168C3F5C79}" xr6:coauthVersionLast="47" xr6:coauthVersionMax="47" xr10:uidLastSave="{00000000-0000-0000-0000-000000000000}"/>
  <bookViews>
    <workbookView xWindow="-108" yWindow="-108" windowWidth="23256" windowHeight="12456" tabRatio="688" xr2:uid="{8B01FF25-9B24-40B8-8E4E-F51E308EEEB3}"/>
  </bookViews>
  <sheets>
    <sheet name="Sertifikat" sheetId="5" r:id="rId1"/>
    <sheet name="Budget pH meter" sheetId="1" r:id="rId2"/>
  </sheets>
  <definedNames>
    <definedName name="se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6" i="5" l="1"/>
  <c r="R47" i="1"/>
  <c r="R45" i="1"/>
  <c r="Q47" i="1"/>
  <c r="Q45" i="1"/>
  <c r="F88" i="5"/>
  <c r="R30" i="1"/>
  <c r="T27" i="1"/>
  <c r="T26" i="1"/>
  <c r="R27" i="1"/>
  <c r="R26" i="1"/>
  <c r="K35" i="1"/>
  <c r="K29" i="1"/>
  <c r="K23" i="1"/>
  <c r="K17" i="1"/>
  <c r="G27" i="5"/>
  <c r="G28" i="5"/>
  <c r="E23" i="5"/>
  <c r="E21" i="5"/>
  <c r="D47" i="1"/>
  <c r="H19" i="1" l="1"/>
  <c r="H25" i="1"/>
  <c r="H31" i="1"/>
  <c r="H37" i="1"/>
  <c r="O102" i="1"/>
  <c r="R102" i="1" s="1"/>
  <c r="B100" i="1"/>
  <c r="D108" i="1" s="1"/>
  <c r="K36" i="1"/>
  <c r="K34" i="1"/>
  <c r="H109" i="1"/>
  <c r="D109" i="1"/>
  <c r="G109" i="1" s="1"/>
  <c r="R108" i="1"/>
  <c r="Q108" i="1"/>
  <c r="E108" i="1"/>
  <c r="Q107" i="1"/>
  <c r="E107" i="1"/>
  <c r="Q106" i="1"/>
  <c r="D106" i="1"/>
  <c r="G106" i="1" s="1"/>
  <c r="I106" i="1" s="1"/>
  <c r="Q105" i="1"/>
  <c r="E105" i="1"/>
  <c r="R104" i="1"/>
  <c r="I36" i="1"/>
  <c r="B98" i="1" s="1"/>
  <c r="H36" i="1"/>
  <c r="G108" i="1" l="1"/>
  <c r="I108" i="1" s="1"/>
  <c r="K108" i="1" s="1"/>
  <c r="D105" i="1"/>
  <c r="G105" i="1" s="1"/>
  <c r="I105" i="1" s="1"/>
  <c r="K105" i="1" s="1"/>
  <c r="I109" i="1"/>
  <c r="K109" i="1" s="1"/>
  <c r="R106" i="1"/>
  <c r="R107" i="1" s="1"/>
  <c r="J106" i="1"/>
  <c r="K106" i="1"/>
  <c r="H18" i="1"/>
  <c r="J108" i="1" l="1"/>
  <c r="J105" i="1"/>
  <c r="J109" i="1"/>
  <c r="K16" i="1" l="1"/>
  <c r="I18" i="1"/>
  <c r="B40" i="1" s="1"/>
  <c r="C35" i="5"/>
  <c r="E41" i="1"/>
  <c r="K30" i="1"/>
  <c r="K24" i="1"/>
  <c r="K18" i="1"/>
  <c r="H67" i="5"/>
  <c r="D50" i="1" l="1"/>
  <c r="H7" i="1"/>
  <c r="G7" i="1"/>
  <c r="G8" i="1" s="1"/>
  <c r="D78" i="5"/>
  <c r="D79" i="5"/>
  <c r="D72" i="5"/>
  <c r="C33" i="5"/>
  <c r="D76" i="5"/>
  <c r="E25" i="5"/>
  <c r="D74" i="5" s="1"/>
  <c r="E19" i="5"/>
  <c r="D73" i="5"/>
  <c r="D71" i="5"/>
  <c r="D75" i="5"/>
  <c r="H10" i="1" l="1"/>
  <c r="H8" i="1"/>
  <c r="G10" i="1"/>
  <c r="G11" i="1" s="1"/>
  <c r="G12" i="1" l="1"/>
  <c r="I77" i="5" s="1"/>
  <c r="H9" i="1"/>
  <c r="H11" i="1" s="1"/>
  <c r="H12" i="1" s="1"/>
  <c r="H88" i="1"/>
  <c r="D88" i="1"/>
  <c r="G88" i="1" s="1"/>
  <c r="R87" i="1"/>
  <c r="Q87" i="1"/>
  <c r="E87" i="1"/>
  <c r="E86" i="1"/>
  <c r="R85" i="1"/>
  <c r="Q85" i="1"/>
  <c r="D85" i="1"/>
  <c r="G85" i="1" s="1"/>
  <c r="I85" i="1" s="1"/>
  <c r="Q84" i="1"/>
  <c r="E84" i="1"/>
  <c r="B79" i="1"/>
  <c r="D87" i="1" s="1"/>
  <c r="H68" i="1"/>
  <c r="D68" i="1"/>
  <c r="G68" i="1" s="1"/>
  <c r="R67" i="1"/>
  <c r="E67" i="1"/>
  <c r="Q66" i="1"/>
  <c r="E66" i="1"/>
  <c r="D65" i="1"/>
  <c r="G65" i="1" s="1"/>
  <c r="I65" i="1" s="1"/>
  <c r="E64" i="1"/>
  <c r="B60" i="1"/>
  <c r="D67" i="1" s="1"/>
  <c r="H50" i="1"/>
  <c r="R49" i="1"/>
  <c r="E49" i="1"/>
  <c r="Q48" i="1"/>
  <c r="E48" i="1"/>
  <c r="G47" i="1"/>
  <c r="I47" i="1" s="1"/>
  <c r="E46" i="1"/>
  <c r="B42" i="1"/>
  <c r="D49" i="1" s="1"/>
  <c r="I30" i="1"/>
  <c r="H30" i="1"/>
  <c r="Q27" i="1" s="1"/>
  <c r="K28" i="1"/>
  <c r="I24" i="1"/>
  <c r="H24" i="1"/>
  <c r="Q26" i="1" s="1"/>
  <c r="K22" i="1"/>
  <c r="D46" i="1"/>
  <c r="S20" i="1"/>
  <c r="L36" i="1" s="1"/>
  <c r="S19" i="1"/>
  <c r="S18" i="1"/>
  <c r="D84" i="1" l="1"/>
  <c r="G84" i="1" s="1"/>
  <c r="I84" i="1" s="1"/>
  <c r="K84" i="1" s="1"/>
  <c r="B77" i="1"/>
  <c r="D64" i="1"/>
  <c r="B58" i="1"/>
  <c r="L16" i="1"/>
  <c r="L34" i="1"/>
  <c r="L35" i="1" s="1"/>
  <c r="I78" i="5"/>
  <c r="L24" i="1"/>
  <c r="L18" i="1"/>
  <c r="L17" i="1" s="1"/>
  <c r="B18" i="1" s="1"/>
  <c r="L30" i="1"/>
  <c r="G64" i="1"/>
  <c r="I64" i="1" s="1"/>
  <c r="J64" i="1" s="1"/>
  <c r="G49" i="1"/>
  <c r="I49" i="1" s="1"/>
  <c r="K49" i="1" s="1"/>
  <c r="G67" i="1"/>
  <c r="I67" i="1" s="1"/>
  <c r="K67" i="1" s="1"/>
  <c r="I88" i="1"/>
  <c r="K88" i="1" s="1"/>
  <c r="K47" i="1"/>
  <c r="J47" i="1"/>
  <c r="K65" i="1"/>
  <c r="J65" i="1"/>
  <c r="L28" i="1"/>
  <c r="I68" i="1"/>
  <c r="K68" i="1" s="1"/>
  <c r="G87" i="1"/>
  <c r="I87" i="1" s="1"/>
  <c r="J87" i="1" s="1"/>
  <c r="L22" i="1"/>
  <c r="G46" i="1"/>
  <c r="I46" i="1" s="1"/>
  <c r="K46" i="1" s="1"/>
  <c r="K85" i="1"/>
  <c r="J85" i="1"/>
  <c r="Q46" i="1" l="1"/>
  <c r="Q50" i="1"/>
  <c r="R50" i="1" s="1"/>
  <c r="B36" i="1"/>
  <c r="Q103" i="1" s="1"/>
  <c r="N35" i="1"/>
  <c r="L23" i="1"/>
  <c r="B24" i="1" s="1"/>
  <c r="K64" i="1"/>
  <c r="J49" i="1"/>
  <c r="J67" i="1"/>
  <c r="J88" i="1"/>
  <c r="N17" i="1"/>
  <c r="J84" i="1"/>
  <c r="K87" i="1"/>
  <c r="J68" i="1"/>
  <c r="L29" i="1"/>
  <c r="N29" i="1" s="1"/>
  <c r="J46" i="1"/>
  <c r="Q63" i="1" l="1"/>
  <c r="R63" i="1" s="1"/>
  <c r="Q81" i="1"/>
  <c r="R81" i="1" s="1"/>
  <c r="Q83" i="1"/>
  <c r="R83" i="1" s="1"/>
  <c r="Q104" i="1"/>
  <c r="Q102" i="1"/>
  <c r="R103" i="1" s="1"/>
  <c r="Q65" i="1"/>
  <c r="R65" i="1" s="1"/>
  <c r="N23" i="1"/>
  <c r="B30" i="1"/>
  <c r="G50" i="1"/>
  <c r="I50" i="1" s="1"/>
  <c r="Q68" i="1"/>
  <c r="R68" i="1" s="1"/>
  <c r="Q64" i="1"/>
  <c r="Q86" i="1" l="1"/>
  <c r="R86" i="1" s="1"/>
  <c r="Q82" i="1"/>
  <c r="R46" i="1"/>
  <c r="D48" i="1" s="1"/>
  <c r="G48" i="1" s="1"/>
  <c r="I48" i="1" s="1"/>
  <c r="K48" i="1" s="1"/>
  <c r="K51" i="1" s="1"/>
  <c r="J36" i="1"/>
  <c r="H98" i="1"/>
  <c r="D107" i="1"/>
  <c r="G107" i="1" s="1"/>
  <c r="I107" i="1" s="1"/>
  <c r="R82" i="1"/>
  <c r="J30" i="1" s="1"/>
  <c r="D90" i="5" s="1"/>
  <c r="R64" i="1"/>
  <c r="H58" i="1" s="1"/>
  <c r="J107" i="1"/>
  <c r="J110" i="1" s="1"/>
  <c r="J111" i="1" s="1"/>
  <c r="K107" i="1"/>
  <c r="K110" i="1" s="1"/>
  <c r="K50" i="1"/>
  <c r="J50" i="1"/>
  <c r="D86" i="1" l="1"/>
  <c r="G86" i="1" s="1"/>
  <c r="I86" i="1" s="1"/>
  <c r="K86" i="1" s="1"/>
  <c r="K89" i="1" s="1"/>
  <c r="H77" i="1"/>
  <c r="J18" i="1"/>
  <c r="D88" i="5" s="1"/>
  <c r="H40" i="1"/>
  <c r="J48" i="1"/>
  <c r="J51" i="1" s="1"/>
  <c r="J52" i="1" s="1"/>
  <c r="J53" i="1" s="1"/>
  <c r="J54" i="1" s="1"/>
  <c r="J55" i="1" s="1"/>
  <c r="H88" i="5" s="1"/>
  <c r="J24" i="1"/>
  <c r="D89" i="5" s="1"/>
  <c r="D66" i="1"/>
  <c r="G66" i="1" s="1"/>
  <c r="I66" i="1" s="1"/>
  <c r="J66" i="1" s="1"/>
  <c r="J69" i="1" s="1"/>
  <c r="J70" i="1" s="1"/>
  <c r="J112" i="1"/>
  <c r="J113" i="1" s="1"/>
  <c r="J114" i="1" s="1"/>
  <c r="J86" i="1" l="1"/>
  <c r="J89" i="1" s="1"/>
  <c r="J90" i="1" s="1"/>
  <c r="J91" i="1" s="1"/>
  <c r="J92" i="1" s="1"/>
  <c r="J93" i="1" s="1"/>
  <c r="H90" i="5" s="1"/>
  <c r="K66" i="1"/>
  <c r="K69" i="1" s="1"/>
  <c r="J71" i="1" s="1"/>
  <c r="J72" i="1" s="1"/>
  <c r="J73" i="1" s="1"/>
  <c r="H8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5" authorId="0" shapeId="0" xr:uid="{1DE49D60-9CAC-4053-97CA-DF4A7A9957A5}">
      <text>
        <r>
          <rPr>
            <sz val="10"/>
            <color rgb="FF000000"/>
            <rFont val="Calibri"/>
            <family val="2"/>
            <scheme val="minor"/>
          </rPr>
          <t>======
ID#AAAAbDpvZiU
myprawira    (2022-01-31 08:33:03)
Termometer digital</t>
        </r>
      </text>
    </comment>
    <comment ref="E41" authorId="0" shapeId="0" xr:uid="{4BFD7540-F5D3-4B1D-BAD9-FC2EF59E0D91}">
      <text>
        <r>
          <rPr>
            <sz val="10"/>
            <color rgb="FF000000"/>
            <rFont val="Calibri"/>
            <family val="2"/>
            <scheme val="minor"/>
          </rPr>
          <t>======
ID#AAAAbDpvZgo
myprawira    (2022-01-31 08:33:03)
dikonversi ke pH</t>
        </r>
      </text>
    </comment>
    <comment ref="D48" authorId="0" shapeId="0" xr:uid="{6E965C91-2A17-46CA-9322-A01F21FDA7FA}">
      <text>
        <r>
          <rPr>
            <sz val="10"/>
            <color rgb="FF000000"/>
            <rFont val="Calibri"/>
            <family val="2"/>
            <scheme val="minor"/>
          </rPr>
          <t>======
ID#AAAAbDpvZf0
Lab Gaya    (2022-01-31 08:33:03)
memasukkan pengaruh perbedaan temperatur pada perhitungan ketidakpastian 
untuk menutup temuan no.29</t>
        </r>
      </text>
    </comment>
    <comment ref="H88" authorId="0" shapeId="0" xr:uid="{F0046C0D-FD47-4361-BC0D-41FAEC1D2C44}">
      <text>
        <r>
          <rPr>
            <sz val="10"/>
            <color rgb="FF000000"/>
            <rFont val="Calibri"/>
            <family val="2"/>
            <scheme val="minor"/>
          </rPr>
          <t>======
ID#AAAAbDpvZho
myprawira    (2022-01-31 08:33:03)
temperatur pengaruh ketidakpastian
perubahan pH disebabkan suhu</t>
        </r>
      </text>
    </comment>
    <comment ref="H109" authorId="0" shapeId="0" xr:uid="{6B381947-D1A8-4982-91A8-8B75BC448CBA}">
      <text>
        <r>
          <rPr>
            <sz val="10"/>
            <color rgb="FF000000"/>
            <rFont val="Calibri"/>
            <family val="2"/>
            <scheme val="minor"/>
          </rPr>
          <t>======
ID#AAAAbDpvZho
myprawira    (2022-01-31 08:33:03)
temperatur pengaruh ketidakpastian
perubahan pH disebabkan suhu</t>
        </r>
      </text>
    </comment>
  </commentList>
</comments>
</file>

<file path=xl/sharedStrings.xml><?xml version="1.0" encoding="utf-8"?>
<sst xmlns="http://schemas.openxmlformats.org/spreadsheetml/2006/main" count="355" uniqueCount="172">
  <si>
    <t>data kalibrasi</t>
  </si>
  <si>
    <t>pembacaan alat</t>
  </si>
  <si>
    <t>koreksi</t>
  </si>
  <si>
    <t>pembacaan alat terkoreksi</t>
  </si>
  <si>
    <t xml:space="preserve">no seri </t>
  </si>
  <si>
    <t>°C</t>
  </si>
  <si>
    <t>kapasitas/resolusi</t>
  </si>
  <si>
    <t>/</t>
  </si>
  <si>
    <r>
      <rPr>
        <sz val="10"/>
        <color rgb="FF000000"/>
        <rFont val="Calibri"/>
        <family val="2"/>
      </rPr>
      <t>°</t>
    </r>
    <r>
      <rPr>
        <sz val="10"/>
        <color rgb="FF000000"/>
        <rFont val="Arial"/>
        <family val="2"/>
      </rPr>
      <t>C</t>
    </r>
  </si>
  <si>
    <t>PH 4</t>
  </si>
  <si>
    <t>koreksi temperatur</t>
  </si>
  <si>
    <t>buffer standar</t>
  </si>
  <si>
    <t xml:space="preserve">suhu °C </t>
  </si>
  <si>
    <t>stdev</t>
  </si>
  <si>
    <t>standar terkoreksi</t>
  </si>
  <si>
    <t>X1</t>
  </si>
  <si>
    <t>X2</t>
  </si>
  <si>
    <t>X3</t>
  </si>
  <si>
    <t>X4</t>
  </si>
  <si>
    <t>X5</t>
  </si>
  <si>
    <t>X rata</t>
  </si>
  <si>
    <t>PH 7</t>
  </si>
  <si>
    <t>PH 10</t>
  </si>
  <si>
    <t>St. deviasi</t>
  </si>
  <si>
    <t>Koreksi</t>
  </si>
  <si>
    <r>
      <rPr>
        <sz val="10"/>
        <color rgb="FF000000"/>
        <rFont val="Arial"/>
        <family val="2"/>
      </rPr>
      <t xml:space="preserve">temperatur </t>
    </r>
    <r>
      <rPr>
        <sz val="10"/>
        <color rgb="FF000000"/>
        <rFont val="Calibri"/>
        <family val="2"/>
      </rPr>
      <t>°</t>
    </r>
    <r>
      <rPr>
        <sz val="10"/>
        <color rgb="FF000000"/>
        <rFont val="Arial"/>
        <family val="2"/>
      </rPr>
      <t>C</t>
    </r>
  </si>
  <si>
    <r>
      <rPr>
        <sz val="10"/>
        <color rgb="FF000000"/>
        <rFont val="Calibri"/>
        <family val="2"/>
      </rPr>
      <t>Δ</t>
    </r>
    <r>
      <rPr>
        <sz val="10"/>
        <color rgb="FF000000"/>
        <rFont val="Arial"/>
        <family val="2"/>
      </rPr>
      <t>PH</t>
    </r>
  </si>
  <si>
    <t>U sertifikat thermometer</t>
  </si>
  <si>
    <t>Skala terkecil alat</t>
  </si>
  <si>
    <t>pH 4</t>
  </si>
  <si>
    <t>Koreksi temperatur</t>
  </si>
  <si>
    <t>Komponen</t>
  </si>
  <si>
    <t>Satuan</t>
  </si>
  <si>
    <t>Distribusi</t>
  </si>
  <si>
    <t>U</t>
  </si>
  <si>
    <t>Pembagi</t>
  </si>
  <si>
    <t>vi</t>
  </si>
  <si>
    <t>ui</t>
  </si>
  <si>
    <t>ci</t>
  </si>
  <si>
    <t>uici</t>
  </si>
  <si>
    <r>
      <rPr>
        <b/>
        <sz val="10"/>
        <color rgb="FF000000"/>
        <rFont val="Times New Roman"/>
        <family val="1"/>
      </rPr>
      <t>(uici)</t>
    </r>
    <r>
      <rPr>
        <b/>
        <vertAlign val="superscript"/>
        <sz val="10"/>
        <color rgb="FF000000"/>
        <rFont val="Times New Roman"/>
        <family val="1"/>
      </rPr>
      <t>2</t>
    </r>
  </si>
  <si>
    <r>
      <rPr>
        <b/>
        <sz val="10"/>
        <color rgb="FF000000"/>
        <rFont val="Times New Roman"/>
        <family val="1"/>
      </rPr>
      <t>(uici)</t>
    </r>
    <r>
      <rPr>
        <b/>
        <vertAlign val="superscript"/>
        <sz val="10"/>
        <color rgb="FF000000"/>
        <rFont val="Times New Roman"/>
        <family val="1"/>
      </rPr>
      <t>4</t>
    </r>
    <r>
      <rPr>
        <b/>
        <sz val="10"/>
        <color rgb="FF000000"/>
        <rFont val="Times New Roman"/>
        <family val="1"/>
      </rPr>
      <t>/vi</t>
    </r>
  </si>
  <si>
    <t>Repeatability</t>
  </si>
  <si>
    <t>pH</t>
  </si>
  <si>
    <t>Normal</t>
  </si>
  <si>
    <t>Larutan Buffer</t>
  </si>
  <si>
    <t>t-student</t>
  </si>
  <si>
    <r>
      <rPr>
        <sz val="10"/>
        <color rgb="FF000000"/>
        <rFont val="Times New Roman"/>
        <family val="1"/>
      </rPr>
      <t xml:space="preserve">Koreksi pengaruh </t>
    </r>
    <r>
      <rPr>
        <sz val="10"/>
        <color rgb="FF000000"/>
        <rFont val="Calibri"/>
        <family val="2"/>
      </rPr>
      <t>ΔT</t>
    </r>
  </si>
  <si>
    <t>Rect</t>
  </si>
  <si>
    <t>Readability</t>
  </si>
  <si>
    <t>Pengaruh ketidakpastian Termometer digital</t>
  </si>
  <si>
    <t>oC</t>
  </si>
  <si>
    <t>Sums</t>
  </si>
  <si>
    <t>Ketidakpastian baku gabungan, uc, Unit</t>
  </si>
  <si>
    <t>Dearajat kebebasan efektif, veff</t>
  </si>
  <si>
    <t>Faktor cakupan, k-student for veff and CL 95%</t>
  </si>
  <si>
    <t>Ketidakpastian bentangan, U = kuc, Unit</t>
  </si>
  <si>
    <t>Usertifikat ph</t>
  </si>
  <si>
    <t>usertifikat thermometer</t>
  </si>
  <si>
    <t>pH 7</t>
  </si>
  <si>
    <t>Usertifikat</t>
  </si>
  <si>
    <t>pH 10</t>
  </si>
  <si>
    <t>Usertifikat thermometer digital</t>
  </si>
  <si>
    <t>S E R T I F I K A T    K A L I B R A S I</t>
  </si>
  <si>
    <t>C A L I B R A T I O N    C E R T I F I C A T E</t>
  </si>
  <si>
    <t>IDENTITAS ALAT</t>
  </si>
  <si>
    <t>INSTRUMENT DETAILS</t>
  </si>
  <si>
    <t>Nama Alat</t>
  </si>
  <si>
    <r>
      <t>Instrument Name</t>
    </r>
    <r>
      <rPr>
        <sz val="11"/>
        <color rgb="FF000000"/>
        <rFont val="Bookman Old Style"/>
        <family val="1"/>
      </rPr>
      <t xml:space="preserve"> </t>
    </r>
  </si>
  <si>
    <r>
      <t>Merek</t>
    </r>
    <r>
      <rPr>
        <i/>
        <sz val="8"/>
        <color rgb="FF000000"/>
        <rFont val="Bookman Old Style"/>
        <family val="1"/>
      </rPr>
      <t xml:space="preserve"> </t>
    </r>
  </si>
  <si>
    <t>Brand</t>
  </si>
  <si>
    <t>Tipe</t>
  </si>
  <si>
    <t xml:space="preserve">Type </t>
  </si>
  <si>
    <t>Nomor Identifikasi</t>
  </si>
  <si>
    <t>Identification Number</t>
  </si>
  <si>
    <t xml:space="preserve">Nomor Seri </t>
  </si>
  <si>
    <t>Serial Number</t>
  </si>
  <si>
    <t>Lain-lain</t>
  </si>
  <si>
    <t xml:space="preserve">: Kapasitas </t>
  </si>
  <si>
    <t>Others</t>
  </si>
  <si>
    <t xml:space="preserve">  Kecermatan </t>
  </si>
  <si>
    <t>IDENTITAS PEMILIK</t>
  </si>
  <si>
    <t>Owner’s Identification</t>
  </si>
  <si>
    <r>
      <t>Nama</t>
    </r>
    <r>
      <rPr>
        <i/>
        <sz val="8"/>
        <color rgb="FF000000"/>
        <rFont val="Bookman Old Style"/>
        <family val="1"/>
      </rPr>
      <t xml:space="preserve"> </t>
    </r>
  </si>
  <si>
    <t>Designation</t>
  </si>
  <si>
    <r>
      <t>Alamat</t>
    </r>
    <r>
      <rPr>
        <i/>
        <sz val="8"/>
        <color rgb="FF000000"/>
        <rFont val="Bookman Old Style"/>
        <family val="1"/>
      </rPr>
      <t xml:space="preserve"> </t>
    </r>
  </si>
  <si>
    <t>Address</t>
  </si>
  <si>
    <t>Halaman 1 dari 2 halaman</t>
  </si>
  <si>
    <t>Page          of            page</t>
  </si>
  <si>
    <t>Date of Issue</t>
  </si>
  <si>
    <t>Nomor</t>
  </si>
  <si>
    <t>No. Order</t>
  </si>
  <si>
    <t>Halaman</t>
  </si>
  <si>
    <t>: 2 dari 2</t>
  </si>
  <si>
    <t>SPESIFIKASI ALAT</t>
  </si>
  <si>
    <t>Nama</t>
  </si>
  <si>
    <t>Merk / Tipe</t>
  </si>
  <si>
    <t xml:space="preserve">No. Identifikasi </t>
  </si>
  <si>
    <t>No. Seri</t>
  </si>
  <si>
    <t xml:space="preserve">Kapasitas </t>
  </si>
  <si>
    <t>Kecermatan</t>
  </si>
  <si>
    <t>Kondisi ruang</t>
  </si>
  <si>
    <t>Prosedur Kalibrasi</t>
  </si>
  <si>
    <t>Temperatur</t>
  </si>
  <si>
    <t>Tanggal Terima</t>
  </si>
  <si>
    <t>Kelembaban relatif</t>
  </si>
  <si>
    <t>Tanggal Kalibrasi</t>
  </si>
  <si>
    <t>Lokasi Alat</t>
  </si>
  <si>
    <t>HASIL KALIBRASI</t>
  </si>
  <si>
    <t xml:space="preserve">Catatan   : </t>
  </si>
  <si>
    <t>: pH meter</t>
  </si>
  <si>
    <t>merk</t>
  </si>
  <si>
    <t>no. order</t>
  </si>
  <si>
    <t>tanggal kalibrasi</t>
  </si>
  <si>
    <t>tanggal terima</t>
  </si>
  <si>
    <t>Pemilik</t>
  </si>
  <si>
    <t>: ASTM E 70 -19</t>
  </si>
  <si>
    <t>: Lab kalibrasi volumetrik BBSPJILM</t>
  </si>
  <si>
    <r>
      <t>Ketidakpastian U</t>
    </r>
    <r>
      <rPr>
        <b/>
        <vertAlign val="subscript"/>
        <sz val="11"/>
        <color theme="1"/>
        <rFont val="Bookman Old Style"/>
        <family val="1"/>
      </rPr>
      <t>95</t>
    </r>
    <r>
      <rPr>
        <b/>
        <sz val="11"/>
        <color theme="1"/>
        <rFont val="Bookman Old Style"/>
        <family val="1"/>
      </rPr>
      <t xml:space="preserve">% (k=2)
(pH) </t>
    </r>
  </si>
  <si>
    <t>Awal</t>
  </si>
  <si>
    <t>Akhir</t>
  </si>
  <si>
    <t>%RH</t>
  </si>
  <si>
    <t>Rata2</t>
  </si>
  <si>
    <t>Koreksi suhu</t>
  </si>
  <si>
    <t xml:space="preserve">Koreksi RH </t>
  </si>
  <si>
    <t>Terkoreksi</t>
  </si>
  <si>
    <t>U95</t>
  </si>
  <si>
    <t>Fluktuasi suhu</t>
  </si>
  <si>
    <t>Flu+U95</t>
  </si>
  <si>
    <t>Kondisi Ruang</t>
  </si>
  <si>
    <t>T (°C)</t>
  </si>
  <si>
    <t xml:space="preserve">Koreksi  </t>
  </si>
  <si>
    <t>RH (%)</t>
  </si>
  <si>
    <t>Thermohygro Beureur data 2025</t>
  </si>
  <si>
    <r>
      <t>Suhu (</t>
    </r>
    <r>
      <rPr>
        <sz val="10"/>
        <color rgb="FF000000"/>
        <rFont val="Calibri"/>
        <family val="2"/>
      </rPr>
      <t>°</t>
    </r>
    <r>
      <rPr>
        <sz val="8.5"/>
        <color rgb="FF000000"/>
        <rFont val="Calibri"/>
        <family val="2"/>
      </rPr>
      <t>C)</t>
    </r>
  </si>
  <si>
    <t>Nilai koreksi termometer digital tahun 2025</t>
  </si>
  <si>
    <t xml:space="preserve">Alamat </t>
  </si>
  <si>
    <t>Koreksi
(pH)</t>
  </si>
  <si>
    <t>-  Alat ini dikalibrasi dengan larutan buffer 4,00 pH No. seri : 1.09435.1000; 7,00 pH</t>
  </si>
  <si>
    <t xml:space="preserve">   No. seri : 1.09439.1000; 10,00 pH No. seri : 1.09438.1000 yang tertelusur ke Merck.</t>
  </si>
  <si>
    <t>PH 2</t>
  </si>
  <si>
    <t>pH 2</t>
  </si>
  <si>
    <t>% Slope</t>
  </si>
  <si>
    <t>mV</t>
  </si>
  <si>
    <t>Nominal
(pH)</t>
  </si>
  <si>
    <t>Penguji Mutu Barang Ahli Madya</t>
  </si>
  <si>
    <t>NIP. 197109301994032002</t>
  </si>
  <si>
    <t xml:space="preserve">Elis Sofianti
</t>
  </si>
  <si>
    <t>Jl. A. H. Nasution No. 117, Pasir Endah, Kec. ujung Berung, Bandung 40619</t>
  </si>
  <si>
    <t>K663-2</t>
  </si>
  <si>
    <t xml:space="preserve">25 November 2025 </t>
  </si>
  <si>
    <t>1 Desember 2025</t>
  </si>
  <si>
    <t>UPTD. Laboratorium Lingkungan Hidup, DLH Jawa Barat</t>
  </si>
  <si>
    <t>Thermo Scientific</t>
  </si>
  <si>
    <t>Orion Star A325</t>
  </si>
  <si>
    <t>G13040</t>
  </si>
  <si>
    <t>KAN</t>
  </si>
  <si>
    <t>U sertifikat Buffer</t>
  </si>
  <si>
    <t>Diterbitkan Tanggal 15 Desember 2025</t>
  </si>
  <si>
    <r>
      <t xml:space="preserve">Nomor / </t>
    </r>
    <r>
      <rPr>
        <i/>
        <sz val="11"/>
        <color rgb="FF000000"/>
        <rFont val="Bookman Old Style"/>
        <family val="1"/>
      </rPr>
      <t xml:space="preserve">Number </t>
    </r>
    <r>
      <rPr>
        <sz val="11"/>
        <color rgb="FF000000"/>
        <rFont val="Bookman Old Style"/>
        <family val="1"/>
      </rPr>
      <t>: 0058-7.2/KALIBRASI BBLM/XII/2025</t>
    </r>
  </si>
  <si>
    <r>
      <t xml:space="preserve">-  Alat ini dilakukan </t>
    </r>
    <r>
      <rPr>
        <i/>
        <sz val="11"/>
        <rFont val="Bookman Old Style"/>
        <family val="1"/>
      </rPr>
      <t>adjust</t>
    </r>
    <r>
      <rPr>
        <sz val="11"/>
        <rFont val="Bookman Old Style"/>
        <family val="1"/>
      </rPr>
      <t xml:space="preserve"> hanya pada 2 titik ukur yaitu pH 7 dan pH 4</t>
    </r>
  </si>
  <si>
    <t>No identifikasi</t>
  </si>
  <si>
    <t>-</t>
  </si>
  <si>
    <t>(-2,00) s.d. 20,00</t>
  </si>
  <si>
    <t>Suhu buffer</t>
  </si>
  <si>
    <t xml:space="preserve"> suhu buffer</t>
  </si>
  <si>
    <t xml:space="preserve">suhu buffer </t>
  </si>
  <si>
    <t>Suhu Awal</t>
  </si>
  <si>
    <t>Suhu Akhir</t>
  </si>
  <si>
    <t xml:space="preserve">Standard </t>
  </si>
  <si>
    <t>Delta ABS</t>
  </si>
  <si>
    <t xml:space="preserve">Hasil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</si>
</sst>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0"/>
    <numFmt numFmtId="167" formatCode="0.0%"/>
  </numFmts>
  <fonts count="40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Times New Roman"/>
      <family val="1"/>
    </font>
    <font>
      <b/>
      <vertAlign val="superscript"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8"/>
      <color rgb="FF000000"/>
      <name val="Bookman Old Style"/>
      <family val="1"/>
    </font>
    <font>
      <b/>
      <i/>
      <sz val="14"/>
      <color rgb="FF000000"/>
      <name val="Bookman Old Style"/>
      <family val="1"/>
    </font>
    <font>
      <sz val="11"/>
      <color rgb="FF000000"/>
      <name val="Bookman Old Style"/>
      <family val="1"/>
    </font>
    <font>
      <i/>
      <sz val="11"/>
      <color rgb="FF000000"/>
      <name val="Bookman Old Style"/>
      <family val="1"/>
    </font>
    <font>
      <b/>
      <u/>
      <sz val="11"/>
      <name val="Bookman Old Style"/>
      <family val="1"/>
    </font>
    <font>
      <b/>
      <i/>
      <sz val="8"/>
      <name val="Bookman Old Style"/>
      <family val="1"/>
    </font>
    <font>
      <i/>
      <sz val="8"/>
      <color rgb="FF000000"/>
      <name val="Bookman Old Style"/>
      <family val="1"/>
    </font>
    <font>
      <b/>
      <u/>
      <sz val="11"/>
      <color rgb="FF000000"/>
      <name val="Bookman Old Style"/>
      <family val="1"/>
    </font>
    <font>
      <b/>
      <i/>
      <sz val="8"/>
      <color rgb="FF000000"/>
      <name val="Bookman Old Style"/>
      <family val="1"/>
    </font>
    <font>
      <sz val="11"/>
      <color rgb="FF000000"/>
      <name val="Calibri"/>
      <family val="2"/>
    </font>
    <font>
      <sz val="12"/>
      <name val="Times New Roman"/>
      <family val="1"/>
    </font>
    <font>
      <b/>
      <sz val="11"/>
      <color rgb="FF000000"/>
      <name val="Bookman Old Style"/>
      <family val="1"/>
    </font>
    <font>
      <sz val="11"/>
      <name val="Bookman Old Style"/>
      <family val="1"/>
    </font>
    <font>
      <sz val="10"/>
      <color rgb="FF000000"/>
      <name val="Bookman Old Style"/>
      <family val="1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b/>
      <vertAlign val="subscript"/>
      <sz val="11"/>
      <color theme="1"/>
      <name val="Bookman Old Style"/>
      <family val="1"/>
    </font>
    <font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0"/>
      <color rgb="FF000000"/>
      <name val="Calibri"/>
      <family val="2"/>
      <scheme val="minor"/>
    </font>
    <font>
      <sz val="8.5"/>
      <color rgb="FF000000"/>
      <name val="Calibri"/>
      <family val="2"/>
    </font>
    <font>
      <b/>
      <sz val="10"/>
      <color rgb="FF000000"/>
      <name val="Arial"/>
      <family val="2"/>
    </font>
    <font>
      <i/>
      <sz val="11"/>
      <name val="Bookman Old Style"/>
      <family val="1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/>
      <right/>
      <top style="hair">
        <color rgb="FF000000"/>
      </top>
      <bottom style="thin">
        <color indexed="64"/>
      </bottom>
      <diagonal/>
    </border>
    <border>
      <left/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</borders>
  <cellStyleXfs count="4">
    <xf numFmtId="0" fontId="0" fillId="0" borderId="0"/>
    <xf numFmtId="0" fontId="12" fillId="0" borderId="0">
      <alignment vertical="center"/>
    </xf>
    <xf numFmtId="0" fontId="1" fillId="0" borderId="0"/>
    <xf numFmtId="9" fontId="38" fillId="0" borderId="0" applyFont="0" applyFill="0" applyBorder="0" applyAlignment="0" applyProtection="0"/>
  </cellStyleXfs>
  <cellXfs count="151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2" fontId="3" fillId="0" borderId="4" xfId="0" applyNumberFormat="1" applyFont="1" applyBorder="1"/>
    <xf numFmtId="0" fontId="7" fillId="0" borderId="0" xfId="0" applyFont="1"/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wrapText="1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10" fillId="0" borderId="6" xfId="0" applyFont="1" applyBorder="1"/>
    <xf numFmtId="0" fontId="10" fillId="0" borderId="6" xfId="0" applyFont="1" applyBorder="1" applyAlignment="1">
      <alignment horizontal="center"/>
    </xf>
    <xf numFmtId="165" fontId="10" fillId="0" borderId="6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7" xfId="0" applyFont="1" applyBorder="1"/>
    <xf numFmtId="0" fontId="10" fillId="0" borderId="8" xfId="0" applyFont="1" applyBorder="1"/>
    <xf numFmtId="0" fontId="10" fillId="0" borderId="8" xfId="0" applyFont="1" applyBorder="1" applyAlignment="1">
      <alignment horizontal="center"/>
    </xf>
    <xf numFmtId="0" fontId="10" fillId="0" borderId="9" xfId="0" applyFont="1" applyBorder="1"/>
    <xf numFmtId="0" fontId="10" fillId="0" borderId="10" xfId="0" applyFont="1" applyBorder="1"/>
    <xf numFmtId="0" fontId="10" fillId="0" borderId="11" xfId="0" applyFont="1" applyBorder="1"/>
    <xf numFmtId="0" fontId="10" fillId="0" borderId="1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0" fontId="10" fillId="0" borderId="14" xfId="0" applyFont="1" applyBorder="1" applyAlignment="1">
      <alignment horizontal="center"/>
    </xf>
    <xf numFmtId="0" fontId="10" fillId="0" borderId="15" xfId="0" applyFont="1" applyBorder="1"/>
    <xf numFmtId="0" fontId="10" fillId="0" borderId="16" xfId="0" applyFont="1" applyBorder="1"/>
    <xf numFmtId="0" fontId="10" fillId="0" borderId="17" xfId="0" applyFont="1" applyBorder="1"/>
    <xf numFmtId="0" fontId="10" fillId="0" borderId="17" xfId="0" applyFont="1" applyBorder="1" applyAlignment="1">
      <alignment horizontal="center"/>
    </xf>
    <xf numFmtId="166" fontId="8" fillId="0" borderId="4" xfId="0" applyNumberFormat="1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4" fontId="10" fillId="0" borderId="0" xfId="0" applyNumberFormat="1" applyFont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6" fontId="10" fillId="0" borderId="0" xfId="0" applyNumberFormat="1" applyFont="1" applyAlignment="1">
      <alignment horizontal="center"/>
    </xf>
    <xf numFmtId="0" fontId="3" fillId="0" borderId="19" xfId="0" applyFont="1" applyBorder="1"/>
    <xf numFmtId="0" fontId="12" fillId="0" borderId="0" xfId="1">
      <alignment vertical="center"/>
    </xf>
    <xf numFmtId="0" fontId="13" fillId="0" borderId="0" xfId="1" applyFont="1">
      <alignment vertical="center"/>
    </xf>
    <xf numFmtId="0" fontId="16" fillId="0" borderId="0" xfId="1" applyFont="1">
      <alignment vertical="center"/>
    </xf>
    <xf numFmtId="0" fontId="18" fillId="0" borderId="0" xfId="1" applyFont="1">
      <alignment vertical="center"/>
    </xf>
    <xf numFmtId="0" fontId="12" fillId="0" borderId="0" xfId="1" applyAlignment="1">
      <alignment vertical="center" wrapText="1"/>
    </xf>
    <xf numFmtId="0" fontId="19" fillId="0" borderId="0" xfId="1" applyFont="1">
      <alignment vertical="center"/>
    </xf>
    <xf numFmtId="0" fontId="20" fillId="0" borderId="0" xfId="1" applyFont="1">
      <alignment vertical="center"/>
    </xf>
    <xf numFmtId="0" fontId="16" fillId="0" borderId="0" xfId="1" applyFont="1" applyAlignment="1">
      <alignment horizontal="justify" vertical="center"/>
    </xf>
    <xf numFmtId="0" fontId="20" fillId="0" borderId="0" xfId="1" applyFont="1" applyAlignment="1">
      <alignment horizontal="justify" vertical="center"/>
    </xf>
    <xf numFmtId="0" fontId="21" fillId="0" borderId="0" xfId="1" applyFont="1">
      <alignment vertical="center"/>
    </xf>
    <xf numFmtId="0" fontId="22" fillId="0" borderId="0" xfId="1" applyFont="1">
      <alignment vertical="center"/>
    </xf>
    <xf numFmtId="0" fontId="23" fillId="0" borderId="0" xfId="1" applyFont="1">
      <alignment vertical="center"/>
    </xf>
    <xf numFmtId="0" fontId="24" fillId="0" borderId="0" xfId="1" applyFont="1">
      <alignment vertical="center"/>
    </xf>
    <xf numFmtId="0" fontId="16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5" fillId="0" borderId="0" xfId="1" applyFont="1">
      <alignment vertical="center"/>
    </xf>
    <xf numFmtId="0" fontId="26" fillId="0" borderId="0" xfId="1" applyFont="1">
      <alignment vertical="center"/>
    </xf>
    <xf numFmtId="15" fontId="27" fillId="0" borderId="0" xfId="1" applyNumberFormat="1" applyFont="1">
      <alignment vertical="center"/>
    </xf>
    <xf numFmtId="0" fontId="21" fillId="0" borderId="0" xfId="1" applyFont="1" applyAlignment="1">
      <alignment horizontal="left" vertical="center"/>
    </xf>
    <xf numFmtId="0" fontId="26" fillId="0" borderId="0" xfId="1" quotePrefix="1" applyFont="1">
      <alignment vertical="center"/>
    </xf>
    <xf numFmtId="0" fontId="0" fillId="0" borderId="19" xfId="0" applyBorder="1"/>
    <xf numFmtId="0" fontId="3" fillId="0" borderId="19" xfId="0" applyFont="1" applyBorder="1" applyAlignment="1">
      <alignment wrapText="1"/>
    </xf>
    <xf numFmtId="0" fontId="31" fillId="0" borderId="0" xfId="0" applyFont="1"/>
    <xf numFmtId="0" fontId="31" fillId="0" borderId="19" xfId="0" applyFont="1" applyBorder="1"/>
    <xf numFmtId="0" fontId="11" fillId="0" borderId="19" xfId="0" applyFont="1" applyBorder="1"/>
    <xf numFmtId="164" fontId="3" fillId="0" borderId="19" xfId="0" applyNumberFormat="1" applyFont="1" applyBorder="1"/>
    <xf numFmtId="0" fontId="32" fillId="4" borderId="19" xfId="0" applyFont="1" applyFill="1" applyBorder="1"/>
    <xf numFmtId="0" fontId="31" fillId="0" borderId="19" xfId="0" applyFont="1" applyBorder="1" applyAlignment="1">
      <alignment horizontal="center"/>
    </xf>
    <xf numFmtId="0" fontId="33" fillId="0" borderId="0" xfId="0" applyFont="1"/>
    <xf numFmtId="1" fontId="3" fillId="0" borderId="19" xfId="0" applyNumberFormat="1" applyFont="1" applyBorder="1"/>
    <xf numFmtId="0" fontId="0" fillId="0" borderId="0" xfId="0" applyAlignment="1">
      <alignment wrapText="1"/>
    </xf>
    <xf numFmtId="2" fontId="3" fillId="0" borderId="0" xfId="0" applyNumberFormat="1" applyFont="1"/>
    <xf numFmtId="165" fontId="3" fillId="0" borderId="4" xfId="0" applyNumberFormat="1" applyFont="1" applyBorder="1" applyAlignment="1">
      <alignment horizontal="center"/>
    </xf>
    <xf numFmtId="0" fontId="3" fillId="0" borderId="30" xfId="0" applyFont="1" applyBorder="1"/>
    <xf numFmtId="0" fontId="3" fillId="0" borderId="31" xfId="0" applyFont="1" applyBorder="1"/>
    <xf numFmtId="165" fontId="3" fillId="0" borderId="27" xfId="0" applyNumberFormat="1" applyFont="1" applyBorder="1"/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2" fontId="3" fillId="0" borderId="19" xfId="0" applyNumberFormat="1" applyFont="1" applyBorder="1"/>
    <xf numFmtId="0" fontId="3" fillId="0" borderId="27" xfId="0" applyFont="1" applyBorder="1"/>
    <xf numFmtId="2" fontId="0" fillId="3" borderId="19" xfId="0" applyNumberFormat="1" applyFill="1" applyBorder="1"/>
    <xf numFmtId="0" fontId="3" fillId="0" borderId="38" xfId="0" applyFont="1" applyBorder="1"/>
    <xf numFmtId="0" fontId="35" fillId="0" borderId="34" xfId="0" applyFont="1" applyBorder="1"/>
    <xf numFmtId="0" fontId="3" fillId="0" borderId="35" xfId="0" applyFont="1" applyBorder="1"/>
    <xf numFmtId="0" fontId="3" fillId="0" borderId="40" xfId="0" applyFont="1" applyBorder="1" applyAlignment="1">
      <alignment horizontal="center"/>
    </xf>
    <xf numFmtId="0" fontId="3" fillId="0" borderId="32" xfId="0" applyFont="1" applyBorder="1"/>
    <xf numFmtId="0" fontId="3" fillId="0" borderId="41" xfId="0" applyFont="1" applyBorder="1" applyAlignment="1">
      <alignment horizontal="right"/>
    </xf>
    <xf numFmtId="0" fontId="0" fillId="3" borderId="41" xfId="0" applyFill="1" applyBorder="1"/>
    <xf numFmtId="0" fontId="3" fillId="0" borderId="42" xfId="0" applyFont="1" applyBorder="1"/>
    <xf numFmtId="0" fontId="3" fillId="0" borderId="33" xfId="0" applyFont="1" applyBorder="1"/>
    <xf numFmtId="0" fontId="3" fillId="0" borderId="43" xfId="0" applyFont="1" applyBorder="1" applyAlignment="1">
      <alignment horizontal="center"/>
    </xf>
    <xf numFmtId="0" fontId="0" fillId="0" borderId="41" xfId="0" applyBorder="1"/>
    <xf numFmtId="0" fontId="3" fillId="3" borderId="19" xfId="0" applyFont="1" applyFill="1" applyBorder="1"/>
    <xf numFmtId="0" fontId="0" fillId="3" borderId="19" xfId="0" applyFill="1" applyBorder="1"/>
    <xf numFmtId="49" fontId="3" fillId="3" borderId="19" xfId="0" applyNumberFormat="1" applyFont="1" applyFill="1" applyBorder="1"/>
    <xf numFmtId="49" fontId="3" fillId="3" borderId="19" xfId="0" quotePrefix="1" applyNumberFormat="1" applyFont="1" applyFill="1" applyBorder="1"/>
    <xf numFmtId="0" fontId="3" fillId="0" borderId="44" xfId="0" applyFont="1" applyBorder="1"/>
    <xf numFmtId="0" fontId="31" fillId="3" borderId="19" xfId="0" applyFont="1" applyFill="1" applyBorder="1"/>
    <xf numFmtId="0" fontId="3" fillId="0" borderId="34" xfId="0" applyFont="1" applyBorder="1" applyAlignment="1">
      <alignment horizontal="center"/>
    </xf>
    <xf numFmtId="164" fontId="3" fillId="0" borderId="22" xfId="0" applyNumberFormat="1" applyFont="1" applyBorder="1"/>
    <xf numFmtId="2" fontId="3" fillId="0" borderId="22" xfId="0" applyNumberFormat="1" applyFont="1" applyBorder="1"/>
    <xf numFmtId="0" fontId="3" fillId="0" borderId="0" xfId="0" applyFont="1" applyAlignment="1">
      <alignment horizontal="right"/>
    </xf>
    <xf numFmtId="0" fontId="39" fillId="0" borderId="19" xfId="0" applyFont="1" applyBorder="1"/>
    <xf numFmtId="0" fontId="3" fillId="0" borderId="45" xfId="0" applyFont="1" applyBorder="1" applyAlignment="1">
      <alignment horizontal="center"/>
    </xf>
    <xf numFmtId="0" fontId="3" fillId="0" borderId="26" xfId="0" applyFont="1" applyBorder="1" applyAlignment="1">
      <alignment horizontal="right"/>
    </xf>
    <xf numFmtId="0" fontId="3" fillId="0" borderId="26" xfId="0" applyFont="1" applyBorder="1"/>
    <xf numFmtId="0" fontId="3" fillId="0" borderId="19" xfId="0" applyFont="1" applyBorder="1" applyAlignment="1">
      <alignment horizontal="right"/>
    </xf>
    <xf numFmtId="0" fontId="4" fillId="0" borderId="34" xfId="0" applyFont="1" applyBorder="1"/>
    <xf numFmtId="2" fontId="0" fillId="3" borderId="22" xfId="0" applyNumberFormat="1" applyFill="1" applyBorder="1"/>
    <xf numFmtId="0" fontId="3" fillId="6" borderId="19" xfId="0" applyFont="1" applyFill="1" applyBorder="1"/>
    <xf numFmtId="0" fontId="10" fillId="0" borderId="46" xfId="0" applyFont="1" applyBorder="1"/>
    <xf numFmtId="0" fontId="10" fillId="0" borderId="47" xfId="0" applyFont="1" applyBorder="1"/>
    <xf numFmtId="0" fontId="10" fillId="0" borderId="48" xfId="0" applyFont="1" applyBorder="1"/>
    <xf numFmtId="0" fontId="10" fillId="0" borderId="48" xfId="0" applyFont="1" applyBorder="1" applyAlignment="1">
      <alignment horizontal="center"/>
    </xf>
    <xf numFmtId="166" fontId="8" fillId="0" borderId="49" xfId="0" applyNumberFormat="1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167" fontId="0" fillId="5" borderId="19" xfId="3" applyNumberFormat="1" applyFont="1" applyFill="1" applyBorder="1"/>
    <xf numFmtId="10" fontId="0" fillId="0" borderId="19" xfId="0" applyNumberFormat="1" applyBorder="1"/>
    <xf numFmtId="10" fontId="3" fillId="0" borderId="19" xfId="0" applyNumberFormat="1" applyFont="1" applyBorder="1"/>
    <xf numFmtId="0" fontId="3" fillId="0" borderId="23" xfId="0" applyFont="1" applyBorder="1"/>
    <xf numFmtId="0" fontId="14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1" fontId="28" fillId="0" borderId="19" xfId="2" applyNumberFormat="1" applyFont="1" applyBorder="1" applyAlignment="1">
      <alignment horizontal="center" vertical="center"/>
    </xf>
    <xf numFmtId="0" fontId="25" fillId="0" borderId="0" xfId="1" applyFont="1">
      <alignment vertical="center"/>
    </xf>
    <xf numFmtId="0" fontId="29" fillId="0" borderId="20" xfId="2" applyFont="1" applyBorder="1" applyAlignment="1">
      <alignment horizontal="center" vertical="center" wrapText="1"/>
    </xf>
    <xf numFmtId="0" fontId="29" fillId="0" borderId="21" xfId="2" applyFont="1" applyBorder="1" applyAlignment="1">
      <alignment horizontal="center" vertical="center" wrapText="1"/>
    </xf>
    <xf numFmtId="0" fontId="29" fillId="0" borderId="24" xfId="2" applyFont="1" applyBorder="1" applyAlignment="1">
      <alignment horizontal="center" vertical="center" wrapText="1"/>
    </xf>
    <xf numFmtId="0" fontId="29" fillId="0" borderId="25" xfId="2" applyFont="1" applyBorder="1" applyAlignment="1">
      <alignment horizontal="center" vertical="center" wrapText="1"/>
    </xf>
    <xf numFmtId="0" fontId="29" fillId="0" borderId="19" xfId="2" applyFont="1" applyBorder="1" applyAlignment="1">
      <alignment horizontal="center" vertical="center" wrapText="1"/>
    </xf>
    <xf numFmtId="2" fontId="28" fillId="0" borderId="23" xfId="2" applyNumberFormat="1" applyFont="1" applyBorder="1" applyAlignment="1">
      <alignment horizontal="center" vertical="center"/>
    </xf>
    <xf numFmtId="2" fontId="28" fillId="0" borderId="26" xfId="2" applyNumberFormat="1" applyFont="1" applyBorder="1" applyAlignment="1">
      <alignment horizontal="center" vertical="center"/>
    </xf>
    <xf numFmtId="0" fontId="21" fillId="0" borderId="0" xfId="1" applyFont="1" applyAlignment="1">
      <alignment horizontal="left" vertical="top" wrapText="1"/>
    </xf>
    <xf numFmtId="167" fontId="28" fillId="0" borderId="20" xfId="2" applyNumberFormat="1" applyFont="1" applyBorder="1" applyAlignment="1">
      <alignment horizontal="center" vertical="center"/>
    </xf>
    <xf numFmtId="167" fontId="28" fillId="0" borderId="21" xfId="2" applyNumberFormat="1" applyFont="1" applyBorder="1" applyAlignment="1">
      <alignment horizontal="center" vertical="center"/>
    </xf>
    <xf numFmtId="167" fontId="28" fillId="0" borderId="28" xfId="2" applyNumberFormat="1" applyFont="1" applyBorder="1" applyAlignment="1">
      <alignment horizontal="center" vertical="center"/>
    </xf>
    <xf numFmtId="167" fontId="28" fillId="0" borderId="29" xfId="2" applyNumberFormat="1" applyFont="1" applyBorder="1" applyAlignment="1">
      <alignment horizontal="center" vertical="center"/>
    </xf>
    <xf numFmtId="167" fontId="28" fillId="0" borderId="24" xfId="2" applyNumberFormat="1" applyFont="1" applyBorder="1" applyAlignment="1">
      <alignment horizontal="center" vertical="center"/>
    </xf>
    <xf numFmtId="167" fontId="28" fillId="0" borderId="25" xfId="2" applyNumberFormat="1" applyFont="1" applyBorder="1" applyAlignment="1">
      <alignment horizontal="center" vertical="center"/>
    </xf>
    <xf numFmtId="0" fontId="3" fillId="0" borderId="39" xfId="0" applyFont="1" applyBorder="1"/>
    <xf numFmtId="0" fontId="6" fillId="0" borderId="39" xfId="0" applyFont="1" applyBorder="1"/>
    <xf numFmtId="0" fontId="3" fillId="0" borderId="19" xfId="0" applyFont="1" applyBorder="1"/>
    <xf numFmtId="0" fontId="6" fillId="0" borderId="22" xfId="0" applyFont="1" applyBorder="1"/>
    <xf numFmtId="0" fontId="3" fillId="0" borderId="2" xfId="0" applyFont="1" applyBorder="1"/>
    <xf numFmtId="0" fontId="6" fillId="0" borderId="2" xfId="0" applyFont="1" applyBorder="1"/>
    <xf numFmtId="0" fontId="6" fillId="0" borderId="3" xfId="0" applyFont="1" applyBorder="1"/>
    <xf numFmtId="0" fontId="3" fillId="0" borderId="1" xfId="0" applyFont="1" applyBorder="1"/>
  </cellXfs>
  <cellStyles count="4">
    <cellStyle name="Normal" xfId="0" builtinId="0"/>
    <cellStyle name="Normal 2" xfId="2" xr:uid="{60F3717D-2263-4829-93EE-6ADFB3CE6A4A}"/>
    <cellStyle name="Normal 3" xfId="1" xr:uid="{6DE6BE7D-915D-442E-BA89-97D4C33870FC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</xdr:colOff>
      <xdr:row>42</xdr:row>
      <xdr:rowOff>160020</xdr:rowOff>
    </xdr:from>
    <xdr:to>
      <xdr:col>4</xdr:col>
      <xdr:colOff>657225</xdr:colOff>
      <xdr:row>46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075E6-AD97-E87D-3917-700AA9222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7913370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7285E-3A69-4D65-B839-7D4EFD549E70}">
  <sheetPr>
    <tabColor rgb="FFFFC000"/>
  </sheetPr>
  <dimension ref="A5:K120"/>
  <sheetViews>
    <sheetView showGridLines="0" tabSelected="1" view="pageBreakPreview" topLeftCell="A53" zoomScale="90" zoomScaleNormal="100" zoomScaleSheetLayoutView="90" zoomScalePageLayoutView="85" workbookViewId="0">
      <selection activeCell="H67" sqref="H67"/>
    </sheetView>
  </sheetViews>
  <sheetFormatPr defaultColWidth="9.109375" defaultRowHeight="14.4" x14ac:dyDescent="0.3"/>
  <cols>
    <col min="1" max="1" width="10.44140625" style="42" customWidth="1"/>
    <col min="2" max="3" width="10.33203125" style="42" customWidth="1"/>
    <col min="4" max="4" width="6.88671875" style="42" customWidth="1"/>
    <col min="5" max="5" width="11.5546875" style="42" customWidth="1"/>
    <col min="6" max="6" width="9.109375" style="42"/>
    <col min="7" max="7" width="10.5546875" style="42" customWidth="1"/>
    <col min="8" max="8" width="10.88671875" style="42" customWidth="1"/>
    <col min="9" max="9" width="10.5546875" style="42" customWidth="1"/>
    <col min="10" max="10" width="9.33203125" style="42" customWidth="1"/>
    <col min="11" max="11" width="9.109375" style="42"/>
    <col min="12" max="12" width="2" style="42" customWidth="1"/>
    <col min="13" max="13" width="2.6640625" style="42" customWidth="1"/>
    <col min="14" max="16384" width="9.109375" style="42"/>
  </cols>
  <sheetData>
    <row r="5" spans="1:11" x14ac:dyDescent="0.3">
      <c r="B5" s="43"/>
    </row>
    <row r="7" spans="1:11" ht="22.8" x14ac:dyDescent="0.3">
      <c r="A7" s="124" t="s">
        <v>63</v>
      </c>
      <c r="B7" s="124"/>
      <c r="C7" s="124"/>
      <c r="D7" s="124"/>
      <c r="E7" s="124"/>
      <c r="F7" s="124"/>
      <c r="G7" s="124"/>
      <c r="H7" s="124"/>
      <c r="I7" s="124"/>
      <c r="J7" s="124"/>
      <c r="K7" s="124"/>
    </row>
    <row r="8" spans="1:11" ht="18" x14ac:dyDescent="0.3">
      <c r="A8" s="125" t="s">
        <v>64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</row>
    <row r="9" spans="1:11" x14ac:dyDescent="0.3">
      <c r="A9" s="126" t="s">
        <v>159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</row>
    <row r="11" spans="1:11" x14ac:dyDescent="0.3">
      <c r="E11" s="43"/>
    </row>
    <row r="14" spans="1:11" x14ac:dyDescent="0.3">
      <c r="B14" s="45" t="s">
        <v>65</v>
      </c>
      <c r="C14" s="46"/>
      <c r="D14" s="46"/>
    </row>
    <row r="15" spans="1:11" x14ac:dyDescent="0.3">
      <c r="B15" s="47" t="s">
        <v>66</v>
      </c>
    </row>
    <row r="17" spans="2:7" x14ac:dyDescent="0.3">
      <c r="B17" s="44" t="s">
        <v>67</v>
      </c>
      <c r="E17" s="44" t="s">
        <v>110</v>
      </c>
      <c r="F17" s="44"/>
    </row>
    <row r="18" spans="2:7" x14ac:dyDescent="0.3">
      <c r="B18" s="48" t="s">
        <v>68</v>
      </c>
      <c r="E18" s="44"/>
      <c r="F18" s="44"/>
    </row>
    <row r="19" spans="2:7" x14ac:dyDescent="0.3">
      <c r="B19" s="49" t="s">
        <v>69</v>
      </c>
      <c r="E19" s="44" t="str">
        <f>CONCATENATE(":"," ",'Budget pH meter'!B7)</f>
        <v>: Thermo Scientific</v>
      </c>
      <c r="F19" s="44"/>
    </row>
    <row r="20" spans="2:7" x14ac:dyDescent="0.3">
      <c r="B20" s="50" t="s">
        <v>70</v>
      </c>
      <c r="E20" s="44"/>
      <c r="F20" s="44"/>
    </row>
    <row r="21" spans="2:7" x14ac:dyDescent="0.3">
      <c r="B21" s="49" t="s">
        <v>71</v>
      </c>
      <c r="E21" s="44" t="str">
        <f>CONCATENATE(":"," ",'Budget pH meter'!B8)</f>
        <v>: Orion Star A325</v>
      </c>
      <c r="F21" s="44"/>
    </row>
    <row r="22" spans="2:7" x14ac:dyDescent="0.3">
      <c r="B22" s="50" t="s">
        <v>72</v>
      </c>
      <c r="E22" s="44"/>
      <c r="F22" s="44"/>
    </row>
    <row r="23" spans="2:7" x14ac:dyDescent="0.3">
      <c r="B23" s="44" t="s">
        <v>73</v>
      </c>
      <c r="E23" s="44" t="str">
        <f>CONCATENATE(":"," ",'Budget pH meter'!B9)</f>
        <v>: -</v>
      </c>
      <c r="F23" s="44"/>
    </row>
    <row r="24" spans="2:7" x14ac:dyDescent="0.3">
      <c r="B24" s="48" t="s">
        <v>74</v>
      </c>
      <c r="E24" s="44"/>
      <c r="F24" s="44"/>
    </row>
    <row r="25" spans="2:7" x14ac:dyDescent="0.3">
      <c r="B25" s="44" t="s">
        <v>75</v>
      </c>
      <c r="E25" s="44" t="str">
        <f>CONCATENATE(":"," ",'Budget pH meter'!B10)</f>
        <v>: G13040</v>
      </c>
      <c r="F25" s="44"/>
    </row>
    <row r="26" spans="2:7" x14ac:dyDescent="0.3">
      <c r="B26" s="48" t="s">
        <v>76</v>
      </c>
      <c r="E26" s="44"/>
      <c r="F26" s="44"/>
    </row>
    <row r="27" spans="2:7" x14ac:dyDescent="0.3">
      <c r="B27" s="44" t="s">
        <v>77</v>
      </c>
      <c r="E27" s="44" t="s">
        <v>78</v>
      </c>
      <c r="G27" s="44" t="str">
        <f>CONCATENATE(":"," ",'Budget pH meter'!B11," ",'Budget pH meter'!E11)</f>
        <v>: (-2,00) s.d. 20,00 pH</v>
      </c>
    </row>
    <row r="28" spans="2:7" x14ac:dyDescent="0.3">
      <c r="B28" s="50" t="s">
        <v>79</v>
      </c>
      <c r="E28" s="44" t="s">
        <v>80</v>
      </c>
      <c r="G28" s="44" t="str">
        <f>CONCATENATE(":"," ",'Budget pH meter'!D11," ",'Budget pH meter'!E11)</f>
        <v>: 0,01 pH</v>
      </c>
    </row>
    <row r="30" spans="2:7" ht="14.25" customHeight="1" x14ac:dyDescent="0.3">
      <c r="B30" s="51" t="s">
        <v>81</v>
      </c>
      <c r="C30" s="51"/>
      <c r="D30" s="51"/>
    </row>
    <row r="31" spans="2:7" ht="14.25" customHeight="1" x14ac:dyDescent="0.3">
      <c r="B31" s="52" t="s">
        <v>82</v>
      </c>
      <c r="C31" s="52"/>
      <c r="D31" s="52"/>
    </row>
    <row r="32" spans="2:7" x14ac:dyDescent="0.3">
      <c r="B32" s="53"/>
      <c r="C32" s="53"/>
      <c r="D32" s="53"/>
    </row>
    <row r="33" spans="2:9" ht="15.6" x14ac:dyDescent="0.3">
      <c r="B33" s="44" t="s">
        <v>83</v>
      </c>
      <c r="C33" s="44" t="str">
        <f>CONCATENATE(":"," ",'Budget pH meter'!B6)</f>
        <v>: UPTD. Laboratorium Lingkungan Hidup, DLH Jawa Barat</v>
      </c>
      <c r="D33" s="54"/>
    </row>
    <row r="34" spans="2:9" ht="14.25" customHeight="1" x14ac:dyDescent="0.3">
      <c r="B34" s="48" t="s">
        <v>84</v>
      </c>
      <c r="C34" s="44"/>
      <c r="D34" s="54"/>
    </row>
    <row r="35" spans="2:9" ht="15.6" x14ac:dyDescent="0.3">
      <c r="B35" s="44" t="s">
        <v>85</v>
      </c>
      <c r="C35" s="44" t="str">
        <f>CONCATENATE(":"," ",'Budget pH meter'!B2)</f>
        <v>: Jl. A. H. Nasution No. 117, Pasir Endah, Kec. ujung Berung, Bandung 40619</v>
      </c>
      <c r="D35" s="54"/>
    </row>
    <row r="36" spans="2:9" ht="14.25" customHeight="1" x14ac:dyDescent="0.3">
      <c r="B36" s="48" t="s">
        <v>86</v>
      </c>
      <c r="C36" s="44"/>
      <c r="D36" s="54"/>
    </row>
    <row r="38" spans="2:9" x14ac:dyDescent="0.3">
      <c r="I38" s="55" t="s">
        <v>87</v>
      </c>
    </row>
    <row r="39" spans="2:9" x14ac:dyDescent="0.3">
      <c r="I39" s="56" t="s">
        <v>88</v>
      </c>
    </row>
    <row r="40" spans="2:9" x14ac:dyDescent="0.3">
      <c r="I40" s="57"/>
    </row>
    <row r="41" spans="2:9" x14ac:dyDescent="0.3">
      <c r="I41" s="55" t="s">
        <v>158</v>
      </c>
    </row>
    <row r="42" spans="2:9" x14ac:dyDescent="0.3">
      <c r="I42" s="56" t="s">
        <v>89</v>
      </c>
    </row>
    <row r="44" spans="2:9" x14ac:dyDescent="0.3">
      <c r="G44" s="58" t="s">
        <v>145</v>
      </c>
    </row>
    <row r="45" spans="2:9" ht="14.25" customHeight="1" x14ac:dyDescent="0.3">
      <c r="E45" s="58"/>
      <c r="G45" s="136" t="s">
        <v>147</v>
      </c>
      <c r="H45" s="136"/>
    </row>
    <row r="46" spans="2:9" ht="18" customHeight="1" x14ac:dyDescent="0.3">
      <c r="G46" s="60" t="s">
        <v>146</v>
      </c>
    </row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spans="2:9" ht="12.75" customHeight="1" x14ac:dyDescent="0.3"/>
    <row r="66" spans="2:9" x14ac:dyDescent="0.3">
      <c r="G66" s="60" t="s">
        <v>90</v>
      </c>
      <c r="H66" s="60" t="str">
        <f>CONCATENATE(":"," ",MID(A9,18,100))</f>
        <v>: 0058-7.2/KALIBRASI BBLM/XII/2025</v>
      </c>
    </row>
    <row r="67" spans="2:9" x14ac:dyDescent="0.3">
      <c r="G67" s="60" t="s">
        <v>91</v>
      </c>
      <c r="H67" s="60" t="str">
        <f>": " &amp;'Budget pH meter'!B3</f>
        <v>: K663-2</v>
      </c>
    </row>
    <row r="68" spans="2:9" x14ac:dyDescent="0.3">
      <c r="G68" s="60" t="s">
        <v>92</v>
      </c>
      <c r="H68" s="60" t="s">
        <v>93</v>
      </c>
    </row>
    <row r="69" spans="2:9" ht="24" customHeight="1" x14ac:dyDescent="0.3"/>
    <row r="70" spans="2:9" x14ac:dyDescent="0.3">
      <c r="B70" s="128" t="s">
        <v>94</v>
      </c>
      <c r="C70" s="128"/>
      <c r="D70" s="128"/>
      <c r="E70" s="128"/>
      <c r="F70" s="128"/>
    </row>
    <row r="71" spans="2:9" x14ac:dyDescent="0.3">
      <c r="B71" s="44" t="s">
        <v>95</v>
      </c>
      <c r="D71" s="44" t="str">
        <f>E17</f>
        <v>: pH meter</v>
      </c>
      <c r="E71" s="44"/>
      <c r="F71" s="44"/>
      <c r="G71" s="44"/>
    </row>
    <row r="72" spans="2:9" x14ac:dyDescent="0.3">
      <c r="B72" s="44" t="s">
        <v>96</v>
      </c>
      <c r="D72" s="44" t="str">
        <f>CONCATENATE(":"," ",'Budget pH meter'!B7," ","/"," ",'Budget pH meter'!B8)</f>
        <v>: Thermo Scientific / Orion Star A325</v>
      </c>
      <c r="E72" s="44"/>
      <c r="F72" s="44"/>
      <c r="G72" s="44"/>
    </row>
    <row r="73" spans="2:9" x14ac:dyDescent="0.3">
      <c r="B73" s="44" t="s">
        <v>97</v>
      </c>
      <c r="D73" s="44" t="str">
        <f>E23</f>
        <v>: -</v>
      </c>
      <c r="E73" s="44"/>
      <c r="F73" s="44"/>
      <c r="G73" s="44"/>
    </row>
    <row r="74" spans="2:9" x14ac:dyDescent="0.3">
      <c r="B74" s="44" t="s">
        <v>98</v>
      </c>
      <c r="D74" s="44" t="str">
        <f>E25</f>
        <v>: G13040</v>
      </c>
      <c r="E74" s="44"/>
      <c r="F74" s="44"/>
      <c r="G74" s="44"/>
    </row>
    <row r="75" spans="2:9" x14ac:dyDescent="0.3">
      <c r="B75" s="44" t="s">
        <v>99</v>
      </c>
      <c r="D75" s="44" t="str">
        <f>G27</f>
        <v>: (-2,00) s.d. 20,00 pH</v>
      </c>
      <c r="E75" s="44"/>
    </row>
    <row r="76" spans="2:9" x14ac:dyDescent="0.3">
      <c r="B76" s="44" t="s">
        <v>100</v>
      </c>
      <c r="D76" s="44" t="str">
        <f>G28</f>
        <v>: 0,01 pH</v>
      </c>
      <c r="E76" s="44"/>
      <c r="G76" s="59" t="s">
        <v>101</v>
      </c>
      <c r="I76" s="59"/>
    </row>
    <row r="77" spans="2:9" x14ac:dyDescent="0.3">
      <c r="B77" s="44" t="s">
        <v>102</v>
      </c>
      <c r="D77" s="44" t="s">
        <v>116</v>
      </c>
      <c r="E77" s="44"/>
      <c r="G77" s="44" t="s">
        <v>103</v>
      </c>
      <c r="I77" s="44" t="str">
        <f>CONCATENATE(": ",'Budget pH meter'!G12," ºC")</f>
        <v>: 19,6 ± 2,0 ºC</v>
      </c>
    </row>
    <row r="78" spans="2:9" x14ac:dyDescent="0.3">
      <c r="B78" s="44" t="s">
        <v>104</v>
      </c>
      <c r="D78" s="44" t="str">
        <f>CONCATENATE(": ",'Budget pH meter'!B4)</f>
        <v xml:space="preserve">: 25 November 2025 </v>
      </c>
      <c r="E78" s="44"/>
      <c r="G78" s="44" t="s">
        <v>105</v>
      </c>
      <c r="I78" s="44" t="str">
        <f>CONCATENATE(": ",'Budget pH meter'!H12," %RH")</f>
        <v>: 64 ± 3 %RH</v>
      </c>
    </row>
    <row r="79" spans="2:9" x14ac:dyDescent="0.3">
      <c r="B79" s="44" t="s">
        <v>106</v>
      </c>
      <c r="D79" s="44" t="str">
        <f>CONCATENATE(": ",'Budget pH meter'!B5)</f>
        <v>: 1 Desember 2025</v>
      </c>
      <c r="E79" s="61"/>
      <c r="F79" s="44"/>
      <c r="H79" s="44"/>
    </row>
    <row r="80" spans="2:9" x14ac:dyDescent="0.3">
      <c r="B80" s="44" t="s">
        <v>107</v>
      </c>
      <c r="D80" s="44" t="s">
        <v>117</v>
      </c>
      <c r="E80" s="44"/>
    </row>
    <row r="81" spans="2:9" x14ac:dyDescent="0.3">
      <c r="B81" s="44"/>
      <c r="D81" s="44"/>
      <c r="E81" s="44"/>
      <c r="F81" s="44"/>
      <c r="G81" s="44"/>
    </row>
    <row r="82" spans="2:9" ht="9" customHeight="1" x14ac:dyDescent="0.3"/>
    <row r="83" spans="2:9" x14ac:dyDescent="0.3">
      <c r="E83" s="62" t="s">
        <v>108</v>
      </c>
    </row>
    <row r="84" spans="2:9" ht="7.5" customHeight="1" x14ac:dyDescent="0.3"/>
    <row r="85" spans="2:9" ht="5.7" customHeight="1" x14ac:dyDescent="0.3"/>
    <row r="86" spans="2:9" ht="26.7" customHeight="1" x14ac:dyDescent="0.3">
      <c r="B86" s="129" t="s">
        <v>144</v>
      </c>
      <c r="C86" s="130"/>
      <c r="D86" s="133" t="s">
        <v>137</v>
      </c>
      <c r="E86" s="133"/>
      <c r="F86" s="133" t="s">
        <v>142</v>
      </c>
      <c r="G86" s="133"/>
      <c r="H86" s="133" t="s">
        <v>118</v>
      </c>
      <c r="I86" s="133"/>
    </row>
    <row r="87" spans="2:9" ht="21.45" customHeight="1" x14ac:dyDescent="0.3">
      <c r="B87" s="131"/>
      <c r="C87" s="132"/>
      <c r="D87" s="133"/>
      <c r="E87" s="133"/>
      <c r="F87" s="133"/>
      <c r="G87" s="133"/>
      <c r="H87" s="133"/>
      <c r="I87" s="133"/>
    </row>
    <row r="88" spans="2:9" ht="21.45" customHeight="1" x14ac:dyDescent="0.3">
      <c r="B88" s="134">
        <v>4</v>
      </c>
      <c r="C88" s="135"/>
      <c r="D88" s="134">
        <f>'Budget pH meter'!J18-'Budget pH meter'!H18</f>
        <v>1.9150000000000666E-2</v>
      </c>
      <c r="E88" s="135"/>
      <c r="F88" s="137">
        <f>'Budget pH meter'!R30</f>
        <v>0.99498685857779745</v>
      </c>
      <c r="G88" s="138"/>
      <c r="H88" s="127" t="str">
        <f>CONCATENATE(FIXED(MAX('Budget pH meter'!J55,0.023),3))</f>
        <v>0,023</v>
      </c>
      <c r="I88" s="127"/>
    </row>
    <row r="89" spans="2:9" ht="21.45" customHeight="1" x14ac:dyDescent="0.3">
      <c r="B89" s="134">
        <v>7</v>
      </c>
      <c r="C89" s="135"/>
      <c r="D89" s="134">
        <f>'Budget pH meter'!J24-'Budget pH meter'!H24</f>
        <v>1.9066666666665455E-2</v>
      </c>
      <c r="E89" s="135"/>
      <c r="F89" s="139"/>
      <c r="G89" s="140"/>
      <c r="H89" s="127" t="str">
        <f>CONCATENATE(FIXED(MAX('Budget pH meter'!J73,0.03),3))</f>
        <v>0,030</v>
      </c>
      <c r="I89" s="127"/>
    </row>
    <row r="90" spans="2:9" ht="21.45" customHeight="1" x14ac:dyDescent="0.3">
      <c r="B90" s="134">
        <v>10</v>
      </c>
      <c r="C90" s="135"/>
      <c r="D90" s="134">
        <f>'Budget pH meter'!J30-'Budget pH meter'!H30</f>
        <v>-8.6805555555555358E-2</v>
      </c>
      <c r="E90" s="135"/>
      <c r="F90" s="141"/>
      <c r="G90" s="142"/>
      <c r="H90" s="127" t="str">
        <f>CONCATENATE(FIXED(MAX('Budget pH meter'!J93,0.037),3))</f>
        <v>0,037</v>
      </c>
      <c r="I90" s="127"/>
    </row>
    <row r="91" spans="2:9" ht="21.45" customHeight="1" x14ac:dyDescent="0.3"/>
    <row r="93" spans="2:9" x14ac:dyDescent="0.3">
      <c r="B93" s="60" t="s">
        <v>109</v>
      </c>
    </row>
    <row r="94" spans="2:9" x14ac:dyDescent="0.3">
      <c r="B94" s="63" t="s">
        <v>138</v>
      </c>
    </row>
    <row r="95" spans="2:9" x14ac:dyDescent="0.3">
      <c r="B95" s="63" t="s">
        <v>139</v>
      </c>
    </row>
    <row r="96" spans="2:9" x14ac:dyDescent="0.3">
      <c r="B96" s="63" t="s">
        <v>160</v>
      </c>
    </row>
    <row r="97" spans="2:6" x14ac:dyDescent="0.3">
      <c r="B97" s="63"/>
    </row>
    <row r="98" spans="2:6" x14ac:dyDescent="0.3">
      <c r="B98" s="63"/>
    </row>
    <row r="106" spans="2:6" ht="5.7" customHeight="1" x14ac:dyDescent="0.3"/>
    <row r="107" spans="2:6" x14ac:dyDescent="0.3">
      <c r="E107" s="60"/>
      <c r="F107" s="60"/>
    </row>
    <row r="108" spans="2:6" x14ac:dyDescent="0.3">
      <c r="E108" s="60"/>
      <c r="F108" s="60"/>
    </row>
    <row r="109" spans="2:6" x14ac:dyDescent="0.3">
      <c r="E109" s="60"/>
      <c r="F109" s="60"/>
    </row>
    <row r="111" spans="2:6" x14ac:dyDescent="0.3">
      <c r="B111" s="59"/>
    </row>
    <row r="119" spans="2:2" x14ac:dyDescent="0.3">
      <c r="B119" s="60"/>
    </row>
    <row r="120" spans="2:2" x14ac:dyDescent="0.3">
      <c r="B120" s="60"/>
    </row>
  </sheetData>
  <mergeCells count="19">
    <mergeCell ref="D90:E90"/>
    <mergeCell ref="H90:I90"/>
    <mergeCell ref="F88:G90"/>
    <mergeCell ref="B90:C90"/>
    <mergeCell ref="A7:K7"/>
    <mergeCell ref="A8:K8"/>
    <mergeCell ref="A9:K9"/>
    <mergeCell ref="H88:I88"/>
    <mergeCell ref="H89:I89"/>
    <mergeCell ref="B70:F70"/>
    <mergeCell ref="B86:C87"/>
    <mergeCell ref="D86:E87"/>
    <mergeCell ref="H86:I87"/>
    <mergeCell ref="F86:G87"/>
    <mergeCell ref="B88:C88"/>
    <mergeCell ref="G45:H45"/>
    <mergeCell ref="B89:C89"/>
    <mergeCell ref="D88:E88"/>
    <mergeCell ref="D89:E89"/>
  </mergeCells>
  <phoneticPr fontId="37" type="noConversion"/>
  <pageMargins left="0" right="0" top="0.35433070866141736" bottom="3.937007874015748E-2" header="0" footer="0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0E697-106E-42CF-980A-6FFF558813B0}">
  <dimension ref="A1:Z1032"/>
  <sheetViews>
    <sheetView topLeftCell="H18" zoomScale="85" zoomScaleNormal="85" workbookViewId="0">
      <selection activeCell="R48" sqref="R48"/>
    </sheetView>
  </sheetViews>
  <sheetFormatPr defaultColWidth="13.44140625" defaultRowHeight="15" customHeight="1" x14ac:dyDescent="0.3"/>
  <cols>
    <col min="1" max="1" width="18.5546875" customWidth="1"/>
    <col min="2" max="2" width="39.6640625" customWidth="1"/>
    <col min="3" max="5" width="9.6640625" customWidth="1"/>
    <col min="6" max="6" width="14" bestFit="1" customWidth="1"/>
    <col min="7" max="7" width="11.6640625" bestFit="1" customWidth="1"/>
    <col min="8" max="8" width="12.88671875" bestFit="1" customWidth="1"/>
    <col min="9" max="9" width="10.33203125" customWidth="1"/>
    <col min="10" max="10" width="9.6640625" customWidth="1"/>
    <col min="11" max="11" width="11.44140625" customWidth="1"/>
    <col min="12" max="15" width="9.6640625" customWidth="1"/>
    <col min="16" max="16" width="10.33203125" customWidth="1"/>
    <col min="17" max="17" width="15.44140625" customWidth="1"/>
    <col min="18" max="18" width="13.109375" bestFit="1" customWidth="1"/>
    <col min="19" max="19" width="23.88671875" bestFit="1" customWidth="1"/>
    <col min="20" max="26" width="9.6640625" customWidth="1"/>
  </cols>
  <sheetData>
    <row r="1" spans="1:26" ht="12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">
      <c r="A2" s="41" t="s">
        <v>136</v>
      </c>
      <c r="B2" s="96" t="s">
        <v>148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3">
      <c r="A3" s="41" t="s">
        <v>112</v>
      </c>
      <c r="B3" s="96" t="s">
        <v>149</v>
      </c>
      <c r="C3" s="2"/>
      <c r="D3" s="2"/>
      <c r="E3" s="2"/>
      <c r="F3" s="2"/>
      <c r="G3" s="2"/>
      <c r="H3" s="2"/>
      <c r="I3" s="2"/>
      <c r="K3" s="72" t="s">
        <v>133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3">
      <c r="A4" s="41" t="s">
        <v>114</v>
      </c>
      <c r="B4" s="98" t="s">
        <v>150</v>
      </c>
      <c r="C4" s="2"/>
      <c r="D4" s="2"/>
      <c r="E4" s="2"/>
      <c r="F4" s="64"/>
      <c r="G4" s="67" t="s">
        <v>134</v>
      </c>
      <c r="H4" s="68" t="s">
        <v>121</v>
      </c>
      <c r="I4" s="2"/>
      <c r="K4" s="66" t="s">
        <v>123</v>
      </c>
      <c r="N4" s="66" t="s">
        <v>124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3">
      <c r="A5" s="41" t="s">
        <v>113</v>
      </c>
      <c r="B5" s="98" t="s">
        <v>151</v>
      </c>
      <c r="C5" s="2"/>
      <c r="D5" s="2"/>
      <c r="E5" s="2"/>
      <c r="F5" s="68" t="s">
        <v>119</v>
      </c>
      <c r="G5" s="96">
        <v>19.5</v>
      </c>
      <c r="H5" s="96">
        <v>65</v>
      </c>
      <c r="I5" s="2"/>
      <c r="K5" s="71" t="s">
        <v>130</v>
      </c>
      <c r="L5" s="71" t="s">
        <v>131</v>
      </c>
      <c r="M5" s="67" t="s">
        <v>126</v>
      </c>
      <c r="N5" s="71" t="s">
        <v>132</v>
      </c>
      <c r="O5" s="71" t="s">
        <v>131</v>
      </c>
      <c r="P5" s="68" t="s">
        <v>126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3">
      <c r="A6" s="41" t="s">
        <v>115</v>
      </c>
      <c r="B6" s="96" t="s">
        <v>152</v>
      </c>
      <c r="C6" s="2"/>
      <c r="D6" s="2"/>
      <c r="E6" s="2"/>
      <c r="F6" s="68" t="s">
        <v>120</v>
      </c>
      <c r="G6" s="96">
        <v>19.5</v>
      </c>
      <c r="H6" s="96">
        <v>65</v>
      </c>
      <c r="I6" s="2"/>
      <c r="K6" s="67">
        <v>20.010000000000002</v>
      </c>
      <c r="L6" s="67">
        <v>0.3</v>
      </c>
      <c r="M6" s="67">
        <v>2</v>
      </c>
      <c r="N6" s="67">
        <v>40.01</v>
      </c>
      <c r="O6" s="67">
        <v>-2</v>
      </c>
      <c r="P6" s="41">
        <v>3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3">
      <c r="A7" s="41" t="s">
        <v>111</v>
      </c>
      <c r="B7" s="96" t="s">
        <v>153</v>
      </c>
      <c r="C7" s="2"/>
      <c r="D7" s="2"/>
      <c r="E7" s="2"/>
      <c r="F7" s="68" t="s">
        <v>122</v>
      </c>
      <c r="G7" s="73">
        <f>AVERAGE(G5:G6)</f>
        <v>19.5</v>
      </c>
      <c r="H7" s="41">
        <f>AVERAGE(H5:H6)</f>
        <v>65</v>
      </c>
      <c r="I7" s="2"/>
      <c r="K7" s="67">
        <v>25</v>
      </c>
      <c r="L7" s="67">
        <v>0.4</v>
      </c>
      <c r="M7" s="64">
        <v>2</v>
      </c>
      <c r="N7" s="67">
        <v>50.01</v>
      </c>
      <c r="O7" s="67">
        <v>-3</v>
      </c>
      <c r="P7" s="41">
        <v>3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3">
      <c r="A8" s="41" t="s">
        <v>71</v>
      </c>
      <c r="B8" s="96" t="s">
        <v>154</v>
      </c>
      <c r="F8" s="67" t="s">
        <v>125</v>
      </c>
      <c r="G8" s="69">
        <f>G7+FORECAST(G7,L6:L10,K6:K10)</f>
        <v>19.563469459257178</v>
      </c>
      <c r="H8" s="73">
        <f>H7+FORECAST(H7,O6:O10,N6:N10)</f>
        <v>63.523834080932062</v>
      </c>
      <c r="I8" s="2"/>
      <c r="K8" s="67">
        <v>30</v>
      </c>
      <c r="L8" s="67">
        <v>0.5</v>
      </c>
      <c r="M8" s="64">
        <v>2</v>
      </c>
      <c r="N8" s="67">
        <v>60.02</v>
      </c>
      <c r="O8" s="67">
        <v>-1</v>
      </c>
      <c r="P8" s="41">
        <v>3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3">
      <c r="A9" s="100" t="s">
        <v>161</v>
      </c>
      <c r="B9" s="101" t="s">
        <v>162</v>
      </c>
      <c r="F9" s="68" t="s">
        <v>126</v>
      </c>
      <c r="G9" s="69">
        <v>2</v>
      </c>
      <c r="H9" s="69">
        <f>FORECAST(H8,P6:P10,N6:N10)</f>
        <v>2.7723924291368482</v>
      </c>
      <c r="I9" s="2"/>
      <c r="K9" s="67">
        <v>35</v>
      </c>
      <c r="L9" s="67">
        <v>1.2</v>
      </c>
      <c r="M9" s="64">
        <v>2</v>
      </c>
      <c r="N9" s="67">
        <v>70</v>
      </c>
      <c r="O9" s="67">
        <v>0</v>
      </c>
      <c r="P9" s="41">
        <v>2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3">
      <c r="A10" s="41" t="s">
        <v>4</v>
      </c>
      <c r="B10" s="96" t="s">
        <v>155</v>
      </c>
      <c r="F10" s="68" t="s">
        <v>127</v>
      </c>
      <c r="G10" s="69">
        <f>(MAX(G5:G6)-G7+G7-MIN(G5:G6))/2</f>
        <v>0</v>
      </c>
      <c r="H10" s="69">
        <f>(MAX(H5:H6)-H7+H7-MIN(H5:H6))/2</f>
        <v>0</v>
      </c>
      <c r="I10" s="2"/>
      <c r="K10" s="67">
        <v>40</v>
      </c>
      <c r="L10" s="67">
        <v>1.7</v>
      </c>
      <c r="M10" s="64">
        <v>2</v>
      </c>
      <c r="N10" s="67">
        <v>82</v>
      </c>
      <c r="O10" s="67">
        <v>-2</v>
      </c>
      <c r="P10" s="41">
        <v>3</v>
      </c>
      <c r="Q10" s="2"/>
      <c r="R10" s="2"/>
      <c r="S10" s="3"/>
      <c r="T10" s="2"/>
      <c r="U10" s="2"/>
      <c r="V10" s="2"/>
      <c r="W10" s="2"/>
      <c r="X10" s="2"/>
      <c r="Y10" s="2"/>
      <c r="Z10" s="2"/>
    </row>
    <row r="11" spans="1:26" ht="12.75" customHeight="1" x14ac:dyDescent="0.3">
      <c r="A11" s="41" t="s">
        <v>6</v>
      </c>
      <c r="B11" s="99" t="s">
        <v>163</v>
      </c>
      <c r="C11" s="4" t="s">
        <v>7</v>
      </c>
      <c r="D11" s="2">
        <v>0.01</v>
      </c>
      <c r="E11" s="2" t="s">
        <v>43</v>
      </c>
      <c r="F11" s="68" t="s">
        <v>128</v>
      </c>
      <c r="G11" s="69">
        <f>G9+G10</f>
        <v>2</v>
      </c>
      <c r="H11" s="69">
        <f>H9+H10</f>
        <v>2.7723924291368482</v>
      </c>
      <c r="I11" s="2"/>
      <c r="M11" s="2"/>
      <c r="O11" s="2"/>
      <c r="P11" s="2"/>
      <c r="Q11" s="2"/>
      <c r="R11" s="2"/>
      <c r="S11" s="3"/>
      <c r="T11" s="2"/>
      <c r="U11" s="2"/>
      <c r="V11" s="2"/>
      <c r="W11" s="2"/>
      <c r="X11" s="2"/>
      <c r="Y11" s="2"/>
      <c r="Z11" s="2"/>
    </row>
    <row r="12" spans="1:26" ht="12.75" customHeight="1" x14ac:dyDescent="0.3">
      <c r="A12" s="2"/>
      <c r="B12" s="74"/>
      <c r="C12" s="2"/>
      <c r="D12" s="2"/>
      <c r="E12" s="2"/>
      <c r="F12" s="70" t="s">
        <v>129</v>
      </c>
      <c r="G12" s="41" t="str">
        <f>FIXED(G8,1) &amp; " ± "&amp;FIXED(G11,1)</f>
        <v>19,6 ± 2,0</v>
      </c>
      <c r="H12" s="41" t="str">
        <f>FIXED(H8,0) &amp; " ± "&amp;FIXED(H11,0)</f>
        <v>64 ± 3</v>
      </c>
      <c r="I12" s="2"/>
      <c r="M12" s="2"/>
      <c r="O12" s="2"/>
      <c r="P12" s="2"/>
      <c r="Q12" s="2"/>
      <c r="R12" s="2"/>
      <c r="S12" s="3"/>
      <c r="T12" s="2"/>
      <c r="U12" s="2"/>
      <c r="V12" s="2"/>
      <c r="W12" s="2"/>
      <c r="X12" s="2"/>
      <c r="Y12" s="2"/>
      <c r="Z12" s="2"/>
    </row>
    <row r="13" spans="1:26" ht="12.75" customHeight="1" thickBot="1" x14ac:dyDescent="0.35">
      <c r="A13" s="2"/>
      <c r="B13" s="2"/>
      <c r="C13" s="2"/>
      <c r="D13" s="2"/>
      <c r="E13" s="2"/>
      <c r="F13" s="2"/>
      <c r="G13" s="2"/>
      <c r="H13" s="2"/>
      <c r="I13" s="2"/>
      <c r="M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3">
      <c r="A14" s="77"/>
      <c r="B14" s="85"/>
      <c r="C14" s="85"/>
      <c r="D14" s="85"/>
      <c r="E14" s="85"/>
      <c r="F14" s="85"/>
      <c r="G14" s="85" t="s">
        <v>167</v>
      </c>
      <c r="H14" s="85" t="s">
        <v>168</v>
      </c>
      <c r="I14" s="85"/>
      <c r="J14" s="85"/>
      <c r="K14" s="85"/>
      <c r="L14" s="85"/>
      <c r="M14" s="85"/>
      <c r="N14" s="85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3">
      <c r="A15" s="86" t="s">
        <v>9</v>
      </c>
      <c r="B15" s="2"/>
      <c r="C15" s="2"/>
      <c r="D15" s="2"/>
      <c r="E15" s="2"/>
      <c r="F15" s="2" t="s">
        <v>164</v>
      </c>
      <c r="G15" s="96">
        <v>19.7</v>
      </c>
      <c r="H15" s="96">
        <v>19.8</v>
      </c>
      <c r="I15" s="2" t="s">
        <v>8</v>
      </c>
      <c r="J15" s="2"/>
      <c r="K15" s="2"/>
      <c r="L15" s="2"/>
      <c r="M15" s="2"/>
      <c r="N15" s="2" t="s">
        <v>10</v>
      </c>
      <c r="O15" s="87"/>
      <c r="Q15" s="2" t="s">
        <v>135</v>
      </c>
      <c r="T15" s="2"/>
      <c r="U15" s="2"/>
      <c r="V15" s="2"/>
      <c r="W15" s="2"/>
      <c r="X15" s="2"/>
      <c r="Y15" s="2"/>
      <c r="Z15" s="2"/>
    </row>
    <row r="16" spans="1:26" ht="12.75" customHeight="1" x14ac:dyDescent="0.3">
      <c r="A16" s="143" t="s">
        <v>11</v>
      </c>
      <c r="B16" s="145" t="s">
        <v>12</v>
      </c>
      <c r="C16" s="147" t="s">
        <v>1</v>
      </c>
      <c r="D16" s="148"/>
      <c r="E16" s="148"/>
      <c r="F16" s="148"/>
      <c r="G16" s="148"/>
      <c r="H16" s="149"/>
      <c r="I16" s="150" t="s">
        <v>13</v>
      </c>
      <c r="J16" s="150" t="s">
        <v>14</v>
      </c>
      <c r="K16" s="2">
        <f>Q18</f>
        <v>19.3</v>
      </c>
      <c r="L16" s="3">
        <f>S18</f>
        <v>19.100000000000001</v>
      </c>
      <c r="M16" s="2"/>
      <c r="N16" s="2"/>
      <c r="O16" s="87"/>
      <c r="Q16" s="65" t="s">
        <v>1</v>
      </c>
      <c r="R16" s="41" t="s">
        <v>2</v>
      </c>
      <c r="S16" s="65" t="s">
        <v>3</v>
      </c>
      <c r="T16" s="2"/>
      <c r="U16" s="2"/>
      <c r="V16" s="2"/>
      <c r="W16" s="2"/>
      <c r="X16" s="2"/>
      <c r="Y16" s="2"/>
      <c r="Z16" s="2"/>
    </row>
    <row r="17" spans="1:26" ht="12.75" customHeight="1" x14ac:dyDescent="0.3">
      <c r="A17" s="144"/>
      <c r="B17" s="146"/>
      <c r="C17" s="80" t="s">
        <v>15</v>
      </c>
      <c r="D17" s="81" t="s">
        <v>16</v>
      </c>
      <c r="E17" s="81" t="s">
        <v>17</v>
      </c>
      <c r="F17" s="81" t="s">
        <v>18</v>
      </c>
      <c r="G17" s="81" t="s">
        <v>19</v>
      </c>
      <c r="H17" s="81" t="s">
        <v>20</v>
      </c>
      <c r="I17" s="149"/>
      <c r="J17" s="149"/>
      <c r="K17" s="2">
        <f>AVERAGE(G15,H15)</f>
        <v>19.75</v>
      </c>
      <c r="L17" s="3">
        <f>(K17-K16)*(L18-L16)/(K18-K16)+L16</f>
        <v>19.574999999999999</v>
      </c>
      <c r="M17" s="2"/>
      <c r="N17" s="3">
        <f>L17-K17</f>
        <v>-0.17500000000000071</v>
      </c>
      <c r="O17" s="87"/>
      <c r="Q17" s="41" t="s">
        <v>5</v>
      </c>
      <c r="R17" s="41" t="s">
        <v>5</v>
      </c>
      <c r="S17" s="41" t="s">
        <v>5</v>
      </c>
      <c r="T17" s="2"/>
      <c r="U17" s="2"/>
      <c r="V17" s="2"/>
      <c r="W17" s="2"/>
      <c r="X17" s="2"/>
      <c r="Y17" s="2"/>
      <c r="Z17" s="2"/>
    </row>
    <row r="18" spans="1:26" ht="12.75" customHeight="1" x14ac:dyDescent="0.3">
      <c r="A18" s="107">
        <v>4</v>
      </c>
      <c r="B18" s="69">
        <f>L17</f>
        <v>19.574999999999999</v>
      </c>
      <c r="C18" s="97">
        <v>3.98</v>
      </c>
      <c r="D18" s="97">
        <v>3.98</v>
      </c>
      <c r="E18" s="97">
        <v>3.98</v>
      </c>
      <c r="F18" s="97">
        <v>3.98</v>
      </c>
      <c r="G18" s="97">
        <v>3.98</v>
      </c>
      <c r="H18" s="82">
        <f>AVERAGE(C18:G18)</f>
        <v>3.9799999999999995</v>
      </c>
      <c r="I18" s="79">
        <f>STDEV(C18:G18)</f>
        <v>4.9650683064945462E-16</v>
      </c>
      <c r="J18" s="7">
        <f>A18-R46</f>
        <v>3.9991500000000002</v>
      </c>
      <c r="K18" s="2">
        <f>Q20</f>
        <v>21.1</v>
      </c>
      <c r="L18" s="3">
        <f>S20</f>
        <v>21</v>
      </c>
      <c r="M18" s="2"/>
      <c r="N18" s="2"/>
      <c r="O18" s="87"/>
      <c r="Q18" s="41">
        <v>19.3</v>
      </c>
      <c r="R18" s="41">
        <v>-0.2</v>
      </c>
      <c r="S18" s="41">
        <f>Q18+R18</f>
        <v>19.100000000000001</v>
      </c>
      <c r="T18" s="2"/>
      <c r="U18" s="2"/>
      <c r="V18" s="2"/>
      <c r="W18" s="2"/>
      <c r="X18" s="2"/>
      <c r="Y18" s="2"/>
      <c r="Z18" s="2"/>
    </row>
    <row r="19" spans="1:26" ht="12.75" customHeight="1" thickBot="1" x14ac:dyDescent="0.35">
      <c r="A19" s="109"/>
      <c r="B19" s="108" t="s">
        <v>143</v>
      </c>
      <c r="C19" s="97">
        <v>175.8</v>
      </c>
      <c r="D19" s="97">
        <v>175.8</v>
      </c>
      <c r="E19" s="97">
        <v>175.8</v>
      </c>
      <c r="F19" s="97">
        <v>175.8</v>
      </c>
      <c r="G19" s="97">
        <v>175.8</v>
      </c>
      <c r="H19" s="106">
        <f t="shared" ref="H19" si="0">AVERAGE(C19:G19)</f>
        <v>175.8</v>
      </c>
      <c r="I19" s="2"/>
      <c r="J19" s="2"/>
      <c r="K19" s="2"/>
      <c r="L19" s="2"/>
      <c r="M19" s="2"/>
      <c r="N19" s="2"/>
      <c r="O19" s="87"/>
      <c r="Q19" s="41">
        <v>20.100000000000001</v>
      </c>
      <c r="R19" s="41">
        <v>-0.2</v>
      </c>
      <c r="S19" s="41">
        <f>Q19+R19</f>
        <v>19.900000000000002</v>
      </c>
      <c r="T19" s="2"/>
      <c r="U19" s="2"/>
      <c r="V19" s="2"/>
      <c r="W19" s="2"/>
      <c r="X19" s="2"/>
      <c r="Y19" s="2"/>
      <c r="Z19" s="2"/>
    </row>
    <row r="20" spans="1:26" ht="12.75" customHeight="1" x14ac:dyDescent="0.3">
      <c r="A20" s="2"/>
      <c r="B20" s="105"/>
      <c r="G20" s="85" t="s">
        <v>167</v>
      </c>
      <c r="H20" s="85" t="s">
        <v>168</v>
      </c>
      <c r="I20" s="2"/>
      <c r="J20" s="2"/>
      <c r="K20" s="2"/>
      <c r="L20" s="2"/>
      <c r="M20" s="2"/>
      <c r="N20" s="2"/>
      <c r="O20" s="87"/>
      <c r="Q20" s="41">
        <v>21.1</v>
      </c>
      <c r="R20" s="41">
        <v>-0.1</v>
      </c>
      <c r="S20" s="41">
        <f>Q20+R20</f>
        <v>21</v>
      </c>
      <c r="T20" s="2"/>
      <c r="U20" s="2"/>
      <c r="V20" s="2"/>
      <c r="W20" s="2"/>
    </row>
    <row r="21" spans="1:26" ht="12.75" customHeight="1" x14ac:dyDescent="0.3">
      <c r="A21" s="86" t="s">
        <v>21</v>
      </c>
      <c r="B21" s="2"/>
      <c r="C21" s="2"/>
      <c r="D21" s="2"/>
      <c r="E21" s="2"/>
      <c r="F21" s="2" t="s">
        <v>164</v>
      </c>
      <c r="G21" s="96">
        <v>19.899999999999999</v>
      </c>
      <c r="H21" s="96">
        <v>19.899999999999999</v>
      </c>
      <c r="I21" s="2" t="s">
        <v>8</v>
      </c>
      <c r="J21" s="2"/>
      <c r="K21" s="2"/>
      <c r="L21" s="2"/>
      <c r="M21" s="2"/>
      <c r="N21" s="2"/>
      <c r="O21" s="87"/>
      <c r="T21" s="2"/>
      <c r="U21" s="2"/>
      <c r="V21" s="2"/>
      <c r="W21" s="2"/>
      <c r="X21" s="2"/>
      <c r="Y21" s="2"/>
      <c r="Z21" s="2"/>
    </row>
    <row r="22" spans="1:26" ht="12.75" customHeight="1" x14ac:dyDescent="0.3">
      <c r="A22" s="143" t="s">
        <v>11</v>
      </c>
      <c r="B22" s="145" t="s">
        <v>12</v>
      </c>
      <c r="C22" s="147" t="s">
        <v>1</v>
      </c>
      <c r="D22" s="148"/>
      <c r="E22" s="148"/>
      <c r="F22" s="148"/>
      <c r="G22" s="148"/>
      <c r="H22" s="149"/>
      <c r="I22" s="150" t="s">
        <v>13</v>
      </c>
      <c r="J22" s="150" t="s">
        <v>14</v>
      </c>
      <c r="K22" s="2">
        <f>Q18</f>
        <v>19.3</v>
      </c>
      <c r="L22" s="3">
        <f>S18</f>
        <v>19.100000000000001</v>
      </c>
      <c r="M22" s="2"/>
      <c r="N22" s="2"/>
      <c r="O22" s="87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3">
      <c r="A23" s="144"/>
      <c r="B23" s="146"/>
      <c r="C23" s="80" t="s">
        <v>15</v>
      </c>
      <c r="D23" s="81" t="s">
        <v>16</v>
      </c>
      <c r="E23" s="81" t="s">
        <v>17</v>
      </c>
      <c r="F23" s="81" t="s">
        <v>18</v>
      </c>
      <c r="G23" s="81" t="s">
        <v>19</v>
      </c>
      <c r="H23" s="81" t="s">
        <v>20</v>
      </c>
      <c r="I23" s="149"/>
      <c r="J23" s="149"/>
      <c r="K23" s="2">
        <f>AVERAGE(G21,H21)</f>
        <v>19.899999999999999</v>
      </c>
      <c r="L23" s="3">
        <f>(K23-K22)*(L24-L22)/(K24-K22)+L22</f>
        <v>19.733333333333331</v>
      </c>
      <c r="M23" s="2"/>
      <c r="N23" s="3">
        <f>L23-K23</f>
        <v>-0.16666666666666785</v>
      </c>
      <c r="O23" s="87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3">
      <c r="A24" s="88">
        <v>7</v>
      </c>
      <c r="B24" s="69">
        <f>L23</f>
        <v>19.733333333333331</v>
      </c>
      <c r="C24" s="84">
        <v>6.99</v>
      </c>
      <c r="D24" s="84">
        <v>6.98</v>
      </c>
      <c r="E24" s="84">
        <v>6.98</v>
      </c>
      <c r="F24" s="84">
        <v>6.98</v>
      </c>
      <c r="G24" s="84">
        <v>6.98</v>
      </c>
      <c r="H24" s="82">
        <f>AVERAGE(C24:G24)</f>
        <v>6.9820000000000011</v>
      </c>
      <c r="I24" s="83">
        <f>STDEV(C24:G24)</f>
        <v>4.4721359549994844E-3</v>
      </c>
      <c r="J24" s="7">
        <f>A24+R64</f>
        <v>7.0010666666666665</v>
      </c>
      <c r="K24" s="2">
        <f>Q20</f>
        <v>21.1</v>
      </c>
      <c r="L24" s="3">
        <f>S20</f>
        <v>21</v>
      </c>
      <c r="M24" s="2"/>
      <c r="N24" s="2"/>
      <c r="O24" s="87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thickBot="1" x14ac:dyDescent="0.35">
      <c r="A25" s="41"/>
      <c r="B25" s="110" t="s">
        <v>143</v>
      </c>
      <c r="C25" s="97">
        <v>1.7</v>
      </c>
      <c r="D25" s="97">
        <v>1.8</v>
      </c>
      <c r="E25" s="97">
        <v>1.9</v>
      </c>
      <c r="F25" s="97">
        <v>1.9</v>
      </c>
      <c r="G25" s="97">
        <v>1.9</v>
      </c>
      <c r="H25" s="106">
        <f t="shared" ref="H25" si="1">AVERAGE(C25:G25)</f>
        <v>1.8400000000000003</v>
      </c>
      <c r="I25" s="2"/>
      <c r="J25" s="2"/>
      <c r="K25" s="2"/>
      <c r="L25" s="2"/>
      <c r="M25" s="2"/>
      <c r="N25" s="2"/>
      <c r="O25" s="87"/>
      <c r="P25" s="2"/>
      <c r="Q25" s="41" t="s">
        <v>142</v>
      </c>
      <c r="R25" s="41" t="s">
        <v>169</v>
      </c>
      <c r="S25" s="123">
        <v>58.24</v>
      </c>
      <c r="T25" s="41" t="s">
        <v>170</v>
      </c>
      <c r="U25" s="2"/>
      <c r="V25" s="2"/>
      <c r="W25" s="2"/>
      <c r="X25" s="2"/>
      <c r="Y25" s="2"/>
      <c r="Z25" s="2"/>
    </row>
    <row r="26" spans="1:26" ht="12.75" customHeight="1" x14ac:dyDescent="0.3">
      <c r="A26" s="2"/>
      <c r="B26" s="105"/>
      <c r="G26" s="85" t="s">
        <v>167</v>
      </c>
      <c r="H26" s="85" t="s">
        <v>168</v>
      </c>
      <c r="I26" s="2"/>
      <c r="J26" s="2"/>
      <c r="K26" s="2"/>
      <c r="L26" s="2"/>
      <c r="M26" s="2"/>
      <c r="N26" s="2"/>
      <c r="O26" s="87"/>
      <c r="P26" s="2"/>
      <c r="Q26" s="64">
        <f>(H19-H25)/(H24-H18)</f>
        <v>57.948034643570928</v>
      </c>
      <c r="R26" s="120">
        <f>Q26/S25</f>
        <v>0.99498685857779745</v>
      </c>
      <c r="S26" s="2"/>
      <c r="T26" s="41">
        <f>ABS(Q26-S25)</f>
        <v>0.29196535642907406</v>
      </c>
      <c r="U26" s="2"/>
      <c r="V26" s="2"/>
      <c r="W26" s="2"/>
      <c r="X26" s="2"/>
      <c r="Y26" s="2"/>
      <c r="Z26" s="2"/>
    </row>
    <row r="27" spans="1:26" ht="12.75" customHeight="1" x14ac:dyDescent="0.3">
      <c r="A27" s="86" t="s">
        <v>22</v>
      </c>
      <c r="B27" s="2"/>
      <c r="C27" s="2"/>
      <c r="D27" s="2"/>
      <c r="E27" s="2"/>
      <c r="F27" s="2" t="s">
        <v>165</v>
      </c>
      <c r="G27" s="96">
        <v>19.899999999999999</v>
      </c>
      <c r="H27" s="96">
        <v>19.8</v>
      </c>
      <c r="I27" s="2" t="s">
        <v>8</v>
      </c>
      <c r="J27" s="2"/>
      <c r="K27" s="2"/>
      <c r="L27" s="2"/>
      <c r="M27" s="2"/>
      <c r="N27" s="2"/>
      <c r="O27" s="87"/>
      <c r="P27" s="2"/>
      <c r="Q27" s="64">
        <f>(H25-H31)/(H30-H24)</f>
        <v>43.384813384813405</v>
      </c>
      <c r="R27" s="121">
        <f>Q27/S25</f>
        <v>0.74493154850297738</v>
      </c>
      <c r="S27" s="2"/>
      <c r="T27" s="41">
        <f>ABS(Q27-S25)</f>
        <v>14.855186615186597</v>
      </c>
      <c r="U27" s="2"/>
      <c r="V27" s="2"/>
      <c r="W27" s="2"/>
      <c r="X27" s="2"/>
      <c r="Y27" s="2"/>
      <c r="Z27" s="2"/>
    </row>
    <row r="28" spans="1:26" ht="12.75" customHeight="1" x14ac:dyDescent="0.3">
      <c r="A28" s="143" t="s">
        <v>11</v>
      </c>
      <c r="B28" s="145" t="s">
        <v>12</v>
      </c>
      <c r="C28" s="147" t="s">
        <v>1</v>
      </c>
      <c r="D28" s="148"/>
      <c r="E28" s="148"/>
      <c r="F28" s="148"/>
      <c r="G28" s="148"/>
      <c r="H28" s="149"/>
      <c r="I28" s="150" t="s">
        <v>13</v>
      </c>
      <c r="J28" s="150" t="s">
        <v>14</v>
      </c>
      <c r="K28" s="2">
        <f>Q18</f>
        <v>19.3</v>
      </c>
      <c r="L28" s="3">
        <f>S18</f>
        <v>19.100000000000001</v>
      </c>
      <c r="M28" s="2"/>
      <c r="N28" s="2"/>
      <c r="O28" s="87"/>
      <c r="P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3">
      <c r="A29" s="144"/>
      <c r="B29" s="146"/>
      <c r="C29" s="80" t="s">
        <v>15</v>
      </c>
      <c r="D29" s="81" t="s">
        <v>16</v>
      </c>
      <c r="E29" s="81" t="s">
        <v>17</v>
      </c>
      <c r="F29" s="81" t="s">
        <v>18</v>
      </c>
      <c r="G29" s="81" t="s">
        <v>19</v>
      </c>
      <c r="H29" s="81" t="s">
        <v>20</v>
      </c>
      <c r="I29" s="149"/>
      <c r="J29" s="149"/>
      <c r="K29" s="2">
        <f>AVERAGE(G27,H27)</f>
        <v>19.850000000000001</v>
      </c>
      <c r="L29" s="3">
        <f>(K29-K28)*(L30-L28)/(K30-K28)+L28</f>
        <v>19.680555555555557</v>
      </c>
      <c r="M29" s="2"/>
      <c r="N29" s="3">
        <f>L29-K29</f>
        <v>-0.16944444444444429</v>
      </c>
      <c r="O29" s="87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3">
      <c r="A30" s="102">
        <v>10</v>
      </c>
      <c r="B30" s="103">
        <f>L29</f>
        <v>19.680555555555557</v>
      </c>
      <c r="C30" s="112">
        <v>10.09</v>
      </c>
      <c r="D30" s="112">
        <v>10.09</v>
      </c>
      <c r="E30" s="112">
        <v>10.09</v>
      </c>
      <c r="F30" s="112">
        <v>10.09</v>
      </c>
      <c r="G30" s="112">
        <v>10.09</v>
      </c>
      <c r="H30" s="104">
        <f>AVERAGE(C30:G30)</f>
        <v>10.09</v>
      </c>
      <c r="I30" s="83">
        <f>STDEV(C30:G30)</f>
        <v>0</v>
      </c>
      <c r="J30" s="7">
        <f>A30+R82</f>
        <v>10.003194444444444</v>
      </c>
      <c r="K30" s="2">
        <f>Q20</f>
        <v>21.1</v>
      </c>
      <c r="L30" s="3">
        <f>S20</f>
        <v>21</v>
      </c>
      <c r="M30" s="2"/>
      <c r="N30" s="2"/>
      <c r="O30" s="87"/>
      <c r="P30" s="2"/>
      <c r="Q30" s="41" t="s">
        <v>171</v>
      </c>
      <c r="R30" s="122">
        <f>IF(T26&lt;T27,R26,IF(T27&lt;T26,R27,0))</f>
        <v>0.99498685857779745</v>
      </c>
      <c r="S30" s="2"/>
      <c r="T30" s="2"/>
      <c r="U30" s="2"/>
      <c r="V30" s="2"/>
      <c r="W30" s="2"/>
      <c r="X30" s="2"/>
      <c r="Y30" s="2"/>
      <c r="Z30" s="2"/>
    </row>
    <row r="31" spans="1:26" ht="12.75" customHeight="1" thickBot="1" x14ac:dyDescent="0.35">
      <c r="A31" s="41"/>
      <c r="B31" s="110" t="s">
        <v>143</v>
      </c>
      <c r="C31" s="97">
        <v>-133</v>
      </c>
      <c r="D31" s="97">
        <v>-133</v>
      </c>
      <c r="E31" s="97">
        <v>-133</v>
      </c>
      <c r="F31" s="97">
        <v>-133</v>
      </c>
      <c r="G31" s="97">
        <v>-133</v>
      </c>
      <c r="H31" s="64">
        <f t="shared" ref="H31" si="2">AVERAGE(C31:G31)</f>
        <v>-133</v>
      </c>
      <c r="I31" s="2"/>
      <c r="J31" s="2"/>
      <c r="K31" s="2"/>
      <c r="L31" s="2"/>
      <c r="M31" s="2"/>
      <c r="N31" s="2"/>
      <c r="O31" s="87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3">
      <c r="A32" s="2"/>
      <c r="B32" s="105"/>
      <c r="G32" s="85" t="s">
        <v>167</v>
      </c>
      <c r="H32" s="85" t="s">
        <v>168</v>
      </c>
      <c r="I32" s="2"/>
      <c r="J32" s="2"/>
      <c r="K32" s="2"/>
      <c r="L32" s="2"/>
      <c r="M32" s="2"/>
      <c r="N32" s="2"/>
      <c r="O32" s="87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3">
      <c r="A33" s="111" t="s">
        <v>140</v>
      </c>
      <c r="B33" s="2"/>
      <c r="C33" s="2"/>
      <c r="D33" s="2"/>
      <c r="E33" s="2"/>
      <c r="F33" s="2" t="s">
        <v>166</v>
      </c>
      <c r="G33" s="96">
        <v>0</v>
      </c>
      <c r="H33" s="96">
        <v>0</v>
      </c>
      <c r="I33" s="2" t="s">
        <v>8</v>
      </c>
      <c r="J33" s="2"/>
      <c r="K33" s="2"/>
      <c r="L33" s="2"/>
      <c r="M33" s="2"/>
      <c r="N33" s="2"/>
      <c r="O33" s="87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3">
      <c r="A34" s="143" t="s">
        <v>11</v>
      </c>
      <c r="B34" s="145" t="s">
        <v>12</v>
      </c>
      <c r="C34" s="147" t="s">
        <v>1</v>
      </c>
      <c r="D34" s="148"/>
      <c r="E34" s="148"/>
      <c r="F34" s="148"/>
      <c r="G34" s="148"/>
      <c r="H34" s="149"/>
      <c r="I34" s="150" t="s">
        <v>13</v>
      </c>
      <c r="J34" s="150" t="s">
        <v>14</v>
      </c>
      <c r="K34" s="2">
        <f>Q18</f>
        <v>19.3</v>
      </c>
      <c r="L34" s="3">
        <f>S18</f>
        <v>19.100000000000001</v>
      </c>
      <c r="M34" s="2"/>
      <c r="N34" s="2"/>
      <c r="O34" s="87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3">
      <c r="A35" s="144"/>
      <c r="B35" s="146"/>
      <c r="C35" s="80" t="s">
        <v>15</v>
      </c>
      <c r="D35" s="81" t="s">
        <v>16</v>
      </c>
      <c r="E35" s="81" t="s">
        <v>17</v>
      </c>
      <c r="F35" s="81" t="s">
        <v>18</v>
      </c>
      <c r="G35" s="81" t="s">
        <v>19</v>
      </c>
      <c r="H35" s="81" t="s">
        <v>20</v>
      </c>
      <c r="I35" s="149"/>
      <c r="J35" s="149"/>
      <c r="K35" s="2">
        <f>AVERAGE(G33,H33)</f>
        <v>0</v>
      </c>
      <c r="L35" s="3">
        <f>(K35-K34)*(L36-L34)/(K36-K34)+L34</f>
        <v>-1.2722222222221973</v>
      </c>
      <c r="M35" s="2"/>
      <c r="N35" s="3">
        <f>L35-K35</f>
        <v>-1.2722222222221973</v>
      </c>
      <c r="O35" s="87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3">
      <c r="A36" s="94">
        <v>2</v>
      </c>
      <c r="B36" s="69">
        <f>L35</f>
        <v>-1.2722222222221973</v>
      </c>
      <c r="C36" s="84">
        <v>0</v>
      </c>
      <c r="D36" s="84">
        <v>0</v>
      </c>
      <c r="E36" s="84">
        <v>0</v>
      </c>
      <c r="F36" s="84">
        <v>0</v>
      </c>
      <c r="G36" s="84">
        <v>0</v>
      </c>
      <c r="H36" s="82">
        <f>AVERAGE(C36:G36)</f>
        <v>0</v>
      </c>
      <c r="I36" s="83">
        <f>STDEV(C36:G36)</f>
        <v>0</v>
      </c>
      <c r="J36" s="7">
        <f>A36+R103</f>
        <v>2.7572911111111118</v>
      </c>
      <c r="K36" s="2">
        <f>Q20</f>
        <v>21.1</v>
      </c>
      <c r="L36" s="3">
        <f>S20</f>
        <v>21</v>
      </c>
      <c r="M36" s="2"/>
      <c r="N36" s="2"/>
      <c r="O36" s="8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thickBot="1" x14ac:dyDescent="0.35">
      <c r="A37" s="89"/>
      <c r="B37" s="90" t="s">
        <v>143</v>
      </c>
      <c r="C37" s="91">
        <v>0</v>
      </c>
      <c r="D37" s="91">
        <v>0</v>
      </c>
      <c r="E37" s="91">
        <v>0</v>
      </c>
      <c r="F37" s="91">
        <v>0</v>
      </c>
      <c r="G37" s="91">
        <v>0</v>
      </c>
      <c r="H37" s="95">
        <f t="shared" ref="H37" si="3">AVERAGE(C37:G37)</f>
        <v>0</v>
      </c>
      <c r="I37" s="92"/>
      <c r="J37" s="92"/>
      <c r="K37" s="92"/>
      <c r="L37" s="92"/>
      <c r="M37" s="92"/>
      <c r="N37" s="92"/>
      <c r="O37" s="9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3">
      <c r="A39" s="2"/>
      <c r="B39" s="2"/>
      <c r="C39" s="2"/>
      <c r="D39" s="8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3">
      <c r="A40" s="6" t="s">
        <v>23</v>
      </c>
      <c r="B40" s="76">
        <f>I18</f>
        <v>4.9650683064945462E-16</v>
      </c>
      <c r="C40" s="2"/>
      <c r="D40" s="6" t="s">
        <v>157</v>
      </c>
      <c r="E40" s="6">
        <v>0.02</v>
      </c>
      <c r="F40" s="2"/>
      <c r="G40" s="6" t="s">
        <v>24</v>
      </c>
      <c r="H40" s="6">
        <f>R46</f>
        <v>8.500000000000018E-4</v>
      </c>
      <c r="I40" s="2"/>
      <c r="J40" s="2"/>
      <c r="K40" s="2"/>
      <c r="L40" s="2"/>
      <c r="N40" s="113" t="s">
        <v>25</v>
      </c>
      <c r="O40" s="113" t="s">
        <v>26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3">
      <c r="A41" s="2"/>
      <c r="B41" s="9"/>
      <c r="C41" s="2"/>
      <c r="D41" s="10" t="s">
        <v>27</v>
      </c>
      <c r="E41" s="6">
        <f>0.4</f>
        <v>0.4</v>
      </c>
      <c r="F41" s="2"/>
      <c r="G41" s="2"/>
      <c r="H41" s="2"/>
      <c r="I41" s="2"/>
      <c r="J41" s="2"/>
      <c r="K41" s="2"/>
      <c r="L41" s="2"/>
      <c r="N41" s="41">
        <v>0</v>
      </c>
      <c r="O41" s="41">
        <v>0.05</v>
      </c>
      <c r="P41" s="2"/>
      <c r="Q41" s="2" t="s">
        <v>25</v>
      </c>
      <c r="R41" s="2" t="s">
        <v>26</v>
      </c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3">
      <c r="A42" s="6" t="s">
        <v>28</v>
      </c>
      <c r="B42" s="6">
        <f>D11</f>
        <v>0.01</v>
      </c>
      <c r="C42" s="2"/>
      <c r="D42" s="2"/>
      <c r="E42" s="2"/>
      <c r="F42" s="2"/>
      <c r="G42" s="2"/>
      <c r="H42" s="2"/>
      <c r="I42" s="2"/>
      <c r="J42" s="2"/>
      <c r="K42" s="2"/>
      <c r="L42" s="2"/>
      <c r="N42" s="41">
        <v>5</v>
      </c>
      <c r="O42" s="41">
        <v>0.04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N43" s="41">
        <v>10</v>
      </c>
      <c r="O43" s="41">
        <v>0.02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3">
      <c r="A44" s="2" t="s">
        <v>29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N44" s="41">
        <v>15</v>
      </c>
      <c r="O44" s="41">
        <v>0.01</v>
      </c>
      <c r="P44" s="2"/>
      <c r="Q44" s="2" t="s">
        <v>30</v>
      </c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3">
      <c r="A45" s="11" t="s">
        <v>31</v>
      </c>
      <c r="B45" s="11" t="s">
        <v>32</v>
      </c>
      <c r="C45" s="11" t="s">
        <v>33</v>
      </c>
      <c r="D45" s="11" t="s">
        <v>34</v>
      </c>
      <c r="E45" s="11" t="s">
        <v>35</v>
      </c>
      <c r="F45" s="11" t="s">
        <v>36</v>
      </c>
      <c r="G45" s="12" t="s">
        <v>37</v>
      </c>
      <c r="H45" s="11" t="s">
        <v>38</v>
      </c>
      <c r="I45" s="12" t="s">
        <v>39</v>
      </c>
      <c r="J45" s="12" t="s">
        <v>40</v>
      </c>
      <c r="K45" s="11" t="s">
        <v>41</v>
      </c>
      <c r="L45" s="2"/>
      <c r="N45" s="41">
        <v>20</v>
      </c>
      <c r="O45" s="41">
        <v>0</v>
      </c>
      <c r="P45" s="2"/>
      <c r="Q45" s="2">
        <f>IF(Q46&lt;=20,N44,IF(Q46&gt;=20,N45,0))</f>
        <v>15</v>
      </c>
      <c r="R45" s="2">
        <f>VLOOKUP(Q45,$N$40:$O$50,2,FALSE)</f>
        <v>0.01</v>
      </c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3">
      <c r="A46" s="13" t="s">
        <v>42</v>
      </c>
      <c r="B46" s="14" t="s">
        <v>43</v>
      </c>
      <c r="C46" s="14" t="s">
        <v>44</v>
      </c>
      <c r="D46" s="15">
        <f>I18</f>
        <v>4.9650683064945462E-16</v>
      </c>
      <c r="E46" s="16">
        <f>SQRT(5)</f>
        <v>2.2360679774997898</v>
      </c>
      <c r="F46" s="14">
        <v>4</v>
      </c>
      <c r="G46" s="14">
        <f t="shared" ref="G46:G50" si="4">D46/E46</f>
        <v>2.2204460492503131E-16</v>
      </c>
      <c r="H46" s="14">
        <v>1</v>
      </c>
      <c r="I46" s="14">
        <f t="shared" ref="I46:I50" si="5">G46*H46</f>
        <v>2.2204460492503131E-16</v>
      </c>
      <c r="J46" s="14">
        <f t="shared" ref="J46:J50" si="6">I46^2</f>
        <v>4.9303806576313238E-32</v>
      </c>
      <c r="K46" s="14">
        <f t="shared" ref="K46:K50" si="7">I46^4/F46</f>
        <v>6.0771633572862712E-64</v>
      </c>
      <c r="L46" s="2"/>
      <c r="N46" s="41">
        <v>25</v>
      </c>
      <c r="O46" s="41">
        <v>0.01</v>
      </c>
      <c r="P46" s="2"/>
      <c r="Q46" s="3">
        <f>B18</f>
        <v>19.574999999999999</v>
      </c>
      <c r="R46" s="2">
        <f>(Q46-Q45)*(R47-R45)/(Q47-Q45)+R45</f>
        <v>8.500000000000018E-4</v>
      </c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3">
      <c r="A47" s="17" t="s">
        <v>45</v>
      </c>
      <c r="B47" s="14" t="s">
        <v>43</v>
      </c>
      <c r="C47" s="16" t="s">
        <v>46</v>
      </c>
      <c r="D47" s="16">
        <f>E40</f>
        <v>0.02</v>
      </c>
      <c r="E47" s="16">
        <v>2</v>
      </c>
      <c r="F47" s="16">
        <v>60</v>
      </c>
      <c r="G47" s="16">
        <f t="shared" si="4"/>
        <v>0.01</v>
      </c>
      <c r="H47" s="16">
        <v>1</v>
      </c>
      <c r="I47" s="16">
        <f t="shared" si="5"/>
        <v>0.01</v>
      </c>
      <c r="J47" s="16">
        <f t="shared" si="6"/>
        <v>1E-4</v>
      </c>
      <c r="K47" s="16">
        <f t="shared" si="7"/>
        <v>1.6666666666666666E-10</v>
      </c>
      <c r="L47" s="2"/>
      <c r="N47" s="41">
        <v>30</v>
      </c>
      <c r="O47" s="41">
        <v>0.01</v>
      </c>
      <c r="P47" s="2"/>
      <c r="Q47" s="2">
        <f>IF(Q46&lt;=20,N45,IF(Q46&gt;=20,N46,0))</f>
        <v>20</v>
      </c>
      <c r="R47" s="2">
        <f>VLOOKUP(Q47,$N$40:$O$50,2,FALSE)</f>
        <v>0</v>
      </c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3">
      <c r="A48" s="17" t="s">
        <v>47</v>
      </c>
      <c r="B48" s="14" t="s">
        <v>43</v>
      </c>
      <c r="C48" s="16" t="s">
        <v>48</v>
      </c>
      <c r="D48" s="16">
        <f>R46</f>
        <v>8.500000000000018E-4</v>
      </c>
      <c r="E48" s="16">
        <f t="shared" ref="E48:E49" si="8">SQRT(3)</f>
        <v>1.7320508075688772</v>
      </c>
      <c r="F48" s="16">
        <v>50</v>
      </c>
      <c r="G48" s="16">
        <f t="shared" si="4"/>
        <v>4.9074772881118299E-4</v>
      </c>
      <c r="H48" s="16">
        <v>1</v>
      </c>
      <c r="I48" s="16">
        <f t="shared" si="5"/>
        <v>4.9074772881118299E-4</v>
      </c>
      <c r="J48" s="16">
        <f t="shared" si="6"/>
        <v>2.408333333333344E-7</v>
      </c>
      <c r="K48" s="16">
        <f t="shared" si="7"/>
        <v>1.1600138888888993E-15</v>
      </c>
      <c r="L48" s="2"/>
      <c r="N48" s="41">
        <v>35</v>
      </c>
      <c r="O48" s="41">
        <v>0.01</v>
      </c>
      <c r="P48" s="2"/>
      <c r="Q48" s="2" t="str">
        <f>A88</f>
        <v>Pengaruh ketidakpastian Termometer digital</v>
      </c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3">
      <c r="A49" s="17" t="s">
        <v>49</v>
      </c>
      <c r="B49" s="14" t="s">
        <v>43</v>
      </c>
      <c r="C49" s="16" t="s">
        <v>48</v>
      </c>
      <c r="D49" s="16">
        <f>B42/2</f>
        <v>5.0000000000000001E-3</v>
      </c>
      <c r="E49" s="16">
        <f t="shared" si="8"/>
        <v>1.7320508075688772</v>
      </c>
      <c r="F49" s="16">
        <v>50</v>
      </c>
      <c r="G49" s="16">
        <f t="shared" si="4"/>
        <v>2.886751345948129E-3</v>
      </c>
      <c r="H49" s="16">
        <v>1</v>
      </c>
      <c r="I49" s="16">
        <f t="shared" si="5"/>
        <v>2.886751345948129E-3</v>
      </c>
      <c r="J49" s="16">
        <f t="shared" si="6"/>
        <v>8.3333333333333337E-6</v>
      </c>
      <c r="K49" s="16">
        <f t="shared" si="7"/>
        <v>1.3888888888888891E-12</v>
      </c>
      <c r="L49" s="2"/>
      <c r="N49" s="41">
        <v>40</v>
      </c>
      <c r="O49" s="41">
        <v>0.01</v>
      </c>
      <c r="P49" s="2"/>
      <c r="Q49" s="2">
        <v>15</v>
      </c>
      <c r="R49" s="2">
        <f>O44</f>
        <v>0.01</v>
      </c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3">
      <c r="A50" s="18" t="s">
        <v>50</v>
      </c>
      <c r="B50" s="19" t="s">
        <v>51</v>
      </c>
      <c r="C50" s="19" t="s">
        <v>44</v>
      </c>
      <c r="D50" s="16">
        <f>E41</f>
        <v>0.4</v>
      </c>
      <c r="E50" s="16">
        <v>2</v>
      </c>
      <c r="F50" s="16">
        <v>60</v>
      </c>
      <c r="G50" s="16">
        <f t="shared" si="4"/>
        <v>0.2</v>
      </c>
      <c r="H50" s="16">
        <f>0.01/5</f>
        <v>2E-3</v>
      </c>
      <c r="I50" s="16">
        <f t="shared" si="5"/>
        <v>4.0000000000000002E-4</v>
      </c>
      <c r="J50" s="16">
        <f t="shared" si="6"/>
        <v>1.6E-7</v>
      </c>
      <c r="K50" s="16">
        <f t="shared" si="7"/>
        <v>4.2666666666666671E-16</v>
      </c>
      <c r="L50" s="2"/>
      <c r="N50" s="41">
        <v>50</v>
      </c>
      <c r="O50" s="41">
        <v>0</v>
      </c>
      <c r="P50" s="2"/>
      <c r="Q50" s="3">
        <f>E41+B18</f>
        <v>19.974999999999998</v>
      </c>
      <c r="R50" s="2">
        <f>(Q50-Q49)*(R51-R49)/(Q51-Q49)+R49</f>
        <v>0.01</v>
      </c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3">
      <c r="A51" s="20" t="s">
        <v>52</v>
      </c>
      <c r="B51" s="21"/>
      <c r="C51" s="21"/>
      <c r="D51" s="21"/>
      <c r="E51" s="21"/>
      <c r="F51" s="21"/>
      <c r="G51" s="21"/>
      <c r="H51" s="22"/>
      <c r="I51" s="23"/>
      <c r="J51" s="24">
        <f t="shared" ref="J51:K51" si="9">SUM(J46:J49)</f>
        <v>1.0857416666666668E-4</v>
      </c>
      <c r="K51" s="14">
        <f t="shared" si="9"/>
        <v>1.6805671556944443E-10</v>
      </c>
      <c r="L51" s="2"/>
      <c r="M51" s="2"/>
      <c r="N51" s="2"/>
      <c r="O51" s="2"/>
      <c r="P51" s="2"/>
      <c r="Q51" s="2">
        <v>25</v>
      </c>
      <c r="R51" s="2">
        <v>0.01</v>
      </c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3">
      <c r="A52" s="25" t="s">
        <v>53</v>
      </c>
      <c r="B52" s="26"/>
      <c r="C52" s="26"/>
      <c r="D52" s="26"/>
      <c r="E52" s="26"/>
      <c r="F52" s="26"/>
      <c r="G52" s="26"/>
      <c r="H52" s="27"/>
      <c r="I52" s="28"/>
      <c r="J52" s="24">
        <f>SQRT(J51)</f>
        <v>1.0419892833741942E-2</v>
      </c>
      <c r="K52" s="16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3">
      <c r="A53" s="25" t="s">
        <v>54</v>
      </c>
      <c r="B53" s="26"/>
      <c r="C53" s="26"/>
      <c r="D53" s="26"/>
      <c r="E53" s="26"/>
      <c r="F53" s="26"/>
      <c r="G53" s="26"/>
      <c r="H53" s="27"/>
      <c r="I53" s="28"/>
      <c r="J53" s="24">
        <f>J52^4/K51</f>
        <v>70.145067558992778</v>
      </c>
      <c r="K53" s="16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3">
      <c r="A54" s="25" t="s">
        <v>55</v>
      </c>
      <c r="B54" s="26"/>
      <c r="C54" s="26"/>
      <c r="D54" s="26"/>
      <c r="E54" s="26"/>
      <c r="F54" s="26"/>
      <c r="G54" s="26"/>
      <c r="H54" s="27"/>
      <c r="I54" s="28"/>
      <c r="J54" s="24">
        <f>TINV(0.05,J53)</f>
        <v>1.9944371117711854</v>
      </c>
      <c r="K54" s="16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3">
      <c r="A55" s="114" t="s">
        <v>56</v>
      </c>
      <c r="B55" s="115"/>
      <c r="C55" s="115"/>
      <c r="D55" s="115"/>
      <c r="E55" s="115"/>
      <c r="F55" s="115"/>
      <c r="G55" s="115"/>
      <c r="H55" s="116"/>
      <c r="I55" s="117"/>
      <c r="J55" s="118">
        <f>J54*J52</f>
        <v>2.0781820968293552E-2</v>
      </c>
      <c r="K55" s="11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3">
      <c r="A56" s="35"/>
      <c r="B56" s="35"/>
      <c r="C56" s="35"/>
      <c r="D56" s="35"/>
      <c r="E56" s="35"/>
      <c r="F56" s="35"/>
      <c r="G56" s="35"/>
      <c r="H56" s="35"/>
      <c r="I56" s="36" t="s">
        <v>156</v>
      </c>
      <c r="J56" s="40">
        <v>2.3E-2</v>
      </c>
      <c r="K56" s="36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3">
      <c r="A57" s="35"/>
      <c r="B57" s="35"/>
      <c r="C57" s="35"/>
      <c r="D57" s="35"/>
      <c r="E57" s="35"/>
      <c r="F57" s="35"/>
      <c r="G57" s="35"/>
      <c r="H57" s="35"/>
      <c r="I57" s="36"/>
      <c r="J57" s="37"/>
      <c r="K57" s="36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3">
      <c r="A58" s="6" t="s">
        <v>23</v>
      </c>
      <c r="B58" s="5">
        <f>I24</f>
        <v>4.4721359549994844E-3</v>
      </c>
      <c r="C58" s="2"/>
      <c r="D58" s="10" t="s">
        <v>57</v>
      </c>
      <c r="E58" s="6">
        <v>0.02</v>
      </c>
      <c r="F58" s="2"/>
      <c r="G58" s="6" t="s">
        <v>24</v>
      </c>
      <c r="H58" s="6">
        <f>R64</f>
        <v>1.0666666666666776E-3</v>
      </c>
      <c r="I58" s="36"/>
      <c r="J58" s="37"/>
      <c r="K58" s="36"/>
      <c r="L58" s="2"/>
      <c r="N58" s="113" t="s">
        <v>25</v>
      </c>
      <c r="O58" s="113" t="s">
        <v>26</v>
      </c>
      <c r="P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3">
      <c r="A59" s="2"/>
      <c r="B59" s="9"/>
      <c r="C59" s="2"/>
      <c r="D59" s="10" t="s">
        <v>62</v>
      </c>
      <c r="E59" s="6">
        <v>0.4</v>
      </c>
      <c r="F59" s="2"/>
      <c r="G59" s="2"/>
      <c r="H59" s="2"/>
      <c r="I59" s="36"/>
      <c r="J59" s="37"/>
      <c r="K59" s="36"/>
      <c r="L59" s="2"/>
      <c r="N59" s="41">
        <v>0</v>
      </c>
      <c r="O59" s="41">
        <v>0.13</v>
      </c>
      <c r="P59" s="2"/>
      <c r="Q59" s="2" t="s">
        <v>25</v>
      </c>
      <c r="R59" s="2" t="s">
        <v>26</v>
      </c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3">
      <c r="A60" s="6" t="s">
        <v>28</v>
      </c>
      <c r="B60" s="6">
        <f>D11</f>
        <v>0.01</v>
      </c>
      <c r="C60" s="2"/>
      <c r="D60" s="2"/>
      <c r="E60" s="2"/>
      <c r="F60" s="2"/>
      <c r="G60" s="2"/>
      <c r="H60" s="2"/>
      <c r="I60" s="36"/>
      <c r="J60" s="37"/>
      <c r="K60" s="36"/>
      <c r="L60" s="2"/>
      <c r="N60" s="41">
        <v>5</v>
      </c>
      <c r="O60" s="41">
        <v>7.0000000000000007E-2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N61" s="41">
        <v>10</v>
      </c>
      <c r="O61" s="41">
        <v>0.05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3">
      <c r="A62" s="2" t="s">
        <v>59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N62" s="41">
        <v>15</v>
      </c>
      <c r="O62" s="41">
        <v>0.02</v>
      </c>
      <c r="P62" s="2"/>
      <c r="Q62" s="2" t="s">
        <v>30</v>
      </c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3">
      <c r="A63" s="38" t="s">
        <v>31</v>
      </c>
      <c r="B63" s="38" t="s">
        <v>32</v>
      </c>
      <c r="C63" s="38" t="s">
        <v>33</v>
      </c>
      <c r="D63" s="38" t="s">
        <v>34</v>
      </c>
      <c r="E63" s="38" t="s">
        <v>35</v>
      </c>
      <c r="F63" s="38" t="s">
        <v>36</v>
      </c>
      <c r="G63" s="39" t="s">
        <v>37</v>
      </c>
      <c r="H63" s="38" t="s">
        <v>38</v>
      </c>
      <c r="I63" s="39" t="s">
        <v>39</v>
      </c>
      <c r="J63" s="39" t="s">
        <v>40</v>
      </c>
      <c r="K63" s="38" t="s">
        <v>41</v>
      </c>
      <c r="L63" s="2"/>
      <c r="N63" s="41">
        <v>20</v>
      </c>
      <c r="O63" s="41">
        <v>0</v>
      </c>
      <c r="P63" s="2"/>
      <c r="Q63" s="2">
        <f>IF(Q46&lt;=20,N44,IF(Q46&gt;=20,N45,0))</f>
        <v>15</v>
      </c>
      <c r="R63" s="2">
        <f>VLOOKUP(Q63,$N$58:$O$68,2,FALSE)</f>
        <v>0.02</v>
      </c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3">
      <c r="A64" s="13" t="s">
        <v>42</v>
      </c>
      <c r="B64" s="14" t="s">
        <v>43</v>
      </c>
      <c r="C64" s="14" t="s">
        <v>44</v>
      </c>
      <c r="D64" s="14">
        <f>I24</f>
        <v>4.4721359549994844E-3</v>
      </c>
      <c r="E64" s="16">
        <f>SQRT(5)</f>
        <v>2.2360679774997898</v>
      </c>
      <c r="F64" s="14">
        <v>4</v>
      </c>
      <c r="G64" s="14">
        <f t="shared" ref="G64:G68" si="10">D64/E64</f>
        <v>1.9999999999999575E-3</v>
      </c>
      <c r="H64" s="14">
        <v>1</v>
      </c>
      <c r="I64" s="14">
        <f t="shared" ref="I64:I68" si="11">G64*H64</f>
        <v>1.9999999999999575E-3</v>
      </c>
      <c r="J64" s="14">
        <f t="shared" ref="J64:J68" si="12">I64^2</f>
        <v>3.9999999999998304E-6</v>
      </c>
      <c r="K64" s="14">
        <f t="shared" ref="K64:K68" si="13">I64^4/F64</f>
        <v>3.9999999999996606E-12</v>
      </c>
      <c r="L64" s="2"/>
      <c r="N64" s="41">
        <v>25</v>
      </c>
      <c r="O64" s="41">
        <v>-0.02</v>
      </c>
      <c r="P64" s="2"/>
      <c r="Q64" s="3">
        <f>B24</f>
        <v>19.733333333333331</v>
      </c>
      <c r="R64" s="2">
        <f>(Q64-Q63)*(R65-R63)/(Q65-Q63)+R63</f>
        <v>1.0666666666666776E-3</v>
      </c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3">
      <c r="A65" s="17" t="s">
        <v>45</v>
      </c>
      <c r="B65" s="14" t="s">
        <v>43</v>
      </c>
      <c r="C65" s="16" t="s">
        <v>46</v>
      </c>
      <c r="D65" s="16">
        <f>E58</f>
        <v>0.02</v>
      </c>
      <c r="E65" s="16">
        <v>2</v>
      </c>
      <c r="F65" s="16">
        <v>60</v>
      </c>
      <c r="G65" s="16">
        <f t="shared" si="10"/>
        <v>0.01</v>
      </c>
      <c r="H65" s="16">
        <v>1</v>
      </c>
      <c r="I65" s="16">
        <f t="shared" si="11"/>
        <v>0.01</v>
      </c>
      <c r="J65" s="16">
        <f t="shared" si="12"/>
        <v>1E-4</v>
      </c>
      <c r="K65" s="16">
        <f t="shared" si="13"/>
        <v>1.6666666666666666E-10</v>
      </c>
      <c r="L65" s="2"/>
      <c r="N65" s="41">
        <v>30</v>
      </c>
      <c r="O65" s="41">
        <v>-0.02</v>
      </c>
      <c r="P65" s="2"/>
      <c r="Q65" s="2">
        <f>IF(Q46&lt;=20,N45,IF(Q46&gt;=20,N46,0))</f>
        <v>20</v>
      </c>
      <c r="R65" s="2">
        <f>VLOOKUP(Q65,$N$58:$O$68,2,FALSE)</f>
        <v>0</v>
      </c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3">
      <c r="A66" s="17" t="s">
        <v>47</v>
      </c>
      <c r="B66" s="14" t="s">
        <v>43</v>
      </c>
      <c r="C66" s="16" t="s">
        <v>48</v>
      </c>
      <c r="D66" s="16">
        <f>R64</f>
        <v>1.0666666666666776E-3</v>
      </c>
      <c r="E66" s="16">
        <f t="shared" ref="E66:E67" si="14">SQRT(3)</f>
        <v>1.7320508075688772</v>
      </c>
      <c r="F66" s="16">
        <v>50</v>
      </c>
      <c r="G66" s="16">
        <f t="shared" si="10"/>
        <v>6.1584028713560716E-4</v>
      </c>
      <c r="H66" s="16">
        <v>1</v>
      </c>
      <c r="I66" s="16">
        <f t="shared" si="11"/>
        <v>6.1584028713560716E-4</v>
      </c>
      <c r="J66" s="16">
        <f t="shared" si="12"/>
        <v>3.7925925925926708E-7</v>
      </c>
      <c r="K66" s="16">
        <f t="shared" si="13"/>
        <v>2.8767517146777595E-15</v>
      </c>
      <c r="L66" s="2"/>
      <c r="N66" s="41">
        <v>35</v>
      </c>
      <c r="O66" s="41">
        <v>-0.04</v>
      </c>
      <c r="P66" s="2"/>
      <c r="Q66" s="2" t="str">
        <f>A88</f>
        <v>Pengaruh ketidakpastian Termometer digital</v>
      </c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3">
      <c r="A67" s="17" t="s">
        <v>49</v>
      </c>
      <c r="B67" s="14" t="s">
        <v>43</v>
      </c>
      <c r="C67" s="16" t="s">
        <v>48</v>
      </c>
      <c r="D67" s="16">
        <f>B60/2</f>
        <v>5.0000000000000001E-3</v>
      </c>
      <c r="E67" s="16">
        <f t="shared" si="14"/>
        <v>1.7320508075688772</v>
      </c>
      <c r="F67" s="16">
        <v>50</v>
      </c>
      <c r="G67" s="16">
        <f t="shared" si="10"/>
        <v>2.886751345948129E-3</v>
      </c>
      <c r="H67" s="16">
        <v>1</v>
      </c>
      <c r="I67" s="16">
        <f t="shared" si="11"/>
        <v>2.886751345948129E-3</v>
      </c>
      <c r="J67" s="16">
        <f t="shared" si="12"/>
        <v>8.3333333333333337E-6</v>
      </c>
      <c r="K67" s="16">
        <f t="shared" si="13"/>
        <v>1.3888888888888891E-12</v>
      </c>
      <c r="L67" s="2"/>
      <c r="N67" s="41">
        <v>40</v>
      </c>
      <c r="O67" s="41">
        <v>-0.05</v>
      </c>
      <c r="P67" s="2"/>
      <c r="Q67" s="2">
        <v>15</v>
      </c>
      <c r="R67" s="2">
        <f>O62</f>
        <v>0.02</v>
      </c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3">
      <c r="A68" s="18" t="s">
        <v>50</v>
      </c>
      <c r="B68" s="19" t="s">
        <v>51</v>
      </c>
      <c r="C68" s="19" t="s">
        <v>44</v>
      </c>
      <c r="D68" s="2">
        <f>E59</f>
        <v>0.4</v>
      </c>
      <c r="E68" s="2">
        <v>2</v>
      </c>
      <c r="F68" s="19">
        <v>60</v>
      </c>
      <c r="G68" s="16">
        <f t="shared" si="10"/>
        <v>0.2</v>
      </c>
      <c r="H68" s="16">
        <f>0.02/5</f>
        <v>4.0000000000000001E-3</v>
      </c>
      <c r="I68" s="16">
        <f t="shared" si="11"/>
        <v>8.0000000000000004E-4</v>
      </c>
      <c r="J68" s="16">
        <f t="shared" si="12"/>
        <v>6.4000000000000001E-7</v>
      </c>
      <c r="K68" s="16">
        <f t="shared" si="13"/>
        <v>6.8266666666666674E-15</v>
      </c>
      <c r="L68" s="2"/>
      <c r="N68" s="41">
        <v>50</v>
      </c>
      <c r="O68" s="41">
        <v>-0.05</v>
      </c>
      <c r="P68" s="2"/>
      <c r="Q68" s="3">
        <f>B24+E59</f>
        <v>20.133333333333329</v>
      </c>
      <c r="R68" s="2">
        <f>(Q68-Q67)*(R69-R67)/(Q69-Q67)+R67</f>
        <v>-5.3333333333331623E-4</v>
      </c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3">
      <c r="A69" s="20" t="s">
        <v>52</v>
      </c>
      <c r="B69" s="21"/>
      <c r="C69" s="21"/>
      <c r="D69" s="21"/>
      <c r="E69" s="21"/>
      <c r="F69" s="21"/>
      <c r="G69" s="21"/>
      <c r="H69" s="22"/>
      <c r="I69" s="23"/>
      <c r="J69" s="24">
        <f t="shared" ref="J69:K69" si="15">SUM(J64:J68)</f>
        <v>1.1335259259259242E-4</v>
      </c>
      <c r="K69" s="14">
        <f t="shared" si="15"/>
        <v>1.7206525897393656E-10</v>
      </c>
      <c r="L69" s="2"/>
      <c r="M69" s="2"/>
      <c r="N69" s="2"/>
      <c r="O69" s="2"/>
      <c r="P69" s="2"/>
      <c r="Q69" s="2">
        <v>25</v>
      </c>
      <c r="R69" s="2">
        <v>-0.02</v>
      </c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3">
      <c r="A70" s="25" t="s">
        <v>53</v>
      </c>
      <c r="B70" s="26"/>
      <c r="C70" s="26"/>
      <c r="D70" s="26"/>
      <c r="E70" s="26"/>
      <c r="F70" s="26"/>
      <c r="G70" s="26"/>
      <c r="H70" s="27"/>
      <c r="I70" s="28"/>
      <c r="J70" s="24">
        <f>SQRT(J69)</f>
        <v>1.0646717456220599E-2</v>
      </c>
      <c r="K70" s="16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3">
      <c r="A71" s="25" t="s">
        <v>54</v>
      </c>
      <c r="B71" s="26"/>
      <c r="C71" s="26"/>
      <c r="D71" s="26"/>
      <c r="E71" s="26"/>
      <c r="F71" s="26"/>
      <c r="G71" s="26"/>
      <c r="H71" s="27"/>
      <c r="I71" s="28"/>
      <c r="J71" s="24">
        <f>J70^4/K69</f>
        <v>74.674052880183694</v>
      </c>
      <c r="K71" s="16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3">
      <c r="A72" s="25" t="s">
        <v>55</v>
      </c>
      <c r="B72" s="26"/>
      <c r="C72" s="26"/>
      <c r="D72" s="26"/>
      <c r="E72" s="26"/>
      <c r="F72" s="26"/>
      <c r="G72" s="26"/>
      <c r="H72" s="27"/>
      <c r="I72" s="28"/>
      <c r="J72" s="24">
        <f>TINV(0.05,J71)</f>
        <v>1.992543495180934</v>
      </c>
      <c r="K72" s="16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3">
      <c r="A73" s="29" t="s">
        <v>56</v>
      </c>
      <c r="B73" s="30"/>
      <c r="C73" s="30"/>
      <c r="D73" s="30"/>
      <c r="E73" s="30"/>
      <c r="F73" s="30"/>
      <c r="G73" s="30"/>
      <c r="H73" s="31"/>
      <c r="I73" s="32"/>
      <c r="J73" s="33">
        <f>J72*J70</f>
        <v>2.1214047612421655E-2</v>
      </c>
      <c r="K73" s="34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3">
      <c r="A74" s="35"/>
      <c r="B74" s="35"/>
      <c r="C74" s="35"/>
      <c r="D74" s="35"/>
      <c r="E74" s="35"/>
      <c r="F74" s="35"/>
      <c r="G74" s="35"/>
      <c r="H74" s="35"/>
      <c r="I74" s="36" t="s">
        <v>156</v>
      </c>
      <c r="J74" s="40">
        <v>0.03</v>
      </c>
      <c r="K74" s="36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3">
      <c r="A75" s="35"/>
      <c r="B75" s="35"/>
      <c r="C75" s="35"/>
      <c r="D75" s="35"/>
      <c r="E75" s="35"/>
      <c r="F75" s="35"/>
      <c r="G75" s="35"/>
      <c r="H75" s="35"/>
      <c r="I75" s="36"/>
      <c r="J75" s="37"/>
      <c r="K75" s="36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3">
      <c r="A76" s="35"/>
      <c r="B76" s="35"/>
      <c r="C76" s="35"/>
      <c r="D76" s="35"/>
      <c r="E76" s="35"/>
      <c r="F76" s="35"/>
      <c r="G76" s="35"/>
      <c r="H76" s="35"/>
      <c r="I76" s="36"/>
      <c r="J76" s="37"/>
      <c r="K76" s="36"/>
      <c r="L76" s="2"/>
      <c r="N76" s="113" t="s">
        <v>25</v>
      </c>
      <c r="O76" s="113" t="s">
        <v>26</v>
      </c>
      <c r="P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3">
      <c r="A77" s="6" t="s">
        <v>23</v>
      </c>
      <c r="B77" s="5">
        <f>I30</f>
        <v>0</v>
      </c>
      <c r="C77" s="2"/>
      <c r="D77" s="6" t="s">
        <v>60</v>
      </c>
      <c r="E77" s="6">
        <v>0.03</v>
      </c>
      <c r="F77" s="2"/>
      <c r="G77" s="6" t="s">
        <v>24</v>
      </c>
      <c r="H77" s="6">
        <f>R82</f>
        <v>3.1944444444444303E-3</v>
      </c>
      <c r="I77" s="36"/>
      <c r="J77" s="37"/>
      <c r="K77" s="36"/>
      <c r="L77" s="2"/>
      <c r="N77" s="41">
        <v>0</v>
      </c>
      <c r="O77" s="41">
        <v>0.26</v>
      </c>
      <c r="P77" s="2"/>
      <c r="Q77" s="2" t="s">
        <v>25</v>
      </c>
      <c r="R77" s="2" t="s">
        <v>26</v>
      </c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3">
      <c r="A78" s="2"/>
      <c r="B78" s="9"/>
      <c r="C78" s="2"/>
      <c r="D78" s="10" t="s">
        <v>58</v>
      </c>
      <c r="E78" s="6">
        <v>0.4</v>
      </c>
      <c r="F78" s="2"/>
      <c r="G78" s="2"/>
      <c r="H78" s="2"/>
      <c r="I78" s="36"/>
      <c r="J78" s="37"/>
      <c r="K78" s="36"/>
      <c r="L78" s="2"/>
      <c r="N78" s="41">
        <v>5</v>
      </c>
      <c r="O78" s="41">
        <v>0.17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3">
      <c r="A79" s="6" t="s">
        <v>28</v>
      </c>
      <c r="B79" s="6">
        <f>D11</f>
        <v>0.01</v>
      </c>
      <c r="C79" s="2"/>
      <c r="D79" s="2"/>
      <c r="E79" s="2"/>
      <c r="F79" s="2"/>
      <c r="G79" s="2"/>
      <c r="H79" s="2"/>
      <c r="I79" s="36"/>
      <c r="J79" s="37"/>
      <c r="K79" s="36"/>
      <c r="L79" s="2"/>
      <c r="N79" s="41">
        <v>10</v>
      </c>
      <c r="O79" s="41">
        <v>0.11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N80" s="41">
        <v>15</v>
      </c>
      <c r="O80" s="41">
        <v>0.05</v>
      </c>
      <c r="P80" s="2"/>
      <c r="Q80" s="2" t="s">
        <v>30</v>
      </c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N81" s="41">
        <v>20</v>
      </c>
      <c r="O81" s="41">
        <v>0</v>
      </c>
      <c r="P81" s="2"/>
      <c r="Q81" s="2">
        <f>IF(Q46&lt;=20,N44,IF(Q46&gt;=20,N45,0))</f>
        <v>15</v>
      </c>
      <c r="R81" s="2">
        <f>VLOOKUP(Q81,$N$76:$O$86,2,FALSE)</f>
        <v>0.05</v>
      </c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3">
      <c r="A82" s="35" t="s">
        <v>61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N82" s="41">
        <v>25</v>
      </c>
      <c r="O82" s="41">
        <v>-0.06</v>
      </c>
      <c r="P82" s="2"/>
      <c r="Q82" s="3">
        <f>B30</f>
        <v>19.680555555555557</v>
      </c>
      <c r="R82" s="2">
        <f>(Q82-Q81)*(R83-R81)/(Q83-Q81)+R81</f>
        <v>3.1944444444444303E-3</v>
      </c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3">
      <c r="A83" s="38" t="s">
        <v>31</v>
      </c>
      <c r="B83" s="38" t="s">
        <v>32</v>
      </c>
      <c r="C83" s="38" t="s">
        <v>33</v>
      </c>
      <c r="D83" s="38" t="s">
        <v>34</v>
      </c>
      <c r="E83" s="38" t="s">
        <v>35</v>
      </c>
      <c r="F83" s="38" t="s">
        <v>36</v>
      </c>
      <c r="G83" s="39" t="s">
        <v>37</v>
      </c>
      <c r="H83" s="38" t="s">
        <v>38</v>
      </c>
      <c r="I83" s="39" t="s">
        <v>39</v>
      </c>
      <c r="J83" s="39" t="s">
        <v>40</v>
      </c>
      <c r="K83" s="38" t="s">
        <v>41</v>
      </c>
      <c r="L83" s="2"/>
      <c r="N83" s="41">
        <v>30</v>
      </c>
      <c r="O83" s="41">
        <v>-0.11</v>
      </c>
      <c r="P83" s="2"/>
      <c r="Q83" s="2">
        <f>IF(Q46&lt;=20,N45,IF(Q46&gt;=20,N46,0))</f>
        <v>20</v>
      </c>
      <c r="R83" s="2">
        <f>VLOOKUP(Q83,$N$76:$O$86,2,FALSE)</f>
        <v>0</v>
      </c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3">
      <c r="A84" s="13" t="s">
        <v>42</v>
      </c>
      <c r="B84" s="14" t="s">
        <v>43</v>
      </c>
      <c r="C84" s="14" t="s">
        <v>44</v>
      </c>
      <c r="D84" s="14">
        <f>I30</f>
        <v>0</v>
      </c>
      <c r="E84" s="16">
        <f>SQRT(5)</f>
        <v>2.2360679774997898</v>
      </c>
      <c r="F84" s="14">
        <v>4</v>
      </c>
      <c r="G84" s="14">
        <f t="shared" ref="G84:G88" si="16">D84/E84</f>
        <v>0</v>
      </c>
      <c r="H84" s="14">
        <v>1</v>
      </c>
      <c r="I84" s="14">
        <f t="shared" ref="I84:I88" si="17">G84*H84</f>
        <v>0</v>
      </c>
      <c r="J84" s="14">
        <f t="shared" ref="J84:J88" si="18">I84^2</f>
        <v>0</v>
      </c>
      <c r="K84" s="14">
        <f t="shared" ref="K84:K88" si="19">I84^4/F84</f>
        <v>0</v>
      </c>
      <c r="L84" s="2"/>
      <c r="N84" s="41">
        <v>35</v>
      </c>
      <c r="O84" s="41">
        <v>-0.16</v>
      </c>
      <c r="P84" s="2"/>
      <c r="Q84" s="2" t="str">
        <f>A88</f>
        <v>Pengaruh ketidakpastian Termometer digital</v>
      </c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3">
      <c r="A85" s="17" t="s">
        <v>45</v>
      </c>
      <c r="B85" s="14" t="s">
        <v>43</v>
      </c>
      <c r="C85" s="16" t="s">
        <v>46</v>
      </c>
      <c r="D85" s="16">
        <f>E77</f>
        <v>0.03</v>
      </c>
      <c r="E85" s="16">
        <v>2</v>
      </c>
      <c r="F85" s="16">
        <v>60</v>
      </c>
      <c r="G85" s="16">
        <f t="shared" si="16"/>
        <v>1.4999999999999999E-2</v>
      </c>
      <c r="H85" s="16">
        <v>1</v>
      </c>
      <c r="I85" s="16">
        <f t="shared" si="17"/>
        <v>1.4999999999999999E-2</v>
      </c>
      <c r="J85" s="16">
        <f t="shared" si="18"/>
        <v>2.2499999999999999E-4</v>
      </c>
      <c r="K85" s="16">
        <f t="shared" si="19"/>
        <v>8.4375000000000001E-10</v>
      </c>
      <c r="L85" s="2"/>
      <c r="N85" s="41">
        <v>40</v>
      </c>
      <c r="O85" s="41">
        <v>-0.18</v>
      </c>
      <c r="P85" s="2"/>
      <c r="Q85" s="2">
        <f>N81</f>
        <v>20</v>
      </c>
      <c r="R85" s="2">
        <f>O81</f>
        <v>0</v>
      </c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3">
      <c r="A86" s="17" t="s">
        <v>47</v>
      </c>
      <c r="B86" s="14" t="s">
        <v>43</v>
      </c>
      <c r="C86" s="16" t="s">
        <v>48</v>
      </c>
      <c r="D86" s="16">
        <f>R82</f>
        <v>3.1944444444444303E-3</v>
      </c>
      <c r="E86" s="16">
        <f t="shared" ref="E86:E87" si="20">SQRT(3)</f>
        <v>1.7320508075688772</v>
      </c>
      <c r="F86" s="16">
        <v>50</v>
      </c>
      <c r="G86" s="16">
        <f t="shared" si="16"/>
        <v>1.8443133599112965E-3</v>
      </c>
      <c r="H86" s="16">
        <v>1</v>
      </c>
      <c r="I86" s="16">
        <f t="shared" si="17"/>
        <v>1.8443133599112965E-3</v>
      </c>
      <c r="J86" s="16">
        <f t="shared" si="18"/>
        <v>3.4014917695472956E-6</v>
      </c>
      <c r="K86" s="16">
        <f t="shared" si="19"/>
        <v>2.3140292516595985E-13</v>
      </c>
      <c r="L86" s="2"/>
      <c r="N86" s="41">
        <v>50</v>
      </c>
      <c r="O86" s="41">
        <v>-0.26</v>
      </c>
      <c r="P86" s="2"/>
      <c r="Q86" s="3">
        <f>E78+B30</f>
        <v>20.080555555555556</v>
      </c>
      <c r="R86" s="2">
        <f>(Q86-Q85)*(R87-R85)/(Q87-Q85)+R85</f>
        <v>-9.6666666666666841E-4</v>
      </c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3">
      <c r="A87" s="17" t="s">
        <v>49</v>
      </c>
      <c r="B87" s="14" t="s">
        <v>43</v>
      </c>
      <c r="C87" s="16" t="s">
        <v>48</v>
      </c>
      <c r="D87" s="16">
        <f>B79/2</f>
        <v>5.0000000000000001E-3</v>
      </c>
      <c r="E87" s="16">
        <f t="shared" si="20"/>
        <v>1.7320508075688772</v>
      </c>
      <c r="F87" s="16">
        <v>50</v>
      </c>
      <c r="G87" s="16">
        <f t="shared" si="16"/>
        <v>2.886751345948129E-3</v>
      </c>
      <c r="H87" s="16">
        <v>1</v>
      </c>
      <c r="I87" s="16">
        <f t="shared" si="17"/>
        <v>2.886751345948129E-3</v>
      </c>
      <c r="J87" s="16">
        <f t="shared" si="18"/>
        <v>8.3333333333333337E-6</v>
      </c>
      <c r="K87" s="16">
        <f t="shared" si="19"/>
        <v>1.3888888888888891E-12</v>
      </c>
      <c r="L87" s="2"/>
      <c r="M87" s="2"/>
      <c r="N87" s="2"/>
      <c r="O87" s="2"/>
      <c r="P87" s="2"/>
      <c r="Q87" s="2">
        <f>N82</f>
        <v>25</v>
      </c>
      <c r="R87" s="2">
        <f>O82</f>
        <v>-0.06</v>
      </c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3">
      <c r="A88" s="18" t="s">
        <v>50</v>
      </c>
      <c r="B88" s="19" t="s">
        <v>51</v>
      </c>
      <c r="C88" s="19" t="s">
        <v>44</v>
      </c>
      <c r="D88" s="16">
        <f>E78</f>
        <v>0.4</v>
      </c>
      <c r="E88" s="16">
        <v>2</v>
      </c>
      <c r="F88" s="16">
        <v>60</v>
      </c>
      <c r="G88" s="16">
        <f t="shared" si="16"/>
        <v>0.2</v>
      </c>
      <c r="H88" s="16">
        <f>0.05/5</f>
        <v>0.01</v>
      </c>
      <c r="I88" s="16">
        <f t="shared" si="17"/>
        <v>2E-3</v>
      </c>
      <c r="J88" s="16">
        <f t="shared" si="18"/>
        <v>3.9999999999999998E-6</v>
      </c>
      <c r="K88" s="16">
        <f t="shared" si="19"/>
        <v>2.6666666666666667E-13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3">
      <c r="A89" s="20" t="s">
        <v>52</v>
      </c>
      <c r="B89" s="21"/>
      <c r="C89" s="21"/>
      <c r="D89" s="21"/>
      <c r="E89" s="21"/>
      <c r="F89" s="21"/>
      <c r="G89" s="21"/>
      <c r="H89" s="22"/>
      <c r="I89" s="23"/>
      <c r="J89" s="24">
        <f t="shared" ref="J89:K89" si="21">SUM(J84:J87)</f>
        <v>2.3673482510288063E-4</v>
      </c>
      <c r="K89" s="14">
        <f t="shared" si="21"/>
        <v>8.4537029181405485E-10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3">
      <c r="A90" s="25" t="s">
        <v>53</v>
      </c>
      <c r="B90" s="26"/>
      <c r="C90" s="26"/>
      <c r="D90" s="26"/>
      <c r="E90" s="26"/>
      <c r="F90" s="26"/>
      <c r="G90" s="26"/>
      <c r="H90" s="27"/>
      <c r="I90" s="28"/>
      <c r="J90" s="24">
        <f>SQRT(J89)</f>
        <v>1.5386189427628942E-2</v>
      </c>
      <c r="K90" s="16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3">
      <c r="A91" s="25" t="s">
        <v>54</v>
      </c>
      <c r="B91" s="26"/>
      <c r="C91" s="26"/>
      <c r="D91" s="26"/>
      <c r="E91" s="26"/>
      <c r="F91" s="26"/>
      <c r="G91" s="26"/>
      <c r="H91" s="27"/>
      <c r="I91" s="28"/>
      <c r="J91" s="24">
        <f>J90^4/K89</f>
        <v>66.29447232671221</v>
      </c>
      <c r="K91" s="1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3">
      <c r="A92" s="25" t="s">
        <v>55</v>
      </c>
      <c r="B92" s="26"/>
      <c r="C92" s="26"/>
      <c r="D92" s="26"/>
      <c r="E92" s="26"/>
      <c r="F92" s="26"/>
      <c r="G92" s="26"/>
      <c r="H92" s="27"/>
      <c r="I92" s="28"/>
      <c r="J92" s="24">
        <f>TINV(0.05,J91)</f>
        <v>1.996564418952312</v>
      </c>
      <c r="K92" s="16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3">
      <c r="A93" s="29" t="s">
        <v>56</v>
      </c>
      <c r="B93" s="30"/>
      <c r="C93" s="30"/>
      <c r="D93" s="30"/>
      <c r="E93" s="30"/>
      <c r="F93" s="30"/>
      <c r="G93" s="30"/>
      <c r="H93" s="31"/>
      <c r="I93" s="32"/>
      <c r="J93" s="33">
        <f>J92*J90</f>
        <v>3.0719518354464185E-2</v>
      </c>
      <c r="K93" s="34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3">
      <c r="A94" s="2"/>
      <c r="B94" s="2"/>
      <c r="C94" s="2"/>
      <c r="D94" s="2"/>
      <c r="E94" s="2"/>
      <c r="F94" s="2"/>
      <c r="G94" s="2"/>
      <c r="H94" s="2"/>
      <c r="I94" s="2" t="s">
        <v>156</v>
      </c>
      <c r="J94" s="2">
        <v>3.6999999999999998E-2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3">
      <c r="A97" s="35"/>
      <c r="B97" s="35"/>
      <c r="C97" s="35"/>
      <c r="D97" s="35"/>
      <c r="E97" s="35"/>
      <c r="F97" s="35"/>
      <c r="G97" s="35"/>
      <c r="H97" s="35"/>
      <c r="I97" s="36"/>
      <c r="J97" s="37"/>
      <c r="K97" s="36"/>
      <c r="L97" s="2"/>
      <c r="N97" s="2" t="s">
        <v>25</v>
      </c>
      <c r="O97" s="2" t="s">
        <v>26</v>
      </c>
      <c r="P97" s="2"/>
      <c r="Q97" s="2" t="s">
        <v>25</v>
      </c>
      <c r="R97" s="2" t="s">
        <v>26</v>
      </c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3">
      <c r="A98" s="6" t="s">
        <v>23</v>
      </c>
      <c r="B98" s="5">
        <f>I36</f>
        <v>0</v>
      </c>
      <c r="C98" s="2"/>
      <c r="D98" s="6" t="s">
        <v>60</v>
      </c>
      <c r="E98" s="6">
        <v>0.01</v>
      </c>
      <c r="F98" s="2"/>
      <c r="G98" s="6" t="s">
        <v>24</v>
      </c>
      <c r="H98" s="6">
        <f>R103</f>
        <v>0.7572911111111118</v>
      </c>
      <c r="I98" s="36"/>
      <c r="J98" s="37"/>
      <c r="K98" s="36"/>
      <c r="L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3">
      <c r="A99" s="2"/>
      <c r="B99" s="9"/>
      <c r="C99" s="2"/>
      <c r="D99" s="10" t="s">
        <v>58</v>
      </c>
      <c r="E99" s="6">
        <v>0.4</v>
      </c>
      <c r="F99" s="2"/>
      <c r="G99" s="2"/>
      <c r="H99" s="2"/>
      <c r="I99" s="36"/>
      <c r="J99" s="37"/>
      <c r="K99" s="36"/>
      <c r="L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3">
      <c r="A100" s="6" t="s">
        <v>28</v>
      </c>
      <c r="B100" s="6">
        <f>D11</f>
        <v>0.01</v>
      </c>
      <c r="C100" s="2"/>
      <c r="D100" s="2"/>
      <c r="E100" s="2"/>
      <c r="F100" s="2"/>
      <c r="G100" s="2"/>
      <c r="H100" s="2"/>
      <c r="I100" s="36"/>
      <c r="J100" s="37"/>
      <c r="K100" s="36"/>
      <c r="L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N101" s="2"/>
      <c r="O101" s="2"/>
      <c r="P101" s="2"/>
      <c r="Q101" s="2" t="s">
        <v>30</v>
      </c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N102" s="2">
        <v>23</v>
      </c>
      <c r="O102" s="75">
        <f>ABS(2.18-2.002)</f>
        <v>0.17800000000000038</v>
      </c>
      <c r="P102" s="2"/>
      <c r="Q102" s="2">
        <f>IF(Q46&lt;=20,N44,IF(Q46&gt;=20,N45,0))</f>
        <v>15</v>
      </c>
      <c r="R102" s="2">
        <f>O102</f>
        <v>0.17800000000000038</v>
      </c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3">
      <c r="A103" s="35" t="s">
        <v>141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N103" s="2">
        <v>25</v>
      </c>
      <c r="O103" s="2">
        <v>0</v>
      </c>
      <c r="P103" s="2"/>
      <c r="Q103" s="3">
        <f>B36</f>
        <v>-1.2722222222221973</v>
      </c>
      <c r="R103" s="2">
        <f>(Q103-Q102)*(R104-R102)/(Q104-Q102)+R102</f>
        <v>0.7572911111111118</v>
      </c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3">
      <c r="A104" s="38" t="s">
        <v>31</v>
      </c>
      <c r="B104" s="38" t="s">
        <v>32</v>
      </c>
      <c r="C104" s="38" t="s">
        <v>33</v>
      </c>
      <c r="D104" s="38" t="s">
        <v>34</v>
      </c>
      <c r="E104" s="38" t="s">
        <v>35</v>
      </c>
      <c r="F104" s="38" t="s">
        <v>36</v>
      </c>
      <c r="G104" s="39" t="s">
        <v>37</v>
      </c>
      <c r="H104" s="38" t="s">
        <v>38</v>
      </c>
      <c r="I104" s="39" t="s">
        <v>39</v>
      </c>
      <c r="J104" s="39" t="s">
        <v>40</v>
      </c>
      <c r="K104" s="38" t="s">
        <v>41</v>
      </c>
      <c r="L104" s="2"/>
      <c r="M104" s="2"/>
      <c r="N104" s="2"/>
      <c r="O104" s="2"/>
      <c r="P104" s="2"/>
      <c r="Q104" s="2">
        <f>IF(Q46&lt;=20,N45,IF(Q46&gt;=20,N46,0))</f>
        <v>20</v>
      </c>
      <c r="R104" s="2">
        <f>O103</f>
        <v>0</v>
      </c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3">
      <c r="A105" s="13" t="s">
        <v>42</v>
      </c>
      <c r="B105" s="14" t="s">
        <v>43</v>
      </c>
      <c r="C105" s="14" t="s">
        <v>44</v>
      </c>
      <c r="D105" s="14">
        <f>I36</f>
        <v>0</v>
      </c>
      <c r="E105" s="16">
        <f>SQRT(5)</f>
        <v>2.2360679774997898</v>
      </c>
      <c r="F105" s="14">
        <v>4</v>
      </c>
      <c r="G105" s="14">
        <f t="shared" ref="G105:G109" si="22">D105/E105</f>
        <v>0</v>
      </c>
      <c r="H105" s="14">
        <v>1</v>
      </c>
      <c r="I105" s="14">
        <f t="shared" ref="I105:I109" si="23">G105*H105</f>
        <v>0</v>
      </c>
      <c r="J105" s="14">
        <f t="shared" ref="J105:J109" si="24">I105^2</f>
        <v>0</v>
      </c>
      <c r="K105" s="14">
        <f t="shared" ref="K105:K109" si="25">I105^4/F105</f>
        <v>0</v>
      </c>
      <c r="L105" s="2"/>
      <c r="M105" s="2"/>
      <c r="N105" s="2"/>
      <c r="O105" s="2"/>
      <c r="P105" s="2"/>
      <c r="Q105" s="2" t="str">
        <f>A109</f>
        <v>Pengaruh ketidakpastian Termometer digital</v>
      </c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3">
      <c r="A106" s="17" t="s">
        <v>45</v>
      </c>
      <c r="B106" s="14" t="s">
        <v>43</v>
      </c>
      <c r="C106" s="16" t="s">
        <v>46</v>
      </c>
      <c r="D106" s="16">
        <f>E98</f>
        <v>0.01</v>
      </c>
      <c r="E106" s="16">
        <v>2</v>
      </c>
      <c r="F106" s="16">
        <v>60</v>
      </c>
      <c r="G106" s="16">
        <f t="shared" si="22"/>
        <v>5.0000000000000001E-3</v>
      </c>
      <c r="H106" s="16">
        <v>1</v>
      </c>
      <c r="I106" s="16">
        <f t="shared" si="23"/>
        <v>5.0000000000000001E-3</v>
      </c>
      <c r="J106" s="16">
        <f t="shared" si="24"/>
        <v>2.5000000000000001E-5</v>
      </c>
      <c r="K106" s="16">
        <f t="shared" si="25"/>
        <v>1.0416666666666666E-11</v>
      </c>
      <c r="L106" s="2"/>
      <c r="M106" s="2"/>
      <c r="N106" s="2"/>
      <c r="O106" s="2"/>
      <c r="P106" s="2"/>
      <c r="Q106" s="2">
        <f>N102</f>
        <v>23</v>
      </c>
      <c r="R106" s="2">
        <f>O102</f>
        <v>0.17800000000000038</v>
      </c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3">
      <c r="A107" s="17" t="s">
        <v>47</v>
      </c>
      <c r="B107" s="14" t="s">
        <v>43</v>
      </c>
      <c r="C107" s="16" t="s">
        <v>48</v>
      </c>
      <c r="D107" s="16">
        <f>R103</f>
        <v>0.7572911111111118</v>
      </c>
      <c r="E107" s="16">
        <f t="shared" ref="E107:E108" si="26">SQRT(3)</f>
        <v>1.7320508075688772</v>
      </c>
      <c r="F107" s="16">
        <v>50</v>
      </c>
      <c r="G107" s="16">
        <f t="shared" si="22"/>
        <v>0.43722222685491124</v>
      </c>
      <c r="H107" s="16">
        <v>1</v>
      </c>
      <c r="I107" s="16">
        <f t="shared" si="23"/>
        <v>0.43722222685491124</v>
      </c>
      <c r="J107" s="16">
        <f t="shared" si="24"/>
        <v>0.19116327565596747</v>
      </c>
      <c r="K107" s="16">
        <f t="shared" si="25"/>
        <v>7.3086795919038809E-4</v>
      </c>
      <c r="L107" s="2"/>
      <c r="M107" s="2"/>
      <c r="N107" s="2"/>
      <c r="O107" s="2"/>
      <c r="P107" s="2"/>
      <c r="Q107" s="3">
        <f>E99+B52</f>
        <v>0.4</v>
      </c>
      <c r="R107" s="2">
        <f>(Q107-Q106)*(R108-R106)/(Q108-Q106)+R106</f>
        <v>2.1894000000000049</v>
      </c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3">
      <c r="A108" s="17" t="s">
        <v>49</v>
      </c>
      <c r="B108" s="14" t="s">
        <v>43</v>
      </c>
      <c r="C108" s="16" t="s">
        <v>48</v>
      </c>
      <c r="D108" s="16">
        <f>B100/2</f>
        <v>5.0000000000000001E-3</v>
      </c>
      <c r="E108" s="16">
        <f t="shared" si="26"/>
        <v>1.7320508075688772</v>
      </c>
      <c r="F108" s="16">
        <v>50</v>
      </c>
      <c r="G108" s="16">
        <f t="shared" si="22"/>
        <v>2.886751345948129E-3</v>
      </c>
      <c r="H108" s="16">
        <v>1</v>
      </c>
      <c r="I108" s="16">
        <f t="shared" si="23"/>
        <v>2.886751345948129E-3</v>
      </c>
      <c r="J108" s="16">
        <f t="shared" si="24"/>
        <v>8.3333333333333337E-6</v>
      </c>
      <c r="K108" s="16">
        <f t="shared" si="25"/>
        <v>1.3888888888888891E-12</v>
      </c>
      <c r="L108" s="2"/>
      <c r="M108" s="2"/>
      <c r="N108" s="2"/>
      <c r="O108" s="2"/>
      <c r="P108" s="2"/>
      <c r="Q108" s="2">
        <f>N103</f>
        <v>25</v>
      </c>
      <c r="R108" s="2">
        <f>O103</f>
        <v>0</v>
      </c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3">
      <c r="A109" s="18" t="s">
        <v>50</v>
      </c>
      <c r="B109" s="19" t="s">
        <v>51</v>
      </c>
      <c r="C109" s="19" t="s">
        <v>44</v>
      </c>
      <c r="D109" s="16">
        <f>E99</f>
        <v>0.4</v>
      </c>
      <c r="E109" s="16">
        <v>2</v>
      </c>
      <c r="F109" s="16">
        <v>60</v>
      </c>
      <c r="G109" s="16">
        <f t="shared" si="22"/>
        <v>0.2</v>
      </c>
      <c r="H109" s="16">
        <f>0.05/5</f>
        <v>0.01</v>
      </c>
      <c r="I109" s="16">
        <f t="shared" si="23"/>
        <v>2E-3</v>
      </c>
      <c r="J109" s="16">
        <f t="shared" si="24"/>
        <v>3.9999999999999998E-6</v>
      </c>
      <c r="K109" s="16">
        <f t="shared" si="25"/>
        <v>2.6666666666666667E-13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3">
      <c r="A110" s="20" t="s">
        <v>52</v>
      </c>
      <c r="B110" s="21"/>
      <c r="C110" s="21"/>
      <c r="D110" s="21"/>
      <c r="E110" s="21"/>
      <c r="F110" s="21"/>
      <c r="G110" s="21"/>
      <c r="H110" s="22"/>
      <c r="I110" s="23"/>
      <c r="J110" s="24">
        <f t="shared" ref="J110:K110" si="27">SUM(J105:J108)</f>
        <v>0.1911966089893008</v>
      </c>
      <c r="K110" s="14">
        <f t="shared" si="27"/>
        <v>7.3086797099594365E-4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3">
      <c r="A111" s="25" t="s">
        <v>53</v>
      </c>
      <c r="B111" s="26"/>
      <c r="C111" s="26"/>
      <c r="D111" s="26"/>
      <c r="E111" s="26"/>
      <c r="F111" s="26"/>
      <c r="G111" s="26"/>
      <c r="H111" s="27"/>
      <c r="I111" s="28"/>
      <c r="J111" s="24">
        <f>SQRT(J110)</f>
        <v>0.43726034463383573</v>
      </c>
      <c r="K111" s="16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3">
      <c r="A112" s="25" t="s">
        <v>54</v>
      </c>
      <c r="B112" s="26"/>
      <c r="C112" s="26"/>
      <c r="D112" s="26"/>
      <c r="E112" s="26"/>
      <c r="F112" s="26"/>
      <c r="G112" s="26"/>
      <c r="H112" s="27"/>
      <c r="I112" s="28"/>
      <c r="J112" s="24">
        <f>J111^4/K110</f>
        <v>50.017437813279777</v>
      </c>
      <c r="K112" s="16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3">
      <c r="A113" s="25" t="s">
        <v>55</v>
      </c>
      <c r="B113" s="26"/>
      <c r="C113" s="26"/>
      <c r="D113" s="26"/>
      <c r="E113" s="26"/>
      <c r="F113" s="26"/>
      <c r="G113" s="26"/>
      <c r="H113" s="27"/>
      <c r="I113" s="28"/>
      <c r="J113" s="24">
        <f>TINV(0.05,J112)</f>
        <v>2.0085591121007611</v>
      </c>
      <c r="K113" s="16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3">
      <c r="A114" s="29" t="s">
        <v>56</v>
      </c>
      <c r="B114" s="30"/>
      <c r="C114" s="30"/>
      <c r="D114" s="30"/>
      <c r="E114" s="30"/>
      <c r="F114" s="30"/>
      <c r="G114" s="30"/>
      <c r="H114" s="31"/>
      <c r="I114" s="32"/>
      <c r="J114" s="33">
        <f>J113*J111</f>
        <v>0.87826324957460988</v>
      </c>
      <c r="K114" s="34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/>
    <row r="314" spans="1:26" ht="15.75" customHeight="1" x14ac:dyDescent="0.3"/>
    <row r="315" spans="1:26" ht="15.75" customHeight="1" x14ac:dyDescent="0.3"/>
    <row r="316" spans="1:26" ht="15.75" customHeight="1" x14ac:dyDescent="0.3"/>
    <row r="317" spans="1:26" ht="15.75" customHeight="1" x14ac:dyDescent="0.3"/>
    <row r="318" spans="1:26" ht="15.75" customHeight="1" x14ac:dyDescent="0.3"/>
    <row r="319" spans="1:26" ht="15.75" customHeight="1" x14ac:dyDescent="0.3"/>
    <row r="320" spans="1:26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</sheetData>
  <mergeCells count="20">
    <mergeCell ref="I34:I35"/>
    <mergeCell ref="J34:J35"/>
    <mergeCell ref="A22:A23"/>
    <mergeCell ref="B22:B23"/>
    <mergeCell ref="C22:H22"/>
    <mergeCell ref="I22:I23"/>
    <mergeCell ref="J22:J23"/>
    <mergeCell ref="A28:A29"/>
    <mergeCell ref="B28:B29"/>
    <mergeCell ref="C28:H28"/>
    <mergeCell ref="I28:I29"/>
    <mergeCell ref="J28:J29"/>
    <mergeCell ref="A34:A35"/>
    <mergeCell ref="B34:B35"/>
    <mergeCell ref="C34:H34"/>
    <mergeCell ref="A16:A17"/>
    <mergeCell ref="B16:B17"/>
    <mergeCell ref="C16:H16"/>
    <mergeCell ref="I16:I17"/>
    <mergeCell ref="J16:J17"/>
  </mergeCells>
  <phoneticPr fontId="37" type="noConversion"/>
  <pageMargins left="0.7" right="0.7" top="0.75" bottom="0.75" header="0" footer="0"/>
  <pageSetup orientation="landscape"/>
  <ignoredErrors>
    <ignoredError sqref="K23:L23" formula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Sertifikat</vt:lpstr>
      <vt:lpstr>Budget pH 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Wira Akira</dc:creator>
  <cp:lastModifiedBy>Athalla Abhiyoga</cp:lastModifiedBy>
  <cp:lastPrinted>2025-12-15T07:58:11Z</cp:lastPrinted>
  <dcterms:created xsi:type="dcterms:W3CDTF">2024-12-16T04:24:33Z</dcterms:created>
  <dcterms:modified xsi:type="dcterms:W3CDTF">2025-12-16T01:21:03Z</dcterms:modified>
</cp:coreProperties>
</file>