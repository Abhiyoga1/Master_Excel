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Teori Metrolog\Kalibrasi Instrument anallitik\Total Disolve Oxygen\"/>
    </mc:Choice>
  </mc:AlternateContent>
  <xr:revisionPtr revIDLastSave="0" documentId="13_ncr:1_{D8DF50AE-A2BC-4C70-93BD-626834D67FF7}" xr6:coauthVersionLast="47" xr6:coauthVersionMax="47" xr10:uidLastSave="{00000000-0000-0000-0000-000000000000}"/>
  <bookViews>
    <workbookView xWindow="-108" yWindow="-108" windowWidth="23256" windowHeight="12456" tabRatio="688" xr2:uid="{8B01FF25-9B24-40B8-8E4E-F51E308EEEB3}"/>
  </bookViews>
  <sheets>
    <sheet name="Sertifikat" sheetId="5" r:id="rId1"/>
    <sheet name="Budget DO meter" sheetId="1" r:id="rId2"/>
    <sheet name="Sheet1" sheetId="6" r:id="rId3"/>
  </sheets>
  <definedNames>
    <definedName name="_xlnm.Print_Area" localSheetId="0">Sertifikat!$A$1:$K$119</definedName>
    <definedName name="se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8" i="5" l="1"/>
  <c r="H90" i="5"/>
  <c r="J18" i="1"/>
  <c r="F90" i="5"/>
  <c r="D90" i="5"/>
  <c r="G27" i="5" l="1"/>
  <c r="G28" i="5"/>
  <c r="H33" i="1"/>
  <c r="B18" i="1"/>
  <c r="K17" i="1"/>
  <c r="H15" i="1"/>
  <c r="E34" i="1" l="1"/>
  <c r="F11" i="6"/>
  <c r="F12" i="6"/>
  <c r="F13" i="6"/>
  <c r="F14" i="6"/>
  <c r="F15" i="6"/>
  <c r="F16" i="6"/>
  <c r="F17" i="6"/>
  <c r="F18" i="6"/>
  <c r="F19" i="6"/>
  <c r="F20" i="6"/>
  <c r="F5" i="6"/>
  <c r="F6" i="6"/>
  <c r="F7" i="6"/>
  <c r="F8" i="6"/>
  <c r="F9" i="6"/>
  <c r="F10" i="6"/>
  <c r="D43" i="1"/>
  <c r="B35" i="1"/>
  <c r="D42" i="1" s="1"/>
  <c r="D40" i="1"/>
  <c r="K16" i="1"/>
  <c r="S21" i="1"/>
  <c r="S22" i="1"/>
  <c r="S23" i="1"/>
  <c r="S24" i="1"/>
  <c r="S19" i="1"/>
  <c r="K18" i="1" l="1"/>
  <c r="H25" i="1"/>
  <c r="H20" i="1"/>
  <c r="H18" i="1"/>
  <c r="H23" i="1"/>
  <c r="H28" i="1"/>
  <c r="Q58" i="1"/>
  <c r="R58" i="1"/>
  <c r="R56" i="1"/>
  <c r="Q56" i="1"/>
  <c r="R76" i="1" l="1"/>
  <c r="R74" i="1"/>
  <c r="Q76" i="1"/>
  <c r="Q74" i="1"/>
  <c r="I18" i="1" l="1"/>
  <c r="D39" i="1" s="1"/>
  <c r="C35" i="5"/>
  <c r="K28" i="1"/>
  <c r="K23" i="1"/>
  <c r="F69" i="5"/>
  <c r="H6" i="1" l="1"/>
  <c r="G6" i="1"/>
  <c r="G7" i="1" s="1"/>
  <c r="D80" i="5"/>
  <c r="D81" i="5"/>
  <c r="D74" i="5"/>
  <c r="C33" i="5"/>
  <c r="D78" i="5"/>
  <c r="E25" i="5"/>
  <c r="D76" i="5" s="1"/>
  <c r="E21" i="5"/>
  <c r="E19" i="5"/>
  <c r="D75" i="5"/>
  <c r="D73" i="5"/>
  <c r="D77" i="5"/>
  <c r="H9" i="1" l="1"/>
  <c r="H7" i="1"/>
  <c r="G9" i="1"/>
  <c r="G10" i="1" s="1"/>
  <c r="G11" i="1" s="1"/>
  <c r="I79" i="5" s="1"/>
  <c r="H8" i="1" l="1"/>
  <c r="H10" i="1" s="1"/>
  <c r="H11" i="1" s="1"/>
  <c r="I80" i="5" s="1"/>
  <c r="H81" i="1"/>
  <c r="D81" i="1"/>
  <c r="G81" i="1" s="1"/>
  <c r="R80" i="1"/>
  <c r="Q80" i="1"/>
  <c r="E80" i="1"/>
  <c r="E79" i="1"/>
  <c r="R78" i="1"/>
  <c r="Q78" i="1"/>
  <c r="D78" i="1"/>
  <c r="G78" i="1" s="1"/>
  <c r="I78" i="1" s="1"/>
  <c r="Q77" i="1"/>
  <c r="E77" i="1"/>
  <c r="B72" i="1"/>
  <c r="D80" i="1" s="1"/>
  <c r="H61" i="1"/>
  <c r="D61" i="1"/>
  <c r="G61" i="1" s="1"/>
  <c r="R60" i="1"/>
  <c r="E60" i="1"/>
  <c r="Q59" i="1"/>
  <c r="E59" i="1"/>
  <c r="D58" i="1"/>
  <c r="G58" i="1" s="1"/>
  <c r="I58" i="1" s="1"/>
  <c r="E57" i="1"/>
  <c r="B53" i="1"/>
  <c r="D60" i="1" s="1"/>
  <c r="H43" i="1"/>
  <c r="R42" i="1"/>
  <c r="E42" i="1"/>
  <c r="Q41" i="1"/>
  <c r="E41" i="1"/>
  <c r="G40" i="1"/>
  <c r="I40" i="1" s="1"/>
  <c r="E39" i="1"/>
  <c r="I28" i="1"/>
  <c r="D77" i="1" s="1"/>
  <c r="K27" i="1"/>
  <c r="K26" i="1"/>
  <c r="I23" i="1"/>
  <c r="D57" i="1" s="1"/>
  <c r="K22" i="1"/>
  <c r="K21" i="1"/>
  <c r="S20" i="1"/>
  <c r="S18" i="1"/>
  <c r="L16" i="1" s="1"/>
  <c r="L23" i="1" l="1"/>
  <c r="L18" i="1"/>
  <c r="L17" i="1" s="1"/>
  <c r="L28" i="1"/>
  <c r="G57" i="1"/>
  <c r="I57" i="1" s="1"/>
  <c r="J57" i="1" s="1"/>
  <c r="G77" i="1"/>
  <c r="I77" i="1" s="1"/>
  <c r="K77" i="1" s="1"/>
  <c r="G42" i="1"/>
  <c r="I42" i="1" s="1"/>
  <c r="K42" i="1" s="1"/>
  <c r="G60" i="1"/>
  <c r="I60" i="1" s="1"/>
  <c r="K60" i="1" s="1"/>
  <c r="I81" i="1"/>
  <c r="K81" i="1" s="1"/>
  <c r="K40" i="1"/>
  <c r="J40" i="1"/>
  <c r="K58" i="1"/>
  <c r="J58" i="1"/>
  <c r="L26" i="1"/>
  <c r="I61" i="1"/>
  <c r="K61" i="1" s="1"/>
  <c r="G80" i="1"/>
  <c r="I80" i="1" s="1"/>
  <c r="J80" i="1" s="1"/>
  <c r="L21" i="1"/>
  <c r="G39" i="1"/>
  <c r="I39" i="1" s="1"/>
  <c r="K39" i="1" s="1"/>
  <c r="K78" i="1"/>
  <c r="J78" i="1"/>
  <c r="L22" i="1" l="1"/>
  <c r="B23" i="1" s="1"/>
  <c r="K57" i="1"/>
  <c r="J42" i="1"/>
  <c r="J60" i="1"/>
  <c r="J81" i="1"/>
  <c r="N17" i="1"/>
  <c r="J77" i="1"/>
  <c r="K80" i="1"/>
  <c r="J61" i="1"/>
  <c r="N22" i="1"/>
  <c r="L27" i="1"/>
  <c r="J39" i="1"/>
  <c r="Q43" i="1"/>
  <c r="R43" i="1" s="1"/>
  <c r="Q39" i="1" l="1"/>
  <c r="N27" i="1"/>
  <c r="B28" i="1"/>
  <c r="Q79" i="1" s="1"/>
  <c r="R79" i="1" s="1"/>
  <c r="G43" i="1"/>
  <c r="I43" i="1" s="1"/>
  <c r="Q61" i="1"/>
  <c r="R61" i="1" s="1"/>
  <c r="Q57" i="1"/>
  <c r="R57" i="1" s="1"/>
  <c r="Q75" i="1" l="1"/>
  <c r="R75" i="1" s="1"/>
  <c r="Q38" i="1"/>
  <c r="R38" i="1" s="1"/>
  <c r="Q40" i="1"/>
  <c r="R40" i="1" s="1"/>
  <c r="R39" i="1" s="1"/>
  <c r="K43" i="1"/>
  <c r="J43" i="1"/>
  <c r="H70" i="1"/>
  <c r="D79" i="1"/>
  <c r="G79" i="1" s="1"/>
  <c r="I79" i="1" s="1"/>
  <c r="J28" i="1"/>
  <c r="H51" i="1"/>
  <c r="D59" i="1"/>
  <c r="G59" i="1" s="1"/>
  <c r="I59" i="1" s="1"/>
  <c r="J23" i="1"/>
  <c r="D41" i="1" l="1"/>
  <c r="G41" i="1" s="1"/>
  <c r="I41" i="1" s="1"/>
  <c r="K59" i="1"/>
  <c r="K62" i="1" s="1"/>
  <c r="J59" i="1"/>
  <c r="J62" i="1" s="1"/>
  <c r="J63" i="1" s="1"/>
  <c r="K79" i="1"/>
  <c r="K82" i="1" s="1"/>
  <c r="J79" i="1"/>
  <c r="J82" i="1" s="1"/>
  <c r="J83" i="1" s="1"/>
  <c r="J41" i="1" l="1"/>
  <c r="J44" i="1" s="1"/>
  <c r="J45" i="1" s="1"/>
  <c r="K41" i="1"/>
  <c r="K44" i="1" s="1"/>
  <c r="J64" i="1"/>
  <c r="J65" i="1" s="1"/>
  <c r="J66" i="1" s="1"/>
  <c r="J84" i="1"/>
  <c r="J85" i="1" s="1"/>
  <c r="J86" i="1" s="1"/>
  <c r="J46" i="1" l="1"/>
  <c r="J47" i="1" s="1"/>
  <c r="J4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5" authorId="0" shapeId="0" xr:uid="{1DE49D60-9CAC-4053-97CA-DF4A7A9957A5}">
      <text>
        <r>
          <rPr>
            <sz val="10"/>
            <color rgb="FF000000"/>
            <rFont val="Calibri"/>
            <family val="2"/>
            <scheme val="minor"/>
          </rPr>
          <t>======
ID#AAAAbDpvZiU
myprawira    (2022-01-31 08:33:03)
Termometer digital</t>
        </r>
      </text>
    </comment>
    <comment ref="E34" authorId="0" shapeId="0" xr:uid="{4BFD7540-F5D3-4B1D-BAD9-FC2EF59E0D91}">
      <text>
        <r>
          <rPr>
            <sz val="10"/>
            <color rgb="FF000000"/>
            <rFont val="Calibri"/>
            <family val="2"/>
            <scheme val="minor"/>
          </rPr>
          <t>======
ID#AAAAbDpvZgo
myprawira    (2022-01-31 08:33:03)
dikonversi ke pH</t>
        </r>
      </text>
    </comment>
    <comment ref="D41" authorId="0" shapeId="0" xr:uid="{6E965C91-2A17-46CA-9322-A01F21FDA7FA}">
      <text>
        <r>
          <rPr>
            <sz val="10"/>
            <color rgb="FF000000"/>
            <rFont val="Calibri"/>
            <family val="2"/>
            <scheme val="minor"/>
          </rPr>
          <t>======
ID#AAAAbDpvZf0
Lab Gaya    (2022-01-31 08:33:03)
memasukkan pengaruh perbedaan temperatur pada perhitungan ketidakpastian 
untuk menutup temuan no.29</t>
        </r>
      </text>
    </comment>
    <comment ref="H81" authorId="0" shapeId="0" xr:uid="{F0046C0D-FD47-4361-BC0D-41FAEC1D2C44}">
      <text>
        <r>
          <rPr>
            <sz val="10"/>
            <color rgb="FF000000"/>
            <rFont val="Calibri"/>
            <family val="2"/>
            <scheme val="minor"/>
          </rPr>
          <t>======
ID#AAAAbDpvZho
myprawira    (2022-01-31 08:33:03)
temperatur pengaruh ketidakpastian
perubahan pH disebabkan suhu</t>
        </r>
      </text>
    </comment>
  </commentList>
</comments>
</file>

<file path=xl/sharedStrings.xml><?xml version="1.0" encoding="utf-8"?>
<sst xmlns="http://schemas.openxmlformats.org/spreadsheetml/2006/main" count="275" uniqueCount="157">
  <si>
    <t>data kalibrasi</t>
  </si>
  <si>
    <t>pembacaan alat</t>
  </si>
  <si>
    <t>koreksi</t>
  </si>
  <si>
    <t>pembacaan alat terkoreksi</t>
  </si>
  <si>
    <t xml:space="preserve">no seri </t>
  </si>
  <si>
    <t>°C</t>
  </si>
  <si>
    <t>kapasitas/resolusi</t>
  </si>
  <si>
    <t>/</t>
  </si>
  <si>
    <r>
      <rPr>
        <sz val="10"/>
        <color rgb="FF000000"/>
        <rFont val="Calibri"/>
        <family val="2"/>
      </rPr>
      <t>°</t>
    </r>
    <r>
      <rPr>
        <sz val="10"/>
        <color rgb="FF000000"/>
        <rFont val="Arial"/>
        <family val="2"/>
      </rPr>
      <t>C</t>
    </r>
  </si>
  <si>
    <t>suhu buffer</t>
  </si>
  <si>
    <t>koreksi temperatur</t>
  </si>
  <si>
    <t>buffer standar</t>
  </si>
  <si>
    <t xml:space="preserve">suhu °C </t>
  </si>
  <si>
    <t>stdev</t>
  </si>
  <si>
    <t>standar terkoreksi</t>
  </si>
  <si>
    <t>X1</t>
  </si>
  <si>
    <t>X2</t>
  </si>
  <si>
    <t>X3</t>
  </si>
  <si>
    <t>X4</t>
  </si>
  <si>
    <t>X5</t>
  </si>
  <si>
    <t>X rata</t>
  </si>
  <si>
    <t>St. deviasi</t>
  </si>
  <si>
    <t>U sertifikat</t>
  </si>
  <si>
    <t>Koreksi</t>
  </si>
  <si>
    <r>
      <rPr>
        <sz val="10"/>
        <color rgb="FF000000"/>
        <rFont val="Arial"/>
        <family val="2"/>
      </rPr>
      <t xml:space="preserve">temperatur </t>
    </r>
    <r>
      <rPr>
        <sz val="10"/>
        <color rgb="FF000000"/>
        <rFont val="Calibri"/>
        <family val="2"/>
      </rPr>
      <t>°</t>
    </r>
    <r>
      <rPr>
        <sz val="10"/>
        <color rgb="FF000000"/>
        <rFont val="Arial"/>
        <family val="2"/>
      </rPr>
      <t>C</t>
    </r>
  </si>
  <si>
    <r>
      <rPr>
        <sz val="10"/>
        <color rgb="FF000000"/>
        <rFont val="Calibri"/>
        <family val="2"/>
      </rPr>
      <t>Δ</t>
    </r>
    <r>
      <rPr>
        <sz val="10"/>
        <color rgb="FF000000"/>
        <rFont val="Arial"/>
        <family val="2"/>
      </rPr>
      <t>PH</t>
    </r>
  </si>
  <si>
    <t>U sertifikat thermometer</t>
  </si>
  <si>
    <t>Skala terkecil alat</t>
  </si>
  <si>
    <t>Koreksi temperatur</t>
  </si>
  <si>
    <t>Komponen</t>
  </si>
  <si>
    <t>Satuan</t>
  </si>
  <si>
    <t>Distribusi</t>
  </si>
  <si>
    <t>U</t>
  </si>
  <si>
    <t>Pembagi</t>
  </si>
  <si>
    <t>vi</t>
  </si>
  <si>
    <t>ui</t>
  </si>
  <si>
    <t>ci</t>
  </si>
  <si>
    <t>uici</t>
  </si>
  <si>
    <r>
      <rPr>
        <b/>
        <sz val="10"/>
        <color rgb="FF000000"/>
        <rFont val="Times New Roman"/>
        <family val="1"/>
      </rPr>
      <t>(uici)</t>
    </r>
    <r>
      <rPr>
        <b/>
        <vertAlign val="superscript"/>
        <sz val="10"/>
        <color rgb="FF000000"/>
        <rFont val="Times New Roman"/>
        <family val="1"/>
      </rPr>
      <t>2</t>
    </r>
  </si>
  <si>
    <r>
      <rPr>
        <b/>
        <sz val="10"/>
        <color rgb="FF000000"/>
        <rFont val="Times New Roman"/>
        <family val="1"/>
      </rPr>
      <t>(uici)</t>
    </r>
    <r>
      <rPr>
        <b/>
        <vertAlign val="superscript"/>
        <sz val="10"/>
        <color rgb="FF000000"/>
        <rFont val="Times New Roman"/>
        <family val="1"/>
      </rPr>
      <t>4</t>
    </r>
    <r>
      <rPr>
        <b/>
        <sz val="10"/>
        <color rgb="FF000000"/>
        <rFont val="Times New Roman"/>
        <family val="1"/>
      </rPr>
      <t>/vi</t>
    </r>
  </si>
  <si>
    <t>Repeatability</t>
  </si>
  <si>
    <t>pH</t>
  </si>
  <si>
    <t>Normal</t>
  </si>
  <si>
    <t>Larutan Buffer</t>
  </si>
  <si>
    <t>t-student</t>
  </si>
  <si>
    <r>
      <rPr>
        <sz val="10"/>
        <color rgb="FF000000"/>
        <rFont val="Times New Roman"/>
        <family val="1"/>
      </rPr>
      <t xml:space="preserve">Koreksi pengaruh </t>
    </r>
    <r>
      <rPr>
        <sz val="10"/>
        <color rgb="FF000000"/>
        <rFont val="Calibri"/>
        <family val="2"/>
      </rPr>
      <t>ΔT</t>
    </r>
  </si>
  <si>
    <t>Rect</t>
  </si>
  <si>
    <t>Readability</t>
  </si>
  <si>
    <t>Pengaruh ketidakpastian Termometer digital</t>
  </si>
  <si>
    <t>oC</t>
  </si>
  <si>
    <t>Sums</t>
  </si>
  <si>
    <t>Ketidakpastian baku gabungan, uc, Unit</t>
  </si>
  <si>
    <t>Dearajat kebebasan efektif, veff</t>
  </si>
  <si>
    <t>Faktor cakupan, k-student for veff and CL 95%</t>
  </si>
  <si>
    <t>Ketidakpastian bentangan, U = kuc, Unit</t>
  </si>
  <si>
    <t>Usertifikat ph</t>
  </si>
  <si>
    <t>usertifikat thermometer</t>
  </si>
  <si>
    <t>Usertifikat</t>
  </si>
  <si>
    <t>Usertifikat thermometer digital</t>
  </si>
  <si>
    <t>S E R T I F I K A T    K A L I B R A S I</t>
  </si>
  <si>
    <t>C A L I B R A T I O N    C E R T I F I C A T E</t>
  </si>
  <si>
    <r>
      <t xml:space="preserve">Nomor / </t>
    </r>
    <r>
      <rPr>
        <i/>
        <sz val="11"/>
        <color rgb="FF000000"/>
        <rFont val="Bookman Old Style"/>
        <family val="1"/>
      </rPr>
      <t xml:space="preserve">Number </t>
    </r>
    <r>
      <rPr>
        <sz val="11"/>
        <color rgb="FF000000"/>
        <rFont val="Bookman Old Style"/>
        <family val="1"/>
      </rPr>
      <t xml:space="preserve">: </t>
    </r>
  </si>
  <si>
    <t>IDENTITAS ALAT</t>
  </si>
  <si>
    <t>INSTRUMENT DETAILS</t>
  </si>
  <si>
    <t>Nama Alat</t>
  </si>
  <si>
    <r>
      <t>Instrument Name</t>
    </r>
    <r>
      <rPr>
        <sz val="11"/>
        <color rgb="FF000000"/>
        <rFont val="Bookman Old Style"/>
        <family val="1"/>
      </rPr>
      <t xml:space="preserve"> </t>
    </r>
  </si>
  <si>
    <r>
      <t>Merek</t>
    </r>
    <r>
      <rPr>
        <i/>
        <sz val="8"/>
        <color rgb="FF000000"/>
        <rFont val="Bookman Old Style"/>
        <family val="1"/>
      </rPr>
      <t xml:space="preserve"> </t>
    </r>
  </si>
  <si>
    <t>Brand</t>
  </si>
  <si>
    <t>Tipe</t>
  </si>
  <si>
    <t xml:space="preserve">Type </t>
  </si>
  <si>
    <t>Nomor Identifikasi</t>
  </si>
  <si>
    <t>: -</t>
  </si>
  <si>
    <t>Identification Number</t>
  </si>
  <si>
    <t xml:space="preserve">Nomor Seri </t>
  </si>
  <si>
    <t>Serial Number</t>
  </si>
  <si>
    <t>Lain-lain</t>
  </si>
  <si>
    <t xml:space="preserve">: Kapasitas </t>
  </si>
  <si>
    <t>Others</t>
  </si>
  <si>
    <t xml:space="preserve">  Kecermatan </t>
  </si>
  <si>
    <t>IDENTITAS PEMILIK</t>
  </si>
  <si>
    <t>Owner’s Identification</t>
  </si>
  <si>
    <r>
      <t>Nama</t>
    </r>
    <r>
      <rPr>
        <i/>
        <sz val="8"/>
        <color rgb="FF000000"/>
        <rFont val="Bookman Old Style"/>
        <family val="1"/>
      </rPr>
      <t xml:space="preserve"> </t>
    </r>
  </si>
  <si>
    <t>Designation</t>
  </si>
  <si>
    <r>
      <t>Alamat</t>
    </r>
    <r>
      <rPr>
        <i/>
        <sz val="8"/>
        <color rgb="FF000000"/>
        <rFont val="Bookman Old Style"/>
        <family val="1"/>
      </rPr>
      <t xml:space="preserve"> </t>
    </r>
  </si>
  <si>
    <t>Address</t>
  </si>
  <si>
    <t>Halaman 1 dari 2 halaman</t>
  </si>
  <si>
    <t>Page          of            page</t>
  </si>
  <si>
    <t>Date of Issue</t>
  </si>
  <si>
    <t>Nomor</t>
  </si>
  <si>
    <t>No. Order</t>
  </si>
  <si>
    <t>Halaman</t>
  </si>
  <si>
    <t>: 2 dari 2</t>
  </si>
  <si>
    <t>SPESIFIKASI ALAT</t>
  </si>
  <si>
    <t>Nama</t>
  </si>
  <si>
    <t>Merk / Tipe</t>
  </si>
  <si>
    <t xml:space="preserve">No. Identifikasi </t>
  </si>
  <si>
    <t>No. Seri</t>
  </si>
  <si>
    <t xml:space="preserve">Kapasitas </t>
  </si>
  <si>
    <t>Kecermatan</t>
  </si>
  <si>
    <t>Kondisi ruang</t>
  </si>
  <si>
    <t>Prosedur Kalibrasi</t>
  </si>
  <si>
    <t>Temperatur</t>
  </si>
  <si>
    <t>Tanggal Terima</t>
  </si>
  <si>
    <t>Kelembaban relatif</t>
  </si>
  <si>
    <t>Tanggal Kalibrasi</t>
  </si>
  <si>
    <t>Lokasi Alat</t>
  </si>
  <si>
    <t>HASIL KALIBRASI</t>
  </si>
  <si>
    <t xml:space="preserve">Catatan   : </t>
  </si>
  <si>
    <t>merk</t>
  </si>
  <si>
    <t>no. order</t>
  </si>
  <si>
    <t>tanggal kalibrasi</t>
  </si>
  <si>
    <t>tanggal terima</t>
  </si>
  <si>
    <t>Pemilik</t>
  </si>
  <si>
    <t>: ASTM E 70 -19</t>
  </si>
  <si>
    <t>: Lab kalibrasi volumetrik BBSPJILM</t>
  </si>
  <si>
    <t>No.</t>
  </si>
  <si>
    <t>-  Alat ini dikalibrasi dengan larutan buffer 4,00 pH No. seri : 1.09435.1000; 7,00 pH</t>
  </si>
  <si>
    <t xml:space="preserve">   No. seri : 1.09439.1000; 10,00 pH No. seri : 1.09438.1000 yang tertelusur ke Merck.</t>
  </si>
  <si>
    <t>Awal</t>
  </si>
  <si>
    <t>Akhir</t>
  </si>
  <si>
    <t>%RH</t>
  </si>
  <si>
    <t>Rata2</t>
  </si>
  <si>
    <t>Koreksi suhu</t>
  </si>
  <si>
    <t xml:space="preserve">Koreksi RH </t>
  </si>
  <si>
    <t>Terkoreksi</t>
  </si>
  <si>
    <t>U95</t>
  </si>
  <si>
    <t>Fluktuasi suhu</t>
  </si>
  <si>
    <t>Flu+U95</t>
  </si>
  <si>
    <t>Kondisi Ruang</t>
  </si>
  <si>
    <t>T (°C)</t>
  </si>
  <si>
    <t xml:space="preserve">Koreksi  </t>
  </si>
  <si>
    <t>RH (%)</t>
  </si>
  <si>
    <t>Thermohygro Beureur data 2025</t>
  </si>
  <si>
    <r>
      <t>Suhu (</t>
    </r>
    <r>
      <rPr>
        <sz val="10"/>
        <color rgb="FF000000"/>
        <rFont val="Calibri"/>
        <family val="2"/>
      </rPr>
      <t>°</t>
    </r>
    <r>
      <rPr>
        <sz val="8.5"/>
        <color rgb="FF000000"/>
        <rFont val="Calibri"/>
        <family val="2"/>
      </rPr>
      <t>C)</t>
    </r>
  </si>
  <si>
    <t>Nilai koreksi termometer digital tahun 2025</t>
  </si>
  <si>
    <t xml:space="preserve">Alamat </t>
  </si>
  <si>
    <t>Diterbitkan Tanggal 2 September 2025</t>
  </si>
  <si>
    <t xml:space="preserve">Δconductivity </t>
  </si>
  <si>
    <t>12,88 mS/cm</t>
  </si>
  <si>
    <t>84 𝜇S/cm</t>
  </si>
  <si>
    <t xml:space="preserve">DO 5,5 mg/L </t>
  </si>
  <si>
    <t>DO mg/L</t>
  </si>
  <si>
    <t xml:space="preserve">: Disolve oxygen meter </t>
  </si>
  <si>
    <r>
      <t>Ketidakpastian U</t>
    </r>
    <r>
      <rPr>
        <b/>
        <vertAlign val="subscript"/>
        <sz val="11"/>
        <color theme="1"/>
        <rFont val="Bookman Old Style"/>
        <family val="1"/>
      </rPr>
      <t>95</t>
    </r>
    <r>
      <rPr>
        <b/>
        <sz val="11"/>
        <color theme="1"/>
        <rFont val="Bookman Old Style"/>
        <family val="1"/>
      </rPr>
      <t xml:space="preserve">% (k=2)
(mg/L) </t>
    </r>
  </si>
  <si>
    <t xml:space="preserve">Suhu awal </t>
  </si>
  <si>
    <t>Suhu Akhir</t>
  </si>
  <si>
    <t xml:space="preserve">Suhu Buffer </t>
  </si>
  <si>
    <t>mg/L</t>
  </si>
  <si>
    <t xml:space="preserve">YSI </t>
  </si>
  <si>
    <t>JC042923</t>
  </si>
  <si>
    <t>Pro 20i</t>
  </si>
  <si>
    <t>0 s.d. 20</t>
  </si>
  <si>
    <t>Penguji Mutu Barang Ahli Madya</t>
  </si>
  <si>
    <t>Elis Sofianti</t>
  </si>
  <si>
    <t>NIP. 197109301994032002</t>
  </si>
  <si>
    <t>Nominal 
(mg/L)</t>
  </si>
  <si>
    <t>Koreksi 
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</si>
</sst>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35" x14ac:knownFonts="1">
    <font>
      <sz val="10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alibri"/>
      <family val="2"/>
    </font>
    <font>
      <sz val="1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Times New Roman"/>
      <family val="1"/>
    </font>
    <font>
      <b/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</font>
    <font>
      <b/>
      <sz val="18"/>
      <color rgb="FF000000"/>
      <name val="Bookman Old Style"/>
      <family val="1"/>
    </font>
    <font>
      <b/>
      <i/>
      <sz val="14"/>
      <color rgb="FF000000"/>
      <name val="Bookman Old Style"/>
      <family val="1"/>
    </font>
    <font>
      <sz val="11"/>
      <color rgb="FF000000"/>
      <name val="Bookman Old Style"/>
      <family val="1"/>
    </font>
    <font>
      <i/>
      <sz val="11"/>
      <color rgb="FF000000"/>
      <name val="Bookman Old Style"/>
      <family val="1"/>
    </font>
    <font>
      <b/>
      <u/>
      <sz val="11"/>
      <name val="Bookman Old Style"/>
      <family val="1"/>
    </font>
    <font>
      <b/>
      <i/>
      <sz val="8"/>
      <name val="Bookman Old Style"/>
      <family val="1"/>
    </font>
    <font>
      <i/>
      <sz val="8"/>
      <color rgb="FF000000"/>
      <name val="Bookman Old Style"/>
      <family val="1"/>
    </font>
    <font>
      <b/>
      <u/>
      <sz val="11"/>
      <color rgb="FF000000"/>
      <name val="Bookman Old Style"/>
      <family val="1"/>
    </font>
    <font>
      <b/>
      <i/>
      <sz val="8"/>
      <color rgb="FF000000"/>
      <name val="Bookman Old Style"/>
      <family val="1"/>
    </font>
    <font>
      <sz val="11"/>
      <color rgb="FF000000"/>
      <name val="Calibri"/>
      <family val="2"/>
    </font>
    <font>
      <sz val="12"/>
      <name val="Times New Roman"/>
      <family val="1"/>
    </font>
    <font>
      <b/>
      <sz val="11"/>
      <color rgb="FF000000"/>
      <name val="Bookman Old Style"/>
      <family val="1"/>
    </font>
    <font>
      <sz val="11"/>
      <name val="Bookman Old Style"/>
      <family val="1"/>
    </font>
    <font>
      <sz val="10"/>
      <color rgb="FF000000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  <font>
      <b/>
      <vertAlign val="subscript"/>
      <sz val="11"/>
      <color theme="1"/>
      <name val="Bookman Old Style"/>
      <family val="1"/>
    </font>
    <font>
      <sz val="10"/>
      <color rgb="FF0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u/>
      <sz val="10"/>
      <color rgb="FF000000"/>
      <name val="Calibri"/>
      <family val="2"/>
      <scheme val="minor"/>
    </font>
    <font>
      <sz val="8.5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0" fontId="12" fillId="0" borderId="0">
      <alignment vertical="center"/>
    </xf>
    <xf numFmtId="0" fontId="1" fillId="0" borderId="0"/>
  </cellStyleXfs>
  <cellXfs count="121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2" fontId="3" fillId="0" borderId="4" xfId="0" applyNumberFormat="1" applyFont="1" applyBorder="1"/>
    <xf numFmtId="165" fontId="3" fillId="0" borderId="4" xfId="0" applyNumberFormat="1" applyFont="1" applyBorder="1"/>
    <xf numFmtId="0" fontId="7" fillId="0" borderId="0" xfId="0" applyFont="1"/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wrapText="1"/>
    </xf>
    <xf numFmtId="0" fontId="8" fillId="2" borderId="4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10" fillId="0" borderId="6" xfId="0" applyFont="1" applyBorder="1"/>
    <xf numFmtId="0" fontId="10" fillId="0" borderId="6" xfId="0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9" xfId="0" applyFont="1" applyBorder="1"/>
    <xf numFmtId="0" fontId="10" fillId="0" borderId="10" xfId="0" applyFont="1" applyBorder="1"/>
    <xf numFmtId="0" fontId="10" fillId="0" borderId="11" xfId="0" applyFont="1" applyBorder="1"/>
    <xf numFmtId="0" fontId="10" fillId="0" borderId="1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12" xfId="0" applyFont="1" applyBorder="1"/>
    <xf numFmtId="0" fontId="10" fillId="0" borderId="13" xfId="0" applyFont="1" applyBorder="1"/>
    <xf numFmtId="0" fontId="10" fillId="0" borderId="14" xfId="0" applyFont="1" applyBorder="1"/>
    <xf numFmtId="0" fontId="10" fillId="0" borderId="14" xfId="0" applyFont="1" applyBorder="1" applyAlignment="1">
      <alignment horizontal="center"/>
    </xf>
    <xf numFmtId="0" fontId="10" fillId="0" borderId="15" xfId="0" applyFont="1" applyBorder="1"/>
    <xf numFmtId="0" fontId="10" fillId="0" borderId="16" xfId="0" applyFont="1" applyBorder="1"/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166" fontId="8" fillId="0" borderId="4" xfId="0" applyNumberFormat="1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2" xfId="0" applyFont="1" applyBorder="1"/>
    <xf numFmtId="0" fontId="10" fillId="0" borderId="2" xfId="0" applyFont="1" applyBorder="1" applyAlignment="1">
      <alignment horizontal="center"/>
    </xf>
    <xf numFmtId="4" fontId="10" fillId="0" borderId="2" xfId="0" applyNumberFormat="1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4" fontId="10" fillId="0" borderId="0" xfId="0" applyNumberFormat="1" applyFont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64" fontId="3" fillId="3" borderId="0" xfId="0" applyNumberFormat="1" applyFont="1" applyFill="1"/>
    <xf numFmtId="166" fontId="10" fillId="0" borderId="2" xfId="0" applyNumberFormat="1" applyFont="1" applyBorder="1" applyAlignment="1">
      <alignment horizontal="center"/>
    </xf>
    <xf numFmtId="166" fontId="10" fillId="0" borderId="0" xfId="0" applyNumberFormat="1" applyFont="1" applyAlignment="1">
      <alignment horizontal="center"/>
    </xf>
    <xf numFmtId="0" fontId="3" fillId="0" borderId="19" xfId="0" applyFont="1" applyBorder="1"/>
    <xf numFmtId="0" fontId="12" fillId="0" borderId="0" xfId="1">
      <alignment vertical="center"/>
    </xf>
    <xf numFmtId="0" fontId="13" fillId="0" borderId="0" xfId="1" applyFont="1">
      <alignment vertical="center"/>
    </xf>
    <xf numFmtId="0" fontId="16" fillId="0" borderId="0" xfId="1" applyFont="1">
      <alignment vertical="center"/>
    </xf>
    <xf numFmtId="0" fontId="18" fillId="0" borderId="0" xfId="1" applyFont="1">
      <alignment vertical="center"/>
    </xf>
    <xf numFmtId="0" fontId="12" fillId="0" borderId="0" xfId="1" applyAlignment="1">
      <alignment vertical="center" wrapText="1"/>
    </xf>
    <xf numFmtId="0" fontId="19" fillId="0" borderId="0" xfId="1" applyFont="1">
      <alignment vertical="center"/>
    </xf>
    <xf numFmtId="0" fontId="20" fillId="0" borderId="0" xfId="1" applyFont="1">
      <alignment vertical="center"/>
    </xf>
    <xf numFmtId="0" fontId="16" fillId="0" borderId="0" xfId="1" applyFont="1" applyAlignment="1">
      <alignment horizontal="justify" vertical="center"/>
    </xf>
    <xf numFmtId="0" fontId="20" fillId="0" borderId="0" xfId="1" applyFont="1" applyAlignment="1">
      <alignment horizontal="justify" vertical="center"/>
    </xf>
    <xf numFmtId="0" fontId="21" fillId="0" borderId="0" xfId="1" applyFont="1">
      <alignment vertical="center"/>
    </xf>
    <xf numFmtId="0" fontId="22" fillId="0" borderId="0" xfId="1" applyFont="1">
      <alignment vertical="center"/>
    </xf>
    <xf numFmtId="0" fontId="23" fillId="0" borderId="0" xfId="1" applyFont="1">
      <alignment vertical="center"/>
    </xf>
    <xf numFmtId="0" fontId="24" fillId="0" borderId="0" xfId="1" applyFont="1">
      <alignment vertical="center"/>
    </xf>
    <xf numFmtId="0" fontId="16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25" fillId="0" borderId="0" xfId="1" applyFont="1" applyAlignment="1">
      <alignment horizontal="left" vertical="center"/>
    </xf>
    <xf numFmtId="0" fontId="25" fillId="0" borderId="0" xfId="1" applyFont="1">
      <alignment vertical="center"/>
    </xf>
    <xf numFmtId="0" fontId="16" fillId="0" borderId="0" xfId="1" applyFont="1" applyAlignment="1">
      <alignment horizontal="left" vertical="center"/>
    </xf>
    <xf numFmtId="0" fontId="25" fillId="0" borderId="0" xfId="1" applyFont="1" applyAlignment="1">
      <alignment horizontal="center" vertical="center"/>
    </xf>
    <xf numFmtId="0" fontId="26" fillId="0" borderId="0" xfId="1" applyFont="1">
      <alignment vertical="center"/>
    </xf>
    <xf numFmtId="15" fontId="27" fillId="0" borderId="0" xfId="1" applyNumberFormat="1" applyFont="1">
      <alignment vertical="center"/>
    </xf>
    <xf numFmtId="0" fontId="21" fillId="0" borderId="0" xfId="1" applyFont="1" applyAlignment="1">
      <alignment horizontal="left" vertical="center"/>
    </xf>
    <xf numFmtId="0" fontId="26" fillId="0" borderId="0" xfId="1" quotePrefix="1" applyFont="1">
      <alignment vertical="center"/>
    </xf>
    <xf numFmtId="0" fontId="0" fillId="0" borderId="19" xfId="0" applyBorder="1"/>
    <xf numFmtId="0" fontId="3" fillId="0" borderId="19" xfId="0" applyFont="1" applyBorder="1" applyAlignment="1">
      <alignment wrapText="1"/>
    </xf>
    <xf numFmtId="0" fontId="31" fillId="0" borderId="0" xfId="0" applyFont="1"/>
    <xf numFmtId="0" fontId="31" fillId="0" borderId="19" xfId="0" applyFont="1" applyBorder="1"/>
    <xf numFmtId="0" fontId="11" fillId="0" borderId="19" xfId="0" applyFont="1" applyBorder="1"/>
    <xf numFmtId="0" fontId="3" fillId="0" borderId="2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64" fontId="3" fillId="0" borderId="19" xfId="0" applyNumberFormat="1" applyFont="1" applyBorder="1"/>
    <xf numFmtId="0" fontId="3" fillId="0" borderId="29" xfId="0" applyFont="1" applyBorder="1" applyAlignment="1">
      <alignment horizontal="center"/>
    </xf>
    <xf numFmtId="164" fontId="3" fillId="0" borderId="29" xfId="0" applyNumberFormat="1" applyFont="1" applyBorder="1"/>
    <xf numFmtId="0" fontId="32" fillId="4" borderId="19" xfId="0" applyFont="1" applyFill="1" applyBorder="1"/>
    <xf numFmtId="0" fontId="31" fillId="0" borderId="19" xfId="0" applyFont="1" applyBorder="1" applyAlignment="1">
      <alignment horizontal="center"/>
    </xf>
    <xf numFmtId="0" fontId="33" fillId="0" borderId="0" xfId="0" applyFont="1"/>
    <xf numFmtId="1" fontId="3" fillId="0" borderId="19" xfId="0" applyNumberFormat="1" applyFont="1" applyBorder="1"/>
    <xf numFmtId="0" fontId="28" fillId="0" borderId="19" xfId="2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3" fillId="3" borderId="19" xfId="0" applyFont="1" applyFill="1" applyBorder="1"/>
    <xf numFmtId="0" fontId="5" fillId="0" borderId="0" xfId="0" applyFont="1"/>
    <xf numFmtId="0" fontId="4" fillId="0" borderId="0" xfId="0" applyFont="1"/>
    <xf numFmtId="2" fontId="3" fillId="0" borderId="19" xfId="0" applyNumberFormat="1" applyFont="1" applyBorder="1"/>
    <xf numFmtId="0" fontId="4" fillId="0" borderId="0" xfId="0" applyFont="1" applyAlignment="1">
      <alignment horizontal="center"/>
    </xf>
    <xf numFmtId="0" fontId="0" fillId="3" borderId="30" xfId="0" applyFill="1" applyBorder="1"/>
    <xf numFmtId="0" fontId="0" fillId="3" borderId="31" xfId="0" applyFill="1" applyBorder="1"/>
    <xf numFmtId="0" fontId="0" fillId="3" borderId="32" xfId="0" applyFill="1" applyBorder="1"/>
    <xf numFmtId="0" fontId="29" fillId="0" borderId="22" xfId="2" applyFont="1" applyBorder="1" applyAlignment="1">
      <alignment horizontal="center" vertical="center"/>
    </xf>
    <xf numFmtId="0" fontId="29" fillId="0" borderId="23" xfId="2" applyFont="1" applyBorder="1" applyAlignment="1">
      <alignment horizontal="center" vertical="center"/>
    </xf>
    <xf numFmtId="0" fontId="29" fillId="0" borderId="20" xfId="2" applyFont="1" applyBorder="1" applyAlignment="1">
      <alignment horizontal="center" vertical="center" wrapText="1"/>
    </xf>
    <xf numFmtId="0" fontId="29" fillId="0" borderId="21" xfId="2" applyFont="1" applyBorder="1" applyAlignment="1">
      <alignment horizontal="center" vertical="center" wrapText="1"/>
    </xf>
    <xf numFmtId="0" fontId="29" fillId="0" borderId="25" xfId="2" applyFont="1" applyBorder="1" applyAlignment="1">
      <alignment horizontal="center" vertical="center" wrapText="1"/>
    </xf>
    <xf numFmtId="0" fontId="29" fillId="0" borderId="26" xfId="2" applyFont="1" applyBorder="1" applyAlignment="1">
      <alignment horizontal="center" vertical="center" wrapText="1"/>
    </xf>
    <xf numFmtId="0" fontId="14" fillId="0" borderId="0" xfId="1" applyFont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25" fillId="0" borderId="0" xfId="1" applyFont="1">
      <alignment vertical="center"/>
    </xf>
    <xf numFmtId="1" fontId="28" fillId="0" borderId="24" xfId="2" applyNumberFormat="1" applyFont="1" applyBorder="1" applyAlignment="1">
      <alignment horizontal="center" vertical="center"/>
    </xf>
    <xf numFmtId="1" fontId="28" fillId="0" borderId="27" xfId="2" applyNumberFormat="1" applyFont="1" applyBorder="1" applyAlignment="1">
      <alignment horizontal="center" vertical="center"/>
    </xf>
    <xf numFmtId="2" fontId="28" fillId="0" borderId="24" xfId="2" applyNumberFormat="1" applyFont="1" applyBorder="1" applyAlignment="1">
      <alignment horizontal="center" vertical="center" wrapText="1"/>
    </xf>
    <xf numFmtId="2" fontId="28" fillId="0" borderId="27" xfId="2" applyNumberFormat="1" applyFont="1" applyBorder="1" applyAlignment="1">
      <alignment horizontal="center" vertical="center" wrapText="1"/>
    </xf>
    <xf numFmtId="2" fontId="28" fillId="0" borderId="24" xfId="2" applyNumberFormat="1" applyFont="1" applyBorder="1" applyAlignment="1">
      <alignment horizontal="center" vertical="center"/>
    </xf>
    <xf numFmtId="2" fontId="28" fillId="0" borderId="27" xfId="2" applyNumberFormat="1" applyFont="1" applyBorder="1" applyAlignment="1">
      <alignment horizontal="center" vertical="center"/>
    </xf>
    <xf numFmtId="0" fontId="3" fillId="0" borderId="19" xfId="0" applyFont="1" applyBorder="1"/>
    <xf numFmtId="0" fontId="6" fillId="0" borderId="19" xfId="0" applyFont="1" applyBorder="1"/>
    <xf numFmtId="0" fontId="3" fillId="0" borderId="2" xfId="0" applyFont="1" applyBorder="1"/>
    <xf numFmtId="0" fontId="6" fillId="0" borderId="2" xfId="0" applyFont="1" applyBorder="1"/>
    <xf numFmtId="0" fontId="6" fillId="0" borderId="3" xfId="0" applyFont="1" applyBorder="1"/>
    <xf numFmtId="0" fontId="3" fillId="0" borderId="1" xfId="0" applyFont="1" applyBorder="1"/>
    <xf numFmtId="0" fontId="32" fillId="4" borderId="0" xfId="0" applyFont="1" applyFill="1" applyBorder="1"/>
    <xf numFmtId="0" fontId="3" fillId="0" borderId="0" xfId="0" applyFont="1" applyBorder="1"/>
    <xf numFmtId="49" fontId="3" fillId="3" borderId="19" xfId="0" applyNumberFormat="1" applyFont="1" applyFill="1" applyBorder="1"/>
  </cellXfs>
  <cellStyles count="3">
    <cellStyle name="Normal" xfId="0" builtinId="0"/>
    <cellStyle name="Normal 2" xfId="2" xr:uid="{60F3717D-2263-4829-93EE-6ADFB3CE6A4A}"/>
    <cellStyle name="Normal 3" xfId="1" xr:uid="{6DE6BE7D-915D-442E-BA89-97D4C33870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170329</xdr:colOff>
      <xdr:row>25</xdr:row>
      <xdr:rowOff>125505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9DD7A0B-69BB-77B6-C629-B364D7C40F34}"/>
            </a:ext>
          </a:extLst>
        </xdr:cNvPr>
        <xdr:cNvSpPr txBox="1"/>
      </xdr:nvSpPr>
      <xdr:spPr>
        <a:xfrm>
          <a:off x="7915835" y="3998258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7285E-3A69-4D65-B839-7D4EFD549E70}">
  <sheetPr>
    <tabColor rgb="FFFFC000"/>
  </sheetPr>
  <dimension ref="A5:K121"/>
  <sheetViews>
    <sheetView showGridLines="0" tabSelected="1" view="pageBreakPreview" zoomScale="95" zoomScaleNormal="100" zoomScaleSheetLayoutView="95" zoomScalePageLayoutView="70" workbookViewId="0">
      <selection activeCell="F69" sqref="F69"/>
    </sheetView>
  </sheetViews>
  <sheetFormatPr defaultColWidth="9.109375" defaultRowHeight="14.4" x14ac:dyDescent="0.3"/>
  <cols>
    <col min="1" max="1" width="10.44140625" style="48" customWidth="1"/>
    <col min="2" max="3" width="10.33203125" style="48" customWidth="1"/>
    <col min="4" max="4" width="6.88671875" style="48" customWidth="1"/>
    <col min="5" max="5" width="11.5546875" style="48" customWidth="1"/>
    <col min="6" max="6" width="9.109375" style="48"/>
    <col min="7" max="7" width="10.5546875" style="48" customWidth="1"/>
    <col min="8" max="8" width="10.88671875" style="48" customWidth="1"/>
    <col min="9" max="9" width="10.5546875" style="48" customWidth="1"/>
    <col min="10" max="16384" width="9.109375" style="48"/>
  </cols>
  <sheetData>
    <row r="5" spans="1:11" x14ac:dyDescent="0.3">
      <c r="B5" s="49"/>
    </row>
    <row r="7" spans="1:11" ht="22.8" x14ac:dyDescent="0.3">
      <c r="A7" s="102" t="s">
        <v>59</v>
      </c>
      <c r="B7" s="102"/>
      <c r="C7" s="102"/>
      <c r="D7" s="102"/>
      <c r="E7" s="102"/>
      <c r="F7" s="102"/>
      <c r="G7" s="102"/>
      <c r="H7" s="102"/>
      <c r="I7" s="102"/>
      <c r="J7" s="102"/>
    </row>
    <row r="8" spans="1:11" ht="18" x14ac:dyDescent="0.3">
      <c r="A8" s="103" t="s">
        <v>60</v>
      </c>
      <c r="B8" s="103"/>
      <c r="C8" s="103"/>
      <c r="D8" s="103"/>
      <c r="E8" s="103"/>
      <c r="F8" s="103"/>
      <c r="G8" s="103"/>
      <c r="H8" s="103"/>
      <c r="I8" s="103"/>
      <c r="J8" s="103"/>
    </row>
    <row r="9" spans="1:11" x14ac:dyDescent="0.3">
      <c r="A9" s="104" t="s">
        <v>61</v>
      </c>
      <c r="B9" s="104"/>
      <c r="C9" s="104"/>
      <c r="D9" s="104"/>
      <c r="E9" s="104"/>
      <c r="F9" s="104"/>
      <c r="G9" s="104"/>
      <c r="H9" s="104"/>
      <c r="I9" s="104"/>
      <c r="J9" s="104"/>
      <c r="K9" s="104"/>
    </row>
    <row r="11" spans="1:11" x14ac:dyDescent="0.3">
      <c r="E11" s="49"/>
    </row>
    <row r="14" spans="1:11" x14ac:dyDescent="0.3">
      <c r="B14" s="51" t="s">
        <v>62</v>
      </c>
      <c r="C14" s="52"/>
      <c r="D14" s="52"/>
    </row>
    <row r="15" spans="1:11" x14ac:dyDescent="0.3">
      <c r="B15" s="53" t="s">
        <v>63</v>
      </c>
    </row>
    <row r="17" spans="2:7" x14ac:dyDescent="0.3">
      <c r="B17" s="50" t="s">
        <v>64</v>
      </c>
      <c r="E17" s="50" t="s">
        <v>142</v>
      </c>
      <c r="F17" s="50"/>
    </row>
    <row r="18" spans="2:7" x14ac:dyDescent="0.3">
      <c r="B18" s="54" t="s">
        <v>65</v>
      </c>
      <c r="E18" s="50"/>
      <c r="F18" s="50"/>
    </row>
    <row r="19" spans="2:7" x14ac:dyDescent="0.3">
      <c r="B19" s="55" t="s">
        <v>66</v>
      </c>
      <c r="E19" s="50" t="str">
        <f>CONCATENATE(":"," ",'Budget DO meter'!B7)</f>
        <v xml:space="preserve">: YSI </v>
      </c>
      <c r="F19" s="50"/>
    </row>
    <row r="20" spans="2:7" x14ac:dyDescent="0.3">
      <c r="B20" s="56" t="s">
        <v>67</v>
      </c>
      <c r="E20" s="50"/>
      <c r="F20" s="50"/>
    </row>
    <row r="21" spans="2:7" x14ac:dyDescent="0.3">
      <c r="B21" s="55" t="s">
        <v>68</v>
      </c>
      <c r="E21" s="50" t="str">
        <f>CONCATENATE(":"," ",'Budget DO meter'!B8)</f>
        <v>: Pro 20i</v>
      </c>
      <c r="F21" s="50"/>
    </row>
    <row r="22" spans="2:7" x14ac:dyDescent="0.3">
      <c r="B22" s="56" t="s">
        <v>69</v>
      </c>
      <c r="E22" s="50"/>
      <c r="F22" s="50"/>
    </row>
    <row r="23" spans="2:7" x14ac:dyDescent="0.3">
      <c r="B23" s="50" t="s">
        <v>70</v>
      </c>
      <c r="E23" s="50" t="s">
        <v>71</v>
      </c>
      <c r="F23" s="50"/>
    </row>
    <row r="24" spans="2:7" x14ac:dyDescent="0.3">
      <c r="B24" s="54" t="s">
        <v>72</v>
      </c>
      <c r="E24" s="50"/>
      <c r="F24" s="50"/>
    </row>
    <row r="25" spans="2:7" x14ac:dyDescent="0.3">
      <c r="B25" s="50" t="s">
        <v>73</v>
      </c>
      <c r="E25" s="50" t="str">
        <f>CONCATENATE(":"," ",'Budget DO meter'!B9)</f>
        <v>: JC042923</v>
      </c>
      <c r="F25" s="50"/>
    </row>
    <row r="26" spans="2:7" x14ac:dyDescent="0.3">
      <c r="B26" s="54" t="s">
        <v>74</v>
      </c>
      <c r="E26" s="50"/>
      <c r="F26" s="50"/>
    </row>
    <row r="27" spans="2:7" x14ac:dyDescent="0.3">
      <c r="B27" s="50" t="s">
        <v>75</v>
      </c>
      <c r="E27" s="50" t="s">
        <v>76</v>
      </c>
      <c r="G27" s="50" t="str">
        <f>CONCATENATE(":"," ",'Budget DO meter'!B10," ",'Budget DO meter'!E10)</f>
        <v>: 0 s.d. 20 mg/L</v>
      </c>
    </row>
    <row r="28" spans="2:7" x14ac:dyDescent="0.3">
      <c r="B28" s="56" t="s">
        <v>77</v>
      </c>
      <c r="E28" s="50" t="s">
        <v>78</v>
      </c>
      <c r="G28" s="50" t="str">
        <f>CONCATENATE(":"," ",'Budget DO meter'!D10," ",'Budget DO meter'!E10)</f>
        <v>: 0,01 mg/L</v>
      </c>
    </row>
    <row r="30" spans="2:7" ht="14.25" customHeight="1" x14ac:dyDescent="0.3">
      <c r="B30" s="57" t="s">
        <v>79</v>
      </c>
      <c r="C30" s="57"/>
      <c r="D30" s="57"/>
    </row>
    <row r="31" spans="2:7" ht="14.25" customHeight="1" x14ac:dyDescent="0.3">
      <c r="B31" s="58" t="s">
        <v>80</v>
      </c>
      <c r="C31" s="58"/>
      <c r="D31" s="58"/>
    </row>
    <row r="32" spans="2:7" x14ac:dyDescent="0.3">
      <c r="B32" s="59"/>
      <c r="C32" s="59"/>
      <c r="D32" s="59"/>
    </row>
    <row r="33" spans="2:7" ht="15.6" x14ac:dyDescent="0.3">
      <c r="B33" s="50" t="s">
        <v>81</v>
      </c>
      <c r="C33" s="50" t="str">
        <f>CONCATENATE(":"," ",'Budget DO meter'!B6)</f>
        <v xml:space="preserve">: </v>
      </c>
      <c r="D33" s="60"/>
    </row>
    <row r="34" spans="2:7" ht="14.25" customHeight="1" x14ac:dyDescent="0.3">
      <c r="B34" s="54" t="s">
        <v>82</v>
      </c>
      <c r="C34" s="50"/>
      <c r="D34" s="60"/>
    </row>
    <row r="35" spans="2:7" ht="15.6" x14ac:dyDescent="0.3">
      <c r="B35" s="50" t="s">
        <v>83</v>
      </c>
      <c r="C35" s="50" t="str">
        <f>CONCATENATE(":"," ",'Budget DO meter'!B2)</f>
        <v xml:space="preserve">: </v>
      </c>
      <c r="D35" s="60"/>
    </row>
    <row r="36" spans="2:7" ht="14.25" customHeight="1" x14ac:dyDescent="0.3">
      <c r="B36" s="54" t="s">
        <v>84</v>
      </c>
      <c r="C36" s="50"/>
      <c r="D36" s="60"/>
    </row>
    <row r="40" spans="2:7" x14ac:dyDescent="0.3">
      <c r="G40" s="61" t="s">
        <v>85</v>
      </c>
    </row>
    <row r="41" spans="2:7" x14ac:dyDescent="0.3">
      <c r="G41" s="62" t="s">
        <v>86</v>
      </c>
    </row>
    <row r="42" spans="2:7" x14ac:dyDescent="0.3">
      <c r="G42" s="63"/>
    </row>
    <row r="43" spans="2:7" x14ac:dyDescent="0.3">
      <c r="G43" s="61" t="s">
        <v>136</v>
      </c>
    </row>
    <row r="44" spans="2:7" x14ac:dyDescent="0.3">
      <c r="G44" s="62" t="s">
        <v>87</v>
      </c>
    </row>
    <row r="45" spans="2:7" x14ac:dyDescent="0.3">
      <c r="E45" s="64" t="s">
        <v>152</v>
      </c>
    </row>
    <row r="46" spans="2:7" x14ac:dyDescent="0.3">
      <c r="B46"/>
      <c r="C46"/>
      <c r="E46" s="65" t="s">
        <v>153</v>
      </c>
    </row>
    <row r="47" spans="2:7" x14ac:dyDescent="0.3">
      <c r="E47" s="66" t="s">
        <v>154</v>
      </c>
      <c r="G47" s="67"/>
    </row>
    <row r="48" spans="2:7" x14ac:dyDescent="0.3">
      <c r="G48" s="67"/>
    </row>
    <row r="68" spans="2:9" x14ac:dyDescent="0.3">
      <c r="E68" s="68" t="s">
        <v>88</v>
      </c>
      <c r="F68" s="68" t="str">
        <f>CONCATENATE(":"," ",MID(A9,18,100))</f>
        <v xml:space="preserve">: </v>
      </c>
    </row>
    <row r="69" spans="2:9" x14ac:dyDescent="0.3">
      <c r="E69" s="68" t="s">
        <v>89</v>
      </c>
      <c r="F69" s="68" t="str">
        <f>": " &amp;'Budget DO meter'!B3</f>
        <v xml:space="preserve">: </v>
      </c>
    </row>
    <row r="70" spans="2:9" x14ac:dyDescent="0.3">
      <c r="E70" s="68" t="s">
        <v>90</v>
      </c>
      <c r="F70" s="68" t="s">
        <v>91</v>
      </c>
    </row>
    <row r="71" spans="2:9" ht="7.5" customHeight="1" x14ac:dyDescent="0.3"/>
    <row r="72" spans="2:9" x14ac:dyDescent="0.3">
      <c r="B72" s="105" t="s">
        <v>92</v>
      </c>
      <c r="C72" s="105"/>
      <c r="D72" s="105"/>
      <c r="E72" s="105"/>
      <c r="F72" s="105"/>
    </row>
    <row r="73" spans="2:9" x14ac:dyDescent="0.3">
      <c r="B73" s="50" t="s">
        <v>93</v>
      </c>
      <c r="D73" s="50" t="str">
        <f>E17</f>
        <v xml:space="preserve">: Disolve oxygen meter </v>
      </c>
      <c r="E73" s="50"/>
      <c r="F73" s="50"/>
      <c r="G73" s="50"/>
    </row>
    <row r="74" spans="2:9" x14ac:dyDescent="0.3">
      <c r="B74" s="50" t="s">
        <v>94</v>
      </c>
      <c r="D74" s="50" t="str">
        <f>CONCATENATE(":"," ",'Budget DO meter'!B7," ","/"," ",'Budget DO meter'!B8)</f>
        <v>: YSI  / Pro 20i</v>
      </c>
      <c r="E74" s="50"/>
      <c r="F74" s="50"/>
      <c r="G74" s="50"/>
    </row>
    <row r="75" spans="2:9" x14ac:dyDescent="0.3">
      <c r="B75" s="50" t="s">
        <v>95</v>
      </c>
      <c r="D75" s="50" t="str">
        <f>E23</f>
        <v>: -</v>
      </c>
      <c r="E75" s="50"/>
      <c r="F75" s="50"/>
      <c r="G75" s="50"/>
    </row>
    <row r="76" spans="2:9" x14ac:dyDescent="0.3">
      <c r="B76" s="50" t="s">
        <v>96</v>
      </c>
      <c r="D76" s="50" t="str">
        <f>E25</f>
        <v>: JC042923</v>
      </c>
      <c r="E76" s="50"/>
      <c r="F76" s="50"/>
      <c r="G76" s="50"/>
    </row>
    <row r="77" spans="2:9" x14ac:dyDescent="0.3">
      <c r="B77" s="50" t="s">
        <v>97</v>
      </c>
      <c r="D77" s="50" t="str">
        <f>G27</f>
        <v>: 0 s.d. 20 mg/L</v>
      </c>
      <c r="E77" s="50"/>
    </row>
    <row r="78" spans="2:9" x14ac:dyDescent="0.3">
      <c r="B78" s="50" t="s">
        <v>98</v>
      </c>
      <c r="D78" s="50" t="str">
        <f>G28</f>
        <v>: 0,01 mg/L</v>
      </c>
      <c r="E78" s="50"/>
      <c r="G78" s="65" t="s">
        <v>99</v>
      </c>
      <c r="I78" s="65"/>
    </row>
    <row r="79" spans="2:9" x14ac:dyDescent="0.3">
      <c r="B79" s="50" t="s">
        <v>100</v>
      </c>
      <c r="D79" s="50" t="s">
        <v>113</v>
      </c>
      <c r="E79" s="50"/>
      <c r="G79" s="50" t="s">
        <v>101</v>
      </c>
      <c r="I79" s="50" t="str">
        <f>CONCATENATE(": ",'Budget DO meter'!G11," ºC")</f>
        <v>: 21,33 ± 2,05 ºC</v>
      </c>
    </row>
    <row r="80" spans="2:9" x14ac:dyDescent="0.3">
      <c r="B80" s="50" t="s">
        <v>102</v>
      </c>
      <c r="D80" s="50" t="str">
        <f>CONCATENATE(": ",'Budget DO meter'!B4)</f>
        <v xml:space="preserve">: </v>
      </c>
      <c r="E80" s="50"/>
      <c r="G80" s="50" t="s">
        <v>103</v>
      </c>
      <c r="I80" s="50" t="str">
        <f>CONCATENATE(": ",'Budget DO meter'!H11," %RH")</f>
        <v>: 71,43 ± 2,80 %RH</v>
      </c>
    </row>
    <row r="81" spans="2:9" x14ac:dyDescent="0.3">
      <c r="B81" s="50" t="s">
        <v>104</v>
      </c>
      <c r="D81" s="50" t="str">
        <f>CONCATENATE(": ",'Budget DO meter'!B5)</f>
        <v xml:space="preserve">: </v>
      </c>
      <c r="E81" s="69"/>
      <c r="F81" s="50"/>
      <c r="H81" s="50"/>
    </row>
    <row r="82" spans="2:9" x14ac:dyDescent="0.3">
      <c r="B82" s="50" t="s">
        <v>105</v>
      </c>
      <c r="D82" s="50" t="s">
        <v>114</v>
      </c>
      <c r="E82" s="50"/>
    </row>
    <row r="83" spans="2:9" x14ac:dyDescent="0.3">
      <c r="B83" s="50"/>
      <c r="D83" s="50"/>
      <c r="E83" s="50"/>
      <c r="F83" s="50"/>
      <c r="G83" s="50"/>
    </row>
    <row r="84" spans="2:9" ht="9" customHeight="1" x14ac:dyDescent="0.3"/>
    <row r="85" spans="2:9" x14ac:dyDescent="0.3">
      <c r="E85" s="70" t="s">
        <v>106</v>
      </c>
    </row>
    <row r="86" spans="2:9" ht="7.5" customHeight="1" x14ac:dyDescent="0.3"/>
    <row r="87" spans="2:9" ht="5.7" customHeight="1" x14ac:dyDescent="0.3"/>
    <row r="88" spans="2:9" ht="26.7" customHeight="1" x14ac:dyDescent="0.3">
      <c r="C88" s="96" t="s">
        <v>115</v>
      </c>
      <c r="D88" s="98" t="s">
        <v>155</v>
      </c>
      <c r="E88" s="99"/>
      <c r="F88" s="98" t="s">
        <v>156</v>
      </c>
      <c r="G88" s="99"/>
      <c r="H88" s="98" t="s">
        <v>143</v>
      </c>
      <c r="I88" s="99"/>
    </row>
    <row r="89" spans="2:9" ht="21.45" customHeight="1" x14ac:dyDescent="0.3">
      <c r="C89" s="97"/>
      <c r="D89" s="100"/>
      <c r="E89" s="101"/>
      <c r="F89" s="100"/>
      <c r="G89" s="101"/>
      <c r="H89" s="100"/>
      <c r="I89" s="101"/>
    </row>
    <row r="90" spans="2:9" ht="21.45" customHeight="1" x14ac:dyDescent="0.3">
      <c r="C90" s="86">
        <v>1</v>
      </c>
      <c r="D90" s="108">
        <f>'Budget DO meter'!A18</f>
        <v>5.5</v>
      </c>
      <c r="E90" s="109"/>
      <c r="F90" s="110">
        <f>'Budget DO meter'!J18-'Budget DO meter'!H18</f>
        <v>-5.2753556689834724E-2</v>
      </c>
      <c r="G90" s="111"/>
      <c r="H90" s="106" t="str">
        <f>CONCATENATE(FIXED(MAX('Budget DO meter'!J48,0.023),3))</f>
        <v>0,104</v>
      </c>
      <c r="I90" s="107"/>
    </row>
    <row r="91" spans="2:9" ht="21.45" customHeight="1" x14ac:dyDescent="0.3"/>
    <row r="92" spans="2:9" ht="21.45" customHeight="1" x14ac:dyDescent="0.3"/>
    <row r="94" spans="2:9" x14ac:dyDescent="0.3">
      <c r="B94" s="68" t="s">
        <v>107</v>
      </c>
    </row>
    <row r="95" spans="2:9" x14ac:dyDescent="0.3">
      <c r="B95" s="71" t="s">
        <v>116</v>
      </c>
    </row>
    <row r="96" spans="2:9" x14ac:dyDescent="0.3">
      <c r="B96" s="71" t="s">
        <v>117</v>
      </c>
    </row>
    <row r="97" spans="2:6" x14ac:dyDescent="0.3">
      <c r="B97" s="68"/>
    </row>
    <row r="107" spans="2:6" ht="5.7" customHeight="1" x14ac:dyDescent="0.3"/>
    <row r="108" spans="2:6" x14ac:dyDescent="0.3">
      <c r="E108" s="68"/>
      <c r="F108" s="68"/>
    </row>
    <row r="109" spans="2:6" x14ac:dyDescent="0.3">
      <c r="E109" s="68"/>
      <c r="F109" s="68"/>
    </row>
    <row r="110" spans="2:6" x14ac:dyDescent="0.3">
      <c r="E110" s="68"/>
      <c r="F110" s="68"/>
    </row>
    <row r="112" spans="2:6" x14ac:dyDescent="0.3">
      <c r="B112" s="65"/>
    </row>
    <row r="120" spans="2:2" x14ac:dyDescent="0.3">
      <c r="B120" s="68"/>
    </row>
    <row r="121" spans="2:2" x14ac:dyDescent="0.3">
      <c r="B121" s="68"/>
    </row>
  </sheetData>
  <mergeCells count="11">
    <mergeCell ref="H90:I90"/>
    <mergeCell ref="D90:E90"/>
    <mergeCell ref="F90:G90"/>
    <mergeCell ref="C88:C89"/>
    <mergeCell ref="D88:E89"/>
    <mergeCell ref="F88:G89"/>
    <mergeCell ref="A7:J7"/>
    <mergeCell ref="A8:J8"/>
    <mergeCell ref="B72:F72"/>
    <mergeCell ref="H88:I89"/>
    <mergeCell ref="A9:K9"/>
  </mergeCells>
  <pageMargins left="0" right="0" top="0.35433070866141736" bottom="3.937007874015748E-2" header="0" footer="0"/>
  <pageSetup paperSize="9" scale="96" orientation="portrait" horizontalDpi="360" verticalDpi="360" r:id="rId1"/>
  <rowBreaks count="1" manualBreakCount="1">
    <brk id="61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0E697-106E-42CF-980A-6FFF558813B0}">
  <dimension ref="A1:Z1006"/>
  <sheetViews>
    <sheetView topLeftCell="A11" zoomScale="85" zoomScaleNormal="85" workbookViewId="0">
      <selection activeCell="J18" sqref="J18"/>
    </sheetView>
  </sheetViews>
  <sheetFormatPr defaultColWidth="13.44140625" defaultRowHeight="15" customHeight="1" x14ac:dyDescent="0.3"/>
  <cols>
    <col min="1" max="1" width="18.5546875" customWidth="1"/>
    <col min="2" max="2" width="39.77734375" customWidth="1"/>
    <col min="3" max="5" width="9.6640625" customWidth="1"/>
    <col min="6" max="6" width="14" bestFit="1" customWidth="1"/>
    <col min="7" max="7" width="11.6640625" bestFit="1" customWidth="1"/>
    <col min="8" max="8" width="12.88671875" bestFit="1" customWidth="1"/>
    <col min="9" max="9" width="10.33203125" customWidth="1"/>
    <col min="10" max="10" width="9.6640625" customWidth="1"/>
    <col min="11" max="11" width="11.44140625" customWidth="1"/>
    <col min="12" max="15" width="9.6640625" customWidth="1"/>
    <col min="16" max="16" width="10.33203125" customWidth="1"/>
    <col min="17" max="17" width="15.44140625" customWidth="1"/>
    <col min="18" max="18" width="13.109375" bestFit="1" customWidth="1"/>
    <col min="19" max="19" width="23.88671875" bestFit="1" customWidth="1"/>
    <col min="20" max="26" width="9.6640625" customWidth="1"/>
  </cols>
  <sheetData>
    <row r="1" spans="1:26" ht="12.75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3">
      <c r="A2" s="2" t="s">
        <v>135</v>
      </c>
      <c r="B2" s="88"/>
      <c r="C2" s="2"/>
      <c r="D2" s="2"/>
      <c r="E2" s="2"/>
      <c r="F2" s="2"/>
      <c r="G2" s="2"/>
      <c r="H2" s="2"/>
      <c r="I2" s="2"/>
      <c r="K2" s="84" t="s">
        <v>132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3">
      <c r="A3" s="2" t="s">
        <v>109</v>
      </c>
      <c r="B3" s="88"/>
      <c r="C3" s="2"/>
      <c r="D3" s="2"/>
      <c r="E3" s="2"/>
      <c r="F3" s="72"/>
      <c r="G3" s="75" t="s">
        <v>133</v>
      </c>
      <c r="H3" s="76" t="s">
        <v>120</v>
      </c>
      <c r="I3" s="2"/>
      <c r="K3" s="74" t="s">
        <v>122</v>
      </c>
      <c r="N3" s="74" t="s">
        <v>123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3">
      <c r="A4" s="2" t="s">
        <v>111</v>
      </c>
      <c r="B4" s="120"/>
      <c r="C4" s="2"/>
      <c r="D4" s="2"/>
      <c r="E4" s="2"/>
      <c r="F4" s="76" t="s">
        <v>118</v>
      </c>
      <c r="G4" s="88">
        <v>21.1</v>
      </c>
      <c r="H4" s="88">
        <v>72.8</v>
      </c>
      <c r="I4" s="2"/>
      <c r="K4" s="83" t="s">
        <v>129</v>
      </c>
      <c r="L4" s="83" t="s">
        <v>130</v>
      </c>
      <c r="M4" s="75" t="s">
        <v>125</v>
      </c>
      <c r="N4" s="83" t="s">
        <v>131</v>
      </c>
      <c r="O4" s="83" t="s">
        <v>130</v>
      </c>
      <c r="P4" s="76" t="s">
        <v>125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3">
      <c r="A5" s="2" t="s">
        <v>110</v>
      </c>
      <c r="B5" s="120"/>
      <c r="C5" s="2"/>
      <c r="D5" s="2"/>
      <c r="E5" s="2"/>
      <c r="F5" s="76" t="s">
        <v>119</v>
      </c>
      <c r="G5" s="88">
        <v>21.2</v>
      </c>
      <c r="H5" s="88">
        <v>72.599999999999994</v>
      </c>
      <c r="I5" s="2"/>
      <c r="K5" s="75">
        <v>20.010000000000002</v>
      </c>
      <c r="L5" s="75">
        <v>0.3</v>
      </c>
      <c r="M5" s="75">
        <v>2</v>
      </c>
      <c r="N5" s="75">
        <v>40.01</v>
      </c>
      <c r="O5" s="75">
        <v>-2</v>
      </c>
      <c r="P5" s="47">
        <v>3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3">
      <c r="A6" s="2" t="s">
        <v>112</v>
      </c>
      <c r="B6" s="120"/>
      <c r="C6" s="2"/>
      <c r="D6" s="2"/>
      <c r="E6" s="2"/>
      <c r="F6" s="76" t="s">
        <v>121</v>
      </c>
      <c r="G6" s="85">
        <f>AVERAGE(G4:G5)</f>
        <v>21.15</v>
      </c>
      <c r="H6" s="47">
        <f>AVERAGE(H4:H5)</f>
        <v>72.699999999999989</v>
      </c>
      <c r="I6" s="2"/>
      <c r="K6" s="75">
        <v>25</v>
      </c>
      <c r="L6" s="75">
        <v>0.4</v>
      </c>
      <c r="M6" s="72">
        <v>2</v>
      </c>
      <c r="N6" s="75">
        <v>50.01</v>
      </c>
      <c r="O6" s="75">
        <v>-3</v>
      </c>
      <c r="P6" s="47">
        <v>3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3">
      <c r="A7" s="2" t="s">
        <v>108</v>
      </c>
      <c r="B7" s="88" t="s">
        <v>148</v>
      </c>
      <c r="F7" s="75" t="s">
        <v>124</v>
      </c>
      <c r="G7" s="79">
        <f>G6+FORECAST(G6,L5:L9,K5:K9)</f>
        <v>21.332330189806182</v>
      </c>
      <c r="H7" s="85">
        <f>H6+FORECAST(H6,O5:O9,N5:N9)</f>
        <v>71.431482692251052</v>
      </c>
      <c r="I7" s="2"/>
      <c r="K7" s="75">
        <v>30</v>
      </c>
      <c r="L7" s="75">
        <v>0.5</v>
      </c>
      <c r="M7" s="72">
        <v>2</v>
      </c>
      <c r="N7" s="75">
        <v>60.02</v>
      </c>
      <c r="O7" s="75">
        <v>-1</v>
      </c>
      <c r="P7" s="47">
        <v>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3">
      <c r="A8" s="2" t="s">
        <v>68</v>
      </c>
      <c r="B8" s="88" t="s">
        <v>150</v>
      </c>
      <c r="F8" s="76" t="s">
        <v>125</v>
      </c>
      <c r="G8" s="79">
        <v>2</v>
      </c>
      <c r="H8" s="79">
        <f>FORECAST(H7,P5:P9,N5:N9)</f>
        <v>2.7023274116399643</v>
      </c>
      <c r="I8" s="2"/>
      <c r="K8" s="75">
        <v>35</v>
      </c>
      <c r="L8" s="75">
        <v>1.2</v>
      </c>
      <c r="M8" s="72">
        <v>2</v>
      </c>
      <c r="N8" s="75">
        <v>70</v>
      </c>
      <c r="O8" s="75">
        <v>0</v>
      </c>
      <c r="P8" s="47">
        <v>2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3">
      <c r="A9" s="2" t="s">
        <v>4</v>
      </c>
      <c r="B9" s="88" t="s">
        <v>149</v>
      </c>
      <c r="F9" s="76" t="s">
        <v>126</v>
      </c>
      <c r="G9" s="79">
        <f>(MAX(G4:G5)-G6+G6-MIN(G4:G5))/2</f>
        <v>4.9999999999998934E-2</v>
      </c>
      <c r="H9" s="79">
        <f>(MAX(H4:H5)-H6+H6-MIN(H4:H5))/2</f>
        <v>0.10000000000000142</v>
      </c>
      <c r="I9" s="2"/>
      <c r="K9" s="75">
        <v>40</v>
      </c>
      <c r="L9" s="75">
        <v>1.7</v>
      </c>
      <c r="M9" s="72">
        <v>2</v>
      </c>
      <c r="N9" s="75">
        <v>82</v>
      </c>
      <c r="O9" s="75">
        <v>-2</v>
      </c>
      <c r="P9" s="47">
        <v>3</v>
      </c>
      <c r="Q9" s="2"/>
      <c r="R9" s="2"/>
      <c r="S9" s="3"/>
      <c r="T9" s="2"/>
      <c r="U9" s="2"/>
      <c r="V9" s="2"/>
      <c r="W9" s="2"/>
      <c r="X9" s="2"/>
      <c r="Y9" s="2"/>
      <c r="Z9" s="2"/>
    </row>
    <row r="10" spans="1:26" ht="12.75" customHeight="1" x14ac:dyDescent="0.3">
      <c r="A10" s="2" t="s">
        <v>6</v>
      </c>
      <c r="B10" s="120" t="s">
        <v>151</v>
      </c>
      <c r="C10" s="92" t="s">
        <v>7</v>
      </c>
      <c r="D10" s="2">
        <v>0.01</v>
      </c>
      <c r="E10" s="2" t="s">
        <v>147</v>
      </c>
      <c r="F10" s="76" t="s">
        <v>127</v>
      </c>
      <c r="G10" s="79">
        <f>G8+G9</f>
        <v>2.0499999999999989</v>
      </c>
      <c r="H10" s="79">
        <f>H8+H9</f>
        <v>2.8023274116399657</v>
      </c>
      <c r="I10" s="2"/>
      <c r="M10" s="2"/>
      <c r="O10" s="2"/>
      <c r="P10" s="2"/>
      <c r="Q10" s="2"/>
      <c r="R10" s="2"/>
      <c r="S10" s="3"/>
      <c r="T10" s="2"/>
      <c r="U10" s="2"/>
      <c r="V10" s="2"/>
      <c r="W10" s="2"/>
      <c r="X10" s="2"/>
      <c r="Y10" s="2"/>
      <c r="Z10" s="2"/>
    </row>
    <row r="11" spans="1:26" ht="12.75" customHeight="1" x14ac:dyDescent="0.3">
      <c r="A11" s="2"/>
      <c r="B11" s="87"/>
      <c r="C11" s="2"/>
      <c r="D11" s="2"/>
      <c r="E11" s="2"/>
      <c r="F11" s="82" t="s">
        <v>128</v>
      </c>
      <c r="G11" s="47" t="str">
        <f>FIXED(G7,2) &amp; " ± "&amp;FIXED(G10,2)</f>
        <v>21,33 ± 2,05</v>
      </c>
      <c r="H11" s="47" t="str">
        <f>FIXED(H7,2) &amp; " ± "&amp;FIXED(H10,2)</f>
        <v>71,43 ± 2,80</v>
      </c>
      <c r="I11" s="2"/>
      <c r="M11" s="2"/>
      <c r="O11" s="2"/>
      <c r="P11" s="2"/>
      <c r="Q11" s="2"/>
      <c r="R11" s="2"/>
      <c r="S11" s="3"/>
      <c r="T11" s="2"/>
      <c r="U11" s="2"/>
      <c r="V11" s="2"/>
      <c r="W11" s="2"/>
      <c r="X11" s="2"/>
      <c r="Y11" s="2"/>
      <c r="Z11" s="2"/>
    </row>
    <row r="12" spans="1:26" ht="12.75" customHeight="1" x14ac:dyDescent="0.3">
      <c r="A12" s="2"/>
      <c r="B12" s="87"/>
      <c r="C12" s="2"/>
      <c r="D12" s="2"/>
      <c r="E12" s="2"/>
      <c r="F12" s="118"/>
      <c r="G12" s="119"/>
      <c r="H12" s="119"/>
      <c r="I12" s="2"/>
      <c r="M12" s="2"/>
      <c r="O12" s="2"/>
      <c r="P12" s="2"/>
      <c r="Q12" s="2"/>
      <c r="R12" s="2"/>
      <c r="S12" s="3"/>
      <c r="T12" s="2"/>
      <c r="U12" s="2"/>
      <c r="V12" s="2"/>
      <c r="W12" s="2"/>
      <c r="X12" s="2"/>
      <c r="Y12" s="2"/>
      <c r="Z12" s="2"/>
    </row>
    <row r="13" spans="1:26" ht="12.75" customHeight="1" x14ac:dyDescent="0.3">
      <c r="A13" s="2"/>
      <c r="B13" s="2"/>
      <c r="C13" s="2"/>
      <c r="D13" s="2"/>
      <c r="E13" s="2"/>
      <c r="F13" s="2"/>
      <c r="G13" s="2"/>
      <c r="H13" s="2"/>
      <c r="I13" s="2"/>
      <c r="M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3">
      <c r="A14" s="2"/>
      <c r="B14" s="2"/>
      <c r="C14" s="2"/>
      <c r="D14" s="2"/>
      <c r="E14" s="2"/>
      <c r="F14" s="2"/>
      <c r="G14" s="2" t="s">
        <v>144</v>
      </c>
      <c r="H14" s="2" t="s">
        <v>145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3">
      <c r="A15" s="90" t="s">
        <v>140</v>
      </c>
      <c r="B15" s="2"/>
      <c r="C15" s="2"/>
      <c r="D15" s="2"/>
      <c r="E15" s="2"/>
      <c r="F15" s="2" t="s">
        <v>146</v>
      </c>
      <c r="G15" s="2">
        <v>19.899999999999999</v>
      </c>
      <c r="H15" s="2">
        <f>19.8</f>
        <v>19.8</v>
      </c>
      <c r="I15" s="2" t="s">
        <v>8</v>
      </c>
      <c r="J15" s="2"/>
      <c r="K15" s="2"/>
      <c r="L15" s="2"/>
      <c r="M15" s="2"/>
      <c r="N15" s="2" t="s">
        <v>10</v>
      </c>
      <c r="O15" s="2"/>
      <c r="Q15" s="2" t="s">
        <v>134</v>
      </c>
      <c r="T15" s="2"/>
      <c r="U15" s="2"/>
      <c r="V15" s="2"/>
      <c r="W15" s="2"/>
      <c r="X15" s="2"/>
      <c r="Y15" s="2"/>
      <c r="Z15" s="2"/>
    </row>
    <row r="16" spans="1:26" ht="12.75" customHeight="1" x14ac:dyDescent="0.3">
      <c r="A16" s="112" t="s">
        <v>11</v>
      </c>
      <c r="B16" s="112" t="s">
        <v>12</v>
      </c>
      <c r="C16" s="114" t="s">
        <v>1</v>
      </c>
      <c r="D16" s="115"/>
      <c r="E16" s="115"/>
      <c r="F16" s="115"/>
      <c r="G16" s="115"/>
      <c r="H16" s="116"/>
      <c r="I16" s="117" t="s">
        <v>13</v>
      </c>
      <c r="J16" s="117" t="s">
        <v>14</v>
      </c>
      <c r="K16" s="2">
        <f>Q18</f>
        <v>19.3</v>
      </c>
      <c r="L16" s="3">
        <f>S18</f>
        <v>19.100000000000001</v>
      </c>
      <c r="M16" s="2"/>
      <c r="N16" s="2"/>
      <c r="O16" s="2"/>
      <c r="Q16" s="73" t="s">
        <v>1</v>
      </c>
      <c r="R16" s="47" t="s">
        <v>2</v>
      </c>
      <c r="S16" s="73" t="s">
        <v>3</v>
      </c>
      <c r="T16" s="2"/>
      <c r="U16" s="2"/>
      <c r="V16" s="2"/>
      <c r="W16" s="2"/>
      <c r="X16" s="2"/>
      <c r="Y16" s="2"/>
      <c r="Z16" s="2"/>
    </row>
    <row r="17" spans="1:26" ht="12.75" customHeight="1" x14ac:dyDescent="0.3">
      <c r="A17" s="113"/>
      <c r="B17" s="113"/>
      <c r="C17" s="77" t="s">
        <v>15</v>
      </c>
      <c r="D17" s="5" t="s">
        <v>16</v>
      </c>
      <c r="E17" s="5" t="s">
        <v>17</v>
      </c>
      <c r="F17" s="5" t="s">
        <v>18</v>
      </c>
      <c r="G17" s="5" t="s">
        <v>19</v>
      </c>
      <c r="H17" s="5" t="s">
        <v>20</v>
      </c>
      <c r="I17" s="116"/>
      <c r="J17" s="116"/>
      <c r="K17" s="2">
        <f>AVERAGE(G15,H15)</f>
        <v>19.850000000000001</v>
      </c>
      <c r="L17" s="3">
        <f>(K17-K16)*(L18-L16)/(K18-K16)+L16</f>
        <v>19.680555555555557</v>
      </c>
      <c r="M17" s="2"/>
      <c r="N17" s="3">
        <f>L17-K17</f>
        <v>-0.16944444444444429</v>
      </c>
      <c r="O17" s="2"/>
      <c r="Q17" s="47" t="s">
        <v>5</v>
      </c>
      <c r="R17" s="47" t="s">
        <v>5</v>
      </c>
      <c r="S17" s="47" t="s">
        <v>5</v>
      </c>
      <c r="T17" s="2"/>
      <c r="U17" s="2"/>
      <c r="V17" s="2"/>
      <c r="W17" s="2"/>
      <c r="X17" s="2"/>
      <c r="Y17" s="2"/>
      <c r="Z17" s="2"/>
    </row>
    <row r="18" spans="1:26" ht="12.75" customHeight="1" x14ac:dyDescent="0.3">
      <c r="A18" s="78">
        <v>5.5</v>
      </c>
      <c r="B18" s="79">
        <f>L17</f>
        <v>19.680555555555557</v>
      </c>
      <c r="C18" s="94">
        <v>5.58</v>
      </c>
      <c r="D18" s="94">
        <v>5.55</v>
      </c>
      <c r="E18" s="94">
        <v>5.5</v>
      </c>
      <c r="F18" s="94">
        <v>5.62</v>
      </c>
      <c r="G18" s="93">
        <v>5.66</v>
      </c>
      <c r="H18" s="7">
        <f>AVERAGE(C18:G18)</f>
        <v>5.5819999999999999</v>
      </c>
      <c r="I18" s="8">
        <f>STDEV(C18:G18)</f>
        <v>6.1806148561449857E-2</v>
      </c>
      <c r="J18" s="7">
        <f>A18-H33</f>
        <v>5.5292464433101651</v>
      </c>
      <c r="K18" s="2">
        <f>Q20</f>
        <v>21.1</v>
      </c>
      <c r="L18" s="3">
        <f>S20</f>
        <v>21</v>
      </c>
      <c r="M18" s="2"/>
      <c r="N18" s="2"/>
      <c r="O18" s="2"/>
      <c r="Q18" s="47">
        <v>19.3</v>
      </c>
      <c r="R18" s="47">
        <v>-0.2</v>
      </c>
      <c r="S18" s="47">
        <f>Q18+R18</f>
        <v>19.100000000000001</v>
      </c>
      <c r="T18" s="2"/>
      <c r="U18" s="2"/>
      <c r="V18" s="2"/>
      <c r="W18" s="2"/>
      <c r="X18" s="2"/>
      <c r="Y18" s="2"/>
      <c r="Z18" s="2"/>
    </row>
    <row r="19" spans="1:26" ht="12.75" customHeight="1" x14ac:dyDescent="0.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Q19" s="47">
        <v>20.100000000000001</v>
      </c>
      <c r="R19" s="47">
        <v>-0.2</v>
      </c>
      <c r="S19" s="47">
        <f>Q19+R19</f>
        <v>19.900000000000002</v>
      </c>
      <c r="T19" s="2"/>
      <c r="U19" s="2"/>
      <c r="V19" s="2"/>
      <c r="W19" s="2"/>
      <c r="X19" s="2"/>
      <c r="Y19" s="2"/>
      <c r="Z19" s="2"/>
    </row>
    <row r="20" spans="1:26" ht="12.75" customHeight="1" x14ac:dyDescent="0.3">
      <c r="A20" s="90"/>
      <c r="B20" s="2"/>
      <c r="C20" s="2"/>
      <c r="D20" s="2"/>
      <c r="E20" s="2"/>
      <c r="F20" s="2"/>
      <c r="G20" s="2" t="s">
        <v>9</v>
      </c>
      <c r="H20" s="2">
        <f>AVERAGE(19.9,19.9)</f>
        <v>19.899999999999999</v>
      </c>
      <c r="I20" s="2" t="s">
        <v>8</v>
      </c>
      <c r="J20" s="2"/>
      <c r="K20" s="2"/>
      <c r="L20" s="2"/>
      <c r="M20" s="2"/>
      <c r="N20" s="2"/>
      <c r="O20" s="2"/>
      <c r="Q20" s="47">
        <v>21.1</v>
      </c>
      <c r="R20" s="47">
        <v>-0.1</v>
      </c>
      <c r="S20" s="91">
        <f>Q20+R20</f>
        <v>21</v>
      </c>
      <c r="T20" s="2"/>
      <c r="U20" s="2"/>
      <c r="V20" s="2"/>
      <c r="W20" s="2"/>
      <c r="X20" s="2"/>
      <c r="Y20" s="2"/>
      <c r="Z20" s="2"/>
    </row>
    <row r="21" spans="1:26" ht="12.75" customHeight="1" x14ac:dyDescent="0.3">
      <c r="A21" s="112" t="s">
        <v>11</v>
      </c>
      <c r="B21" s="112" t="s">
        <v>12</v>
      </c>
      <c r="C21" s="114" t="s">
        <v>1</v>
      </c>
      <c r="D21" s="115"/>
      <c r="E21" s="115"/>
      <c r="F21" s="115"/>
      <c r="G21" s="115"/>
      <c r="H21" s="116"/>
      <c r="I21" s="117" t="s">
        <v>13</v>
      </c>
      <c r="J21" s="117" t="s">
        <v>14</v>
      </c>
      <c r="K21" s="2">
        <f>Q18</f>
        <v>19.3</v>
      </c>
      <c r="L21" s="3">
        <f>S18</f>
        <v>19.100000000000001</v>
      </c>
      <c r="M21" s="2"/>
      <c r="N21" s="2"/>
      <c r="O21" s="2"/>
      <c r="P21" s="2"/>
      <c r="Q21" s="72">
        <v>24.2</v>
      </c>
      <c r="R21" s="72">
        <v>-0.2</v>
      </c>
      <c r="S21" s="91">
        <f t="shared" ref="S21:S24" si="0">Q21+R21</f>
        <v>24</v>
      </c>
      <c r="T21" s="2"/>
      <c r="U21" s="2"/>
      <c r="V21" s="2"/>
      <c r="W21" s="2"/>
    </row>
    <row r="22" spans="1:26" ht="12.75" customHeight="1" x14ac:dyDescent="0.3">
      <c r="A22" s="113"/>
      <c r="B22" s="113"/>
      <c r="C22" s="77" t="s">
        <v>15</v>
      </c>
      <c r="D22" s="5" t="s">
        <v>16</v>
      </c>
      <c r="E22" s="5" t="s">
        <v>17</v>
      </c>
      <c r="F22" s="5" t="s">
        <v>18</v>
      </c>
      <c r="G22" s="5" t="s">
        <v>19</v>
      </c>
      <c r="H22" s="5" t="s">
        <v>20</v>
      </c>
      <c r="I22" s="116"/>
      <c r="J22" s="116"/>
      <c r="K22" s="2">
        <f>H20</f>
        <v>19.899999999999999</v>
      </c>
      <c r="L22" s="3">
        <f>(K22-K21)*(L23-L21)/(K23-K21)+L21</f>
        <v>19.733333333333331</v>
      </c>
      <c r="M22" s="2"/>
      <c r="N22" s="3">
        <f>L22-K22</f>
        <v>-0.16666666666666785</v>
      </c>
      <c r="O22" s="2"/>
      <c r="P22" s="2"/>
      <c r="Q22" s="72">
        <v>25.1</v>
      </c>
      <c r="R22" s="72">
        <v>-0.1</v>
      </c>
      <c r="S22" s="91">
        <f t="shared" si="0"/>
        <v>25</v>
      </c>
      <c r="T22" s="2"/>
      <c r="U22" s="2"/>
      <c r="V22" s="2"/>
      <c r="W22" s="2"/>
    </row>
    <row r="23" spans="1:26" ht="12.75" customHeight="1" x14ac:dyDescent="0.3">
      <c r="A23" s="78"/>
      <c r="B23" s="79">
        <f>L22</f>
        <v>19.733333333333331</v>
      </c>
      <c r="C23" s="94"/>
      <c r="D23" s="94"/>
      <c r="E23" s="94"/>
      <c r="F23" s="94"/>
      <c r="G23" s="93"/>
      <c r="H23" s="7" t="e">
        <f>AVERAGE(C23:G23)</f>
        <v>#DIV/0!</v>
      </c>
      <c r="I23" s="6" t="e">
        <f>STDEV(C23:G23)</f>
        <v>#DIV/0!</v>
      </c>
      <c r="J23" s="7">
        <f>A23+R57</f>
        <v>1.0666666666666776E-3</v>
      </c>
      <c r="K23" s="2">
        <f>Q20</f>
        <v>21.1</v>
      </c>
      <c r="L23" s="3">
        <f>S20</f>
        <v>21</v>
      </c>
      <c r="M23" s="2"/>
      <c r="N23" s="2"/>
      <c r="O23" s="2"/>
      <c r="P23" s="2"/>
      <c r="Q23" s="72">
        <v>26.1</v>
      </c>
      <c r="R23" s="72">
        <v>-0.1</v>
      </c>
      <c r="S23" s="91">
        <f t="shared" si="0"/>
        <v>26</v>
      </c>
      <c r="T23" s="2"/>
      <c r="U23" s="2"/>
      <c r="V23" s="2"/>
      <c r="W23" s="2"/>
    </row>
    <row r="24" spans="1:26" ht="12.75" customHeight="1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72">
        <v>30.1</v>
      </c>
      <c r="R24" s="72">
        <v>-0.1</v>
      </c>
      <c r="S24" s="91">
        <f t="shared" si="0"/>
        <v>30</v>
      </c>
      <c r="T24" s="2"/>
      <c r="U24" s="2"/>
      <c r="V24" s="2"/>
      <c r="W24" s="2"/>
      <c r="X24" s="2"/>
      <c r="Y24" s="2"/>
      <c r="Z24" s="2"/>
    </row>
    <row r="25" spans="1:26" ht="12.75" customHeight="1" x14ac:dyDescent="0.3">
      <c r="A25" s="90"/>
      <c r="B25" s="2"/>
      <c r="C25" s="2"/>
      <c r="D25" s="2"/>
      <c r="E25" s="2"/>
      <c r="F25" s="2"/>
      <c r="G25" s="2" t="s">
        <v>9</v>
      </c>
      <c r="H25" s="2">
        <f>AVERAGE(19.9,19.8)</f>
        <v>19.850000000000001</v>
      </c>
      <c r="I25" s="2" t="s">
        <v>8</v>
      </c>
      <c r="J25" s="2"/>
      <c r="K25" s="2"/>
      <c r="L25" s="2"/>
      <c r="M25" s="2"/>
      <c r="N25" s="2"/>
      <c r="O25" s="2"/>
      <c r="P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3">
      <c r="A26" s="112" t="s">
        <v>11</v>
      </c>
      <c r="B26" s="112" t="s">
        <v>12</v>
      </c>
      <c r="C26" s="114" t="s">
        <v>1</v>
      </c>
      <c r="D26" s="115"/>
      <c r="E26" s="115"/>
      <c r="F26" s="115"/>
      <c r="G26" s="115"/>
      <c r="H26" s="116"/>
      <c r="I26" s="117" t="s">
        <v>13</v>
      </c>
      <c r="J26" s="117" t="s">
        <v>14</v>
      </c>
      <c r="K26" s="2">
        <f>Q18</f>
        <v>19.3</v>
      </c>
      <c r="L26" s="3">
        <f>S18</f>
        <v>19.100000000000001</v>
      </c>
      <c r="M26" s="2"/>
      <c r="N26" s="2"/>
      <c r="O26" s="2"/>
      <c r="P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3">
      <c r="A27" s="113"/>
      <c r="B27" s="113"/>
      <c r="C27" s="77" t="s">
        <v>15</v>
      </c>
      <c r="D27" s="5" t="s">
        <v>16</v>
      </c>
      <c r="E27" s="5" t="s">
        <v>17</v>
      </c>
      <c r="F27" s="5" t="s">
        <v>18</v>
      </c>
      <c r="G27" s="5" t="s">
        <v>19</v>
      </c>
      <c r="H27" s="5" t="s">
        <v>20</v>
      </c>
      <c r="I27" s="116"/>
      <c r="J27" s="116"/>
      <c r="K27" s="2">
        <f>H25</f>
        <v>19.850000000000001</v>
      </c>
      <c r="L27" s="3">
        <f>(K27-K26)*(L28-L26)/(K28-K26)+L26</f>
        <v>19.680555555555557</v>
      </c>
      <c r="M27" s="2"/>
      <c r="N27" s="3">
        <f>L27-K27</f>
        <v>-0.16944444444444429</v>
      </c>
      <c r="O27" s="2"/>
      <c r="P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3">
      <c r="A28" s="80"/>
      <c r="B28" s="81">
        <f>L27</f>
        <v>19.680555555555557</v>
      </c>
      <c r="C28" s="95"/>
      <c r="D28" s="94"/>
      <c r="E28" s="94"/>
      <c r="F28" s="94"/>
      <c r="G28" s="93"/>
      <c r="H28" s="7" t="e">
        <f>AVERAGE(C28:G28)</f>
        <v>#DIV/0!</v>
      </c>
      <c r="I28" s="6" t="e">
        <f>STDEV(C28:G28)</f>
        <v>#DIV/0!</v>
      </c>
      <c r="J28" s="7">
        <f>A28+R75</f>
        <v>3.1944444444444303E-3</v>
      </c>
      <c r="K28" s="2">
        <f>Q20</f>
        <v>21.1</v>
      </c>
      <c r="L28" s="3">
        <f>S20</f>
        <v>21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3">
      <c r="A32" s="2"/>
      <c r="B32" s="2"/>
      <c r="C32" s="2"/>
      <c r="D32" s="9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3">
      <c r="A33" s="6" t="s">
        <v>21</v>
      </c>
      <c r="B33" s="5"/>
      <c r="C33" s="2"/>
      <c r="D33" s="6" t="s">
        <v>22</v>
      </c>
      <c r="E33" s="6">
        <v>0.08</v>
      </c>
      <c r="F33" s="2"/>
      <c r="G33" s="6" t="s">
        <v>23</v>
      </c>
      <c r="H33" s="6">
        <f>5.51-((R39/O39)*5.51)</f>
        <v>-2.9246443310165127E-2</v>
      </c>
      <c r="I33" s="2"/>
      <c r="J33" s="2"/>
      <c r="K33" s="2"/>
      <c r="L33" s="2"/>
      <c r="N33" s="2" t="s">
        <v>24</v>
      </c>
      <c r="O33" s="89" t="s">
        <v>141</v>
      </c>
      <c r="P33" s="2"/>
      <c r="Q33" s="2" t="s">
        <v>24</v>
      </c>
      <c r="R33" s="2" t="s">
        <v>25</v>
      </c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3">
      <c r="A34" s="2"/>
      <c r="B34" s="10"/>
      <c r="C34" s="2"/>
      <c r="D34" s="11" t="s">
        <v>26</v>
      </c>
      <c r="E34" s="6">
        <f>0.4</f>
        <v>0.4</v>
      </c>
      <c r="F34" s="2"/>
      <c r="G34" s="2"/>
      <c r="H34" s="2"/>
      <c r="I34" s="2"/>
      <c r="J34" s="2"/>
      <c r="K34" s="2"/>
      <c r="L34" s="2"/>
      <c r="N34">
        <v>15</v>
      </c>
      <c r="O34">
        <v>10.083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3">
      <c r="A35" s="6" t="s">
        <v>27</v>
      </c>
      <c r="B35" s="6">
        <f>D10</f>
        <v>0.01</v>
      </c>
      <c r="C35" s="2"/>
      <c r="D35" s="2"/>
      <c r="E35" s="2"/>
      <c r="F35" s="2"/>
      <c r="G35" s="2"/>
      <c r="H35" s="2"/>
      <c r="I35" s="2"/>
      <c r="J35" s="2"/>
      <c r="K35" s="2"/>
      <c r="L35" s="2"/>
      <c r="N35">
        <v>16</v>
      </c>
      <c r="O35">
        <v>9.8849999999999998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N36">
        <v>17</v>
      </c>
      <c r="O36">
        <v>9.6989999999999998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3">
      <c r="A37" s="2" t="s">
        <v>140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N37">
        <v>18</v>
      </c>
      <c r="O37">
        <v>9.5250000000000004</v>
      </c>
      <c r="P37" s="2"/>
      <c r="Q37" s="2" t="s">
        <v>28</v>
      </c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3">
      <c r="A38" s="12" t="s">
        <v>29</v>
      </c>
      <c r="B38" s="12" t="s">
        <v>30</v>
      </c>
      <c r="C38" s="12" t="s">
        <v>31</v>
      </c>
      <c r="D38" s="12" t="s">
        <v>32</v>
      </c>
      <c r="E38" s="12" t="s">
        <v>33</v>
      </c>
      <c r="F38" s="12" t="s">
        <v>34</v>
      </c>
      <c r="G38" s="13" t="s">
        <v>35</v>
      </c>
      <c r="H38" s="12" t="s">
        <v>36</v>
      </c>
      <c r="I38" s="13" t="s">
        <v>37</v>
      </c>
      <c r="J38" s="13" t="s">
        <v>38</v>
      </c>
      <c r="K38" s="12" t="s">
        <v>39</v>
      </c>
      <c r="L38" s="2"/>
      <c r="N38">
        <v>19</v>
      </c>
      <c r="O38">
        <v>9.3610000000000007</v>
      </c>
      <c r="P38" s="2"/>
      <c r="Q38" s="2">
        <f>IF(Q39&lt;=20,N38,IF(Q39&gt;=20,N39,0))</f>
        <v>19</v>
      </c>
      <c r="R38" s="2">
        <f>VLOOKUP(Q38,$N$34:$O$49,2,FALSE)</f>
        <v>9.3610000000000007</v>
      </c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3">
      <c r="A39" s="14" t="s">
        <v>40</v>
      </c>
      <c r="B39" s="15" t="s">
        <v>41</v>
      </c>
      <c r="C39" s="15" t="s">
        <v>42</v>
      </c>
      <c r="D39" s="16">
        <f>I18</f>
        <v>6.1806148561449857E-2</v>
      </c>
      <c r="E39" s="17">
        <f>SQRT(5)</f>
        <v>2.2360679774997898</v>
      </c>
      <c r="F39" s="15">
        <v>4</v>
      </c>
      <c r="G39" s="15">
        <f t="shared" ref="G39:G43" si="1">D39/E39</f>
        <v>2.7640549922170542E-2</v>
      </c>
      <c r="H39" s="15">
        <v>1</v>
      </c>
      <c r="I39" s="15">
        <f t="shared" ref="I39:I43" si="2">G39*H39</f>
        <v>2.7640549922170542E-2</v>
      </c>
      <c r="J39" s="15">
        <f t="shared" ref="J39:J43" si="3">I39^2</f>
        <v>7.6400000000000198E-4</v>
      </c>
      <c r="K39" s="15">
        <f t="shared" ref="K39:K43" si="4">I39^4/F39</f>
        <v>1.4592400000000074E-7</v>
      </c>
      <c r="L39" s="2"/>
      <c r="N39">
        <v>20</v>
      </c>
      <c r="O39">
        <v>9.2080000000000002</v>
      </c>
      <c r="P39" s="2"/>
      <c r="Q39" s="44">
        <f>B18</f>
        <v>19.680555555555557</v>
      </c>
      <c r="R39" s="2">
        <f>(Q39-Q38)*(R40-R38)/(Q40-Q38)+R38</f>
        <v>9.2568750000000009</v>
      </c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3">
      <c r="A40" s="18" t="s">
        <v>43</v>
      </c>
      <c r="B40" s="15" t="s">
        <v>41</v>
      </c>
      <c r="C40" s="17" t="s">
        <v>44</v>
      </c>
      <c r="D40" s="17">
        <f>E33</f>
        <v>0.08</v>
      </c>
      <c r="E40" s="17">
        <v>2</v>
      </c>
      <c r="F40" s="17">
        <v>60</v>
      </c>
      <c r="G40" s="17">
        <f t="shared" si="1"/>
        <v>0.04</v>
      </c>
      <c r="H40" s="17">
        <v>1</v>
      </c>
      <c r="I40" s="17">
        <f t="shared" si="2"/>
        <v>0.04</v>
      </c>
      <c r="J40" s="17">
        <f t="shared" si="3"/>
        <v>1.6000000000000001E-3</v>
      </c>
      <c r="K40" s="17">
        <f t="shared" si="4"/>
        <v>4.2666666666666665E-8</v>
      </c>
      <c r="L40" s="2"/>
      <c r="N40">
        <v>21</v>
      </c>
      <c r="O40">
        <v>9.0649999999999995</v>
      </c>
      <c r="P40" s="2"/>
      <c r="Q40" s="2">
        <f>IF(Q39&lt;=20,N39,IF(Q39&gt;=20,N40,0))</f>
        <v>20</v>
      </c>
      <c r="R40" s="2">
        <f>VLOOKUP(Q40,$N$34:$O$49,2,FALSE)</f>
        <v>9.2080000000000002</v>
      </c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3">
      <c r="A41" s="18" t="s">
        <v>45</v>
      </c>
      <c r="B41" s="15" t="s">
        <v>41</v>
      </c>
      <c r="C41" s="17" t="s">
        <v>46</v>
      </c>
      <c r="D41" s="17">
        <f>H33</f>
        <v>-2.9246443310165127E-2</v>
      </c>
      <c r="E41" s="17">
        <f t="shared" ref="E41:E42" si="5">SQRT(3)</f>
        <v>1.7320508075688772</v>
      </c>
      <c r="F41" s="17">
        <v>50</v>
      </c>
      <c r="G41" s="17">
        <f t="shared" si="1"/>
        <v>-1.6885441917962967E-2</v>
      </c>
      <c r="H41" s="17">
        <v>1</v>
      </c>
      <c r="I41" s="17">
        <f t="shared" si="2"/>
        <v>-1.6885441917962967E-2</v>
      </c>
      <c r="J41" s="17">
        <f t="shared" si="3"/>
        <v>2.851181487649009E-4</v>
      </c>
      <c r="K41" s="17">
        <f t="shared" si="4"/>
        <v>1.6258471751024834E-9</v>
      </c>
      <c r="L41" s="2"/>
      <c r="N41">
        <v>22</v>
      </c>
      <c r="O41">
        <v>8.9309999999999992</v>
      </c>
      <c r="P41" s="2"/>
      <c r="Q41" s="2" t="str">
        <f>A81</f>
        <v>Pengaruh ketidakpastian Termometer digital</v>
      </c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3">
      <c r="A42" s="18" t="s">
        <v>47</v>
      </c>
      <c r="B42" s="15" t="s">
        <v>41</v>
      </c>
      <c r="C42" s="17" t="s">
        <v>46</v>
      </c>
      <c r="D42" s="17">
        <f>B35/2</f>
        <v>5.0000000000000001E-3</v>
      </c>
      <c r="E42" s="17">
        <f t="shared" si="5"/>
        <v>1.7320508075688772</v>
      </c>
      <c r="F42" s="17">
        <v>50</v>
      </c>
      <c r="G42" s="17">
        <f t="shared" si="1"/>
        <v>2.886751345948129E-3</v>
      </c>
      <c r="H42" s="17">
        <v>1</v>
      </c>
      <c r="I42" s="17">
        <f t="shared" si="2"/>
        <v>2.886751345948129E-3</v>
      </c>
      <c r="J42" s="17">
        <f t="shared" si="3"/>
        <v>8.3333333333333337E-6</v>
      </c>
      <c r="K42" s="17">
        <f t="shared" si="4"/>
        <v>1.3888888888888891E-12</v>
      </c>
      <c r="L42" s="2"/>
      <c r="N42">
        <v>23</v>
      </c>
      <c r="O42">
        <v>8.8059999999999992</v>
      </c>
      <c r="P42" s="2"/>
      <c r="Q42" s="2">
        <v>15</v>
      </c>
      <c r="R42" s="2">
        <f>O38</f>
        <v>9.3610000000000007</v>
      </c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3">
      <c r="A43" s="19" t="s">
        <v>48</v>
      </c>
      <c r="B43" s="20" t="s">
        <v>49</v>
      </c>
      <c r="C43" s="20" t="s">
        <v>42</v>
      </c>
      <c r="D43" s="17">
        <f>E34</f>
        <v>0.4</v>
      </c>
      <c r="E43" s="17">
        <v>2</v>
      </c>
      <c r="F43" s="17">
        <v>60</v>
      </c>
      <c r="G43" s="17">
        <f t="shared" si="1"/>
        <v>0.2</v>
      </c>
      <c r="H43" s="17">
        <f>0.01/5</f>
        <v>2E-3</v>
      </c>
      <c r="I43" s="17">
        <f t="shared" si="2"/>
        <v>4.0000000000000002E-4</v>
      </c>
      <c r="J43" s="17">
        <f t="shared" si="3"/>
        <v>1.6E-7</v>
      </c>
      <c r="K43" s="17">
        <f t="shared" si="4"/>
        <v>4.2666666666666671E-16</v>
      </c>
      <c r="L43" s="2"/>
      <c r="N43">
        <v>24</v>
      </c>
      <c r="O43">
        <v>8.69</v>
      </c>
      <c r="P43" s="2"/>
      <c r="Q43" s="44">
        <f>E34+B18</f>
        <v>20.080555555555556</v>
      </c>
      <c r="R43" s="2">
        <f>(Q43-Q42)*(R44-R42)/(Q44-Q42)+R42</f>
        <v>4.6101725</v>
      </c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3">
      <c r="A44" s="21" t="s">
        <v>50</v>
      </c>
      <c r="B44" s="22"/>
      <c r="C44" s="22"/>
      <c r="D44" s="22"/>
      <c r="E44" s="22"/>
      <c r="F44" s="22"/>
      <c r="G44" s="22"/>
      <c r="H44" s="23"/>
      <c r="I44" s="24"/>
      <c r="J44" s="25">
        <f t="shared" ref="J44:K44" si="6">SUM(J39:J42)</f>
        <v>2.6574514820982362E-3</v>
      </c>
      <c r="K44" s="15">
        <f t="shared" si="6"/>
        <v>1.9021790273065878E-7</v>
      </c>
      <c r="L44" s="2"/>
      <c r="M44" s="2"/>
      <c r="N44">
        <v>25</v>
      </c>
      <c r="O44">
        <v>8.5809999999999995</v>
      </c>
      <c r="P44" s="2"/>
      <c r="Q44" s="2">
        <v>25</v>
      </c>
      <c r="R44" s="2">
        <v>0.01</v>
      </c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3">
      <c r="A45" s="26" t="s">
        <v>51</v>
      </c>
      <c r="B45" s="27"/>
      <c r="C45" s="27"/>
      <c r="D45" s="27"/>
      <c r="E45" s="27"/>
      <c r="F45" s="27"/>
      <c r="G45" s="27"/>
      <c r="H45" s="28"/>
      <c r="I45" s="29"/>
      <c r="J45" s="25">
        <f>SQRT(J44)</f>
        <v>5.1550475090907127E-2</v>
      </c>
      <c r="K45" s="17"/>
      <c r="L45" s="2"/>
      <c r="M45" s="2"/>
      <c r="N45">
        <v>26</v>
      </c>
      <c r="O45">
        <v>8.4809999999999999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3">
      <c r="A46" s="26" t="s">
        <v>52</v>
      </c>
      <c r="B46" s="27"/>
      <c r="C46" s="27"/>
      <c r="D46" s="27"/>
      <c r="E46" s="27"/>
      <c r="F46" s="27"/>
      <c r="G46" s="27"/>
      <c r="H46" s="28"/>
      <c r="I46" s="29"/>
      <c r="J46" s="25">
        <f>J45^4/K44</f>
        <v>37.126097377415107</v>
      </c>
      <c r="K46" s="17"/>
      <c r="L46" s="2"/>
      <c r="M46" s="2"/>
      <c r="N46">
        <v>27</v>
      </c>
      <c r="O46">
        <v>8.3879999999999999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3">
      <c r="A47" s="26" t="s">
        <v>53</v>
      </c>
      <c r="B47" s="27"/>
      <c r="C47" s="27"/>
      <c r="D47" s="27"/>
      <c r="E47" s="27"/>
      <c r="F47" s="27"/>
      <c r="G47" s="27"/>
      <c r="H47" s="28"/>
      <c r="I47" s="29"/>
      <c r="J47" s="25">
        <f>TINV(0.05,J46)</f>
        <v>2.026192463029111</v>
      </c>
      <c r="K47" s="17"/>
      <c r="L47" s="2"/>
      <c r="M47" s="2"/>
      <c r="N47">
        <v>28</v>
      </c>
      <c r="O47">
        <v>8.3030000000000008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3">
      <c r="A48" s="30" t="s">
        <v>54</v>
      </c>
      <c r="B48" s="31"/>
      <c r="C48" s="31"/>
      <c r="D48" s="31"/>
      <c r="E48" s="31"/>
      <c r="F48" s="31"/>
      <c r="G48" s="31"/>
      <c r="H48" s="32"/>
      <c r="I48" s="33"/>
      <c r="J48" s="34">
        <f>J47*J45</f>
        <v>0.10445118409476595</v>
      </c>
      <c r="K48" s="35"/>
      <c r="L48" s="2"/>
      <c r="M48" s="2"/>
      <c r="N48">
        <v>29</v>
      </c>
      <c r="O48">
        <v>8.2240000000000002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3">
      <c r="A49" s="36"/>
      <c r="B49" s="36"/>
      <c r="C49" s="36"/>
      <c r="D49" s="36"/>
      <c r="E49" s="36"/>
      <c r="F49" s="36"/>
      <c r="G49" s="36"/>
      <c r="H49" s="36"/>
      <c r="I49" s="37"/>
      <c r="J49" s="45"/>
      <c r="K49" s="37"/>
      <c r="L49" s="4"/>
      <c r="M49" s="4"/>
      <c r="N49">
        <v>30</v>
      </c>
      <c r="O49">
        <v>8.1519999999999992</v>
      </c>
      <c r="P49" s="4"/>
      <c r="Q49" s="4"/>
      <c r="R49" s="4"/>
      <c r="S49" s="4"/>
      <c r="T49" s="2"/>
      <c r="U49" s="2"/>
      <c r="V49" s="2"/>
      <c r="W49" s="2"/>
      <c r="X49" s="2"/>
      <c r="Y49" s="2"/>
      <c r="Z49" s="2"/>
    </row>
    <row r="50" spans="1:26" ht="12.75" customHeight="1" x14ac:dyDescent="0.3">
      <c r="A50" s="39"/>
      <c r="B50" s="39"/>
      <c r="C50" s="39"/>
      <c r="D50" s="39"/>
      <c r="E50" s="39"/>
      <c r="F50" s="39"/>
      <c r="G50" s="39"/>
      <c r="H50" s="39"/>
      <c r="I50" s="40"/>
      <c r="J50" s="41"/>
      <c r="K50" s="40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3">
      <c r="A51" s="6" t="s">
        <v>21</v>
      </c>
      <c r="B51" s="5">
        <v>5.4772255750515442E-3</v>
      </c>
      <c r="C51" s="2"/>
      <c r="D51" s="11" t="s">
        <v>55</v>
      </c>
      <c r="E51" s="6">
        <v>0.02</v>
      </c>
      <c r="F51" s="2"/>
      <c r="G51" s="6" t="s">
        <v>23</v>
      </c>
      <c r="H51" s="6">
        <f>R57</f>
        <v>1.0666666666666776E-3</v>
      </c>
      <c r="I51" s="40"/>
      <c r="J51" s="41"/>
      <c r="K51" s="40"/>
      <c r="L51" s="2"/>
      <c r="N51" s="2" t="s">
        <v>24</v>
      </c>
      <c r="O51" s="89" t="s">
        <v>137</v>
      </c>
      <c r="P51" s="2"/>
      <c r="Q51" s="2" t="s">
        <v>24</v>
      </c>
      <c r="R51" s="2" t="s">
        <v>25</v>
      </c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3">
      <c r="A52" s="2"/>
      <c r="B52" s="10"/>
      <c r="C52" s="2"/>
      <c r="D52" s="11" t="s">
        <v>58</v>
      </c>
      <c r="E52" s="6">
        <v>0.4</v>
      </c>
      <c r="F52" s="2"/>
      <c r="G52" s="2"/>
      <c r="H52" s="2"/>
      <c r="I52" s="40"/>
      <c r="J52" s="41"/>
      <c r="K52" s="40"/>
      <c r="L52" s="2"/>
      <c r="N52" s="2">
        <v>0</v>
      </c>
      <c r="O52" s="2">
        <v>0.13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3">
      <c r="A53" s="6" t="s">
        <v>27</v>
      </c>
      <c r="B53" s="6">
        <f>D10</f>
        <v>0.01</v>
      </c>
      <c r="C53" s="2"/>
      <c r="D53" s="2"/>
      <c r="E53" s="2"/>
      <c r="F53" s="2"/>
      <c r="G53" s="2"/>
      <c r="H53" s="2"/>
      <c r="I53" s="40"/>
      <c r="J53" s="41"/>
      <c r="K53" s="40"/>
      <c r="L53" s="2"/>
      <c r="N53" s="2">
        <v>5</v>
      </c>
      <c r="O53" s="2">
        <v>7.0000000000000007E-2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N54" s="2">
        <v>10</v>
      </c>
      <c r="O54" s="2">
        <v>0.05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3">
      <c r="A55" s="2" t="s">
        <v>138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N55" s="2">
        <v>15</v>
      </c>
      <c r="O55" s="2">
        <v>0.02</v>
      </c>
      <c r="P55" s="2"/>
      <c r="Q55" s="2" t="s">
        <v>28</v>
      </c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3">
      <c r="A56" s="42" t="s">
        <v>29</v>
      </c>
      <c r="B56" s="42" t="s">
        <v>30</v>
      </c>
      <c r="C56" s="42" t="s">
        <v>31</v>
      </c>
      <c r="D56" s="42" t="s">
        <v>32</v>
      </c>
      <c r="E56" s="42" t="s">
        <v>33</v>
      </c>
      <c r="F56" s="42" t="s">
        <v>34</v>
      </c>
      <c r="G56" s="43" t="s">
        <v>35</v>
      </c>
      <c r="H56" s="42" t="s">
        <v>36</v>
      </c>
      <c r="I56" s="43" t="s">
        <v>37</v>
      </c>
      <c r="J56" s="43" t="s">
        <v>38</v>
      </c>
      <c r="K56" s="42" t="s">
        <v>39</v>
      </c>
      <c r="L56" s="2"/>
      <c r="N56" s="2">
        <v>20</v>
      </c>
      <c r="O56" s="2">
        <v>0</v>
      </c>
      <c r="P56" s="2"/>
      <c r="Q56" s="2">
        <f>N55</f>
        <v>15</v>
      </c>
      <c r="R56" s="2">
        <f>O55</f>
        <v>0.02</v>
      </c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3">
      <c r="A57" s="14" t="s">
        <v>40</v>
      </c>
      <c r="B57" s="15" t="s">
        <v>41</v>
      </c>
      <c r="C57" s="15" t="s">
        <v>42</v>
      </c>
      <c r="D57" s="15" t="e">
        <f>I23</f>
        <v>#DIV/0!</v>
      </c>
      <c r="E57" s="17">
        <f>SQRT(5)</f>
        <v>2.2360679774997898</v>
      </c>
      <c r="F57" s="15">
        <v>4</v>
      </c>
      <c r="G57" s="15" t="e">
        <f t="shared" ref="G57:G61" si="7">D57/E57</f>
        <v>#DIV/0!</v>
      </c>
      <c r="H57" s="15">
        <v>1</v>
      </c>
      <c r="I57" s="15" t="e">
        <f t="shared" ref="I57:I61" si="8">G57*H57</f>
        <v>#DIV/0!</v>
      </c>
      <c r="J57" s="15" t="e">
        <f t="shared" ref="J57:J61" si="9">I57^2</f>
        <v>#DIV/0!</v>
      </c>
      <c r="K57" s="15" t="e">
        <f t="shared" ref="K57:K61" si="10">I57^4/F57</f>
        <v>#DIV/0!</v>
      </c>
      <c r="L57" s="2"/>
      <c r="N57" s="2">
        <v>25</v>
      </c>
      <c r="O57" s="2">
        <v>-0.02</v>
      </c>
      <c r="P57" s="2"/>
      <c r="Q57" s="3">
        <f>B23</f>
        <v>19.733333333333331</v>
      </c>
      <c r="R57" s="2">
        <f>(Q57-Q56)*(R58-R56)/(Q58-Q56)+R56</f>
        <v>1.0666666666666776E-3</v>
      </c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3">
      <c r="A58" s="18" t="s">
        <v>43</v>
      </c>
      <c r="B58" s="15" t="s">
        <v>41</v>
      </c>
      <c r="C58" s="17" t="s">
        <v>44</v>
      </c>
      <c r="D58" s="17">
        <f>E51</f>
        <v>0.02</v>
      </c>
      <c r="E58" s="17">
        <v>2</v>
      </c>
      <c r="F58" s="17">
        <v>60</v>
      </c>
      <c r="G58" s="17">
        <f t="shared" si="7"/>
        <v>0.01</v>
      </c>
      <c r="H58" s="17">
        <v>1</v>
      </c>
      <c r="I58" s="17">
        <f t="shared" si="8"/>
        <v>0.01</v>
      </c>
      <c r="J58" s="17">
        <f t="shared" si="9"/>
        <v>1E-4</v>
      </c>
      <c r="K58" s="17">
        <f t="shared" si="10"/>
        <v>1.6666666666666666E-10</v>
      </c>
      <c r="L58" s="2"/>
      <c r="N58" s="2">
        <v>30</v>
      </c>
      <c r="O58" s="2">
        <v>-0.02</v>
      </c>
      <c r="P58" s="2"/>
      <c r="Q58" s="2">
        <f>N56</f>
        <v>20</v>
      </c>
      <c r="R58" s="2">
        <f>O56</f>
        <v>0</v>
      </c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3">
      <c r="A59" s="18" t="s">
        <v>45</v>
      </c>
      <c r="B59" s="15" t="s">
        <v>41</v>
      </c>
      <c r="C59" s="17" t="s">
        <v>46</v>
      </c>
      <c r="D59" s="17">
        <f>R57</f>
        <v>1.0666666666666776E-3</v>
      </c>
      <c r="E59" s="17">
        <f t="shared" ref="E59:E60" si="11">SQRT(3)</f>
        <v>1.7320508075688772</v>
      </c>
      <c r="F59" s="17">
        <v>50</v>
      </c>
      <c r="G59" s="17">
        <f t="shared" si="7"/>
        <v>6.1584028713560716E-4</v>
      </c>
      <c r="H59" s="17">
        <v>1</v>
      </c>
      <c r="I59" s="17">
        <f t="shared" si="8"/>
        <v>6.1584028713560716E-4</v>
      </c>
      <c r="J59" s="17">
        <f t="shared" si="9"/>
        <v>3.7925925925926708E-7</v>
      </c>
      <c r="K59" s="17">
        <f t="shared" si="10"/>
        <v>2.8767517146777595E-15</v>
      </c>
      <c r="L59" s="2"/>
      <c r="N59" s="2">
        <v>35</v>
      </c>
      <c r="O59" s="2">
        <v>-0.04</v>
      </c>
      <c r="P59" s="2"/>
      <c r="Q59" s="2" t="str">
        <f>A81</f>
        <v>Pengaruh ketidakpastian Termometer digital</v>
      </c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3">
      <c r="A60" s="18" t="s">
        <v>47</v>
      </c>
      <c r="B60" s="15" t="s">
        <v>41</v>
      </c>
      <c r="C60" s="17" t="s">
        <v>46</v>
      </c>
      <c r="D60" s="17">
        <f>B53/2</f>
        <v>5.0000000000000001E-3</v>
      </c>
      <c r="E60" s="17">
        <f t="shared" si="11"/>
        <v>1.7320508075688772</v>
      </c>
      <c r="F60" s="17">
        <v>50</v>
      </c>
      <c r="G60" s="17">
        <f t="shared" si="7"/>
        <v>2.886751345948129E-3</v>
      </c>
      <c r="H60" s="17">
        <v>1</v>
      </c>
      <c r="I60" s="17">
        <f t="shared" si="8"/>
        <v>2.886751345948129E-3</v>
      </c>
      <c r="J60" s="17">
        <f t="shared" si="9"/>
        <v>8.3333333333333337E-6</v>
      </c>
      <c r="K60" s="17">
        <f t="shared" si="10"/>
        <v>1.3888888888888891E-12</v>
      </c>
      <c r="L60" s="2"/>
      <c r="N60" s="2"/>
      <c r="O60" s="2"/>
      <c r="P60" s="2"/>
      <c r="Q60" s="2">
        <v>15</v>
      </c>
      <c r="R60" s="2">
        <f>O55</f>
        <v>0.02</v>
      </c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3">
      <c r="A61" s="19" t="s">
        <v>48</v>
      </c>
      <c r="B61" s="20" t="s">
        <v>49</v>
      </c>
      <c r="C61" s="20" t="s">
        <v>42</v>
      </c>
      <c r="D61" s="2">
        <f>E52</f>
        <v>0.4</v>
      </c>
      <c r="E61" s="2">
        <v>2</v>
      </c>
      <c r="F61" s="20">
        <v>60</v>
      </c>
      <c r="G61" s="17">
        <f t="shared" si="7"/>
        <v>0.2</v>
      </c>
      <c r="H61" s="17">
        <f>0.02/5</f>
        <v>4.0000000000000001E-3</v>
      </c>
      <c r="I61" s="17">
        <f t="shared" si="8"/>
        <v>8.0000000000000004E-4</v>
      </c>
      <c r="J61" s="17">
        <f t="shared" si="9"/>
        <v>6.4000000000000001E-7</v>
      </c>
      <c r="K61" s="17">
        <f t="shared" si="10"/>
        <v>6.8266666666666674E-15</v>
      </c>
      <c r="L61" s="2"/>
      <c r="N61" s="2"/>
      <c r="O61" s="2"/>
      <c r="P61" s="2"/>
      <c r="Q61" s="3">
        <f>B23+E52</f>
        <v>20.133333333333329</v>
      </c>
      <c r="R61" s="2">
        <f>(Q61-Q60)*(R62-R60)/(Q62-Q60)+R60</f>
        <v>-5.3333333333331623E-4</v>
      </c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3">
      <c r="A62" s="21" t="s">
        <v>50</v>
      </c>
      <c r="B62" s="22"/>
      <c r="C62" s="22"/>
      <c r="D62" s="22"/>
      <c r="E62" s="22"/>
      <c r="F62" s="22"/>
      <c r="G62" s="22"/>
      <c r="H62" s="23"/>
      <c r="I62" s="24"/>
      <c r="J62" s="25" t="e">
        <f t="shared" ref="J62:K62" si="12">SUM(J57:J61)</f>
        <v>#DIV/0!</v>
      </c>
      <c r="K62" s="15" t="e">
        <f t="shared" si="12"/>
        <v>#DIV/0!</v>
      </c>
      <c r="L62" s="2"/>
      <c r="M62" s="2"/>
      <c r="N62" s="2"/>
      <c r="O62" s="2"/>
      <c r="P62" s="2"/>
      <c r="Q62" s="2">
        <v>25</v>
      </c>
      <c r="R62" s="2">
        <v>-0.02</v>
      </c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3">
      <c r="A63" s="26" t="s">
        <v>51</v>
      </c>
      <c r="B63" s="27"/>
      <c r="C63" s="27"/>
      <c r="D63" s="27"/>
      <c r="E63" s="27"/>
      <c r="F63" s="27"/>
      <c r="G63" s="27"/>
      <c r="H63" s="28"/>
      <c r="I63" s="29"/>
      <c r="J63" s="25" t="e">
        <f>SQRT(J62)</f>
        <v>#DIV/0!</v>
      </c>
      <c r="K63" s="17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3">
      <c r="A64" s="26" t="s">
        <v>52</v>
      </c>
      <c r="B64" s="27"/>
      <c r="C64" s="27"/>
      <c r="D64" s="27"/>
      <c r="E64" s="27"/>
      <c r="F64" s="27"/>
      <c r="G64" s="27"/>
      <c r="H64" s="28"/>
      <c r="I64" s="29"/>
      <c r="J64" s="25" t="e">
        <f>J63^4/K62</f>
        <v>#DIV/0!</v>
      </c>
      <c r="K64" s="17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3">
      <c r="A65" s="26" t="s">
        <v>53</v>
      </c>
      <c r="B65" s="27"/>
      <c r="C65" s="27"/>
      <c r="D65" s="27"/>
      <c r="E65" s="27"/>
      <c r="F65" s="27"/>
      <c r="G65" s="27"/>
      <c r="H65" s="28"/>
      <c r="I65" s="29"/>
      <c r="J65" s="25" t="e">
        <f>TINV(0.05,J64)</f>
        <v>#DIV/0!</v>
      </c>
      <c r="K65" s="17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3">
      <c r="A66" s="30" t="s">
        <v>54</v>
      </c>
      <c r="B66" s="31"/>
      <c r="C66" s="31"/>
      <c r="D66" s="31"/>
      <c r="E66" s="31"/>
      <c r="F66" s="31"/>
      <c r="G66" s="31"/>
      <c r="H66" s="32"/>
      <c r="I66" s="33"/>
      <c r="J66" s="34" t="e">
        <f>J65*J63</f>
        <v>#DIV/0!</v>
      </c>
      <c r="K66" s="35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3">
      <c r="A67" s="39"/>
      <c r="B67" s="39"/>
      <c r="C67" s="39"/>
      <c r="D67" s="39"/>
      <c r="E67" s="39"/>
      <c r="F67" s="39"/>
      <c r="G67" s="39"/>
      <c r="H67" s="39"/>
      <c r="I67" s="40"/>
      <c r="J67" s="46">
        <v>0.03</v>
      </c>
      <c r="K67" s="40"/>
      <c r="L67" s="4"/>
      <c r="M67" s="4"/>
      <c r="N67" s="4"/>
      <c r="O67" s="4"/>
      <c r="P67" s="4"/>
      <c r="Q67" s="4"/>
      <c r="R67" s="4"/>
      <c r="S67" s="4"/>
      <c r="T67" s="2"/>
      <c r="U67" s="2"/>
      <c r="V67" s="2"/>
      <c r="W67" s="2"/>
      <c r="X67" s="2"/>
      <c r="Y67" s="2"/>
      <c r="Z67" s="2"/>
    </row>
    <row r="68" spans="1:26" ht="12.75" customHeight="1" x14ac:dyDescent="0.3">
      <c r="A68" s="36"/>
      <c r="B68" s="36"/>
      <c r="C68" s="36"/>
      <c r="D68" s="36"/>
      <c r="E68" s="36"/>
      <c r="F68" s="36"/>
      <c r="G68" s="36"/>
      <c r="H68" s="36"/>
      <c r="I68" s="37"/>
      <c r="J68" s="38"/>
      <c r="K68" s="37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3">
      <c r="A69" s="39"/>
      <c r="B69" s="39"/>
      <c r="C69" s="39"/>
      <c r="D69" s="39"/>
      <c r="E69" s="39"/>
      <c r="F69" s="39"/>
      <c r="G69" s="39"/>
      <c r="H69" s="39"/>
      <c r="I69" s="40"/>
      <c r="J69" s="41"/>
      <c r="K69" s="40"/>
      <c r="L69" s="2"/>
      <c r="N69" s="2" t="s">
        <v>24</v>
      </c>
      <c r="O69" s="89" t="s">
        <v>137</v>
      </c>
      <c r="P69" s="2"/>
      <c r="Q69" s="2" t="s">
        <v>24</v>
      </c>
      <c r="R69" s="2" t="s">
        <v>25</v>
      </c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3">
      <c r="A70" s="6" t="s">
        <v>21</v>
      </c>
      <c r="B70" s="5">
        <v>1.0954451150103088E-2</v>
      </c>
      <c r="C70" s="2"/>
      <c r="D70" s="6" t="s">
        <v>57</v>
      </c>
      <c r="E70" s="6">
        <v>0.03</v>
      </c>
      <c r="F70" s="2"/>
      <c r="G70" s="6" t="s">
        <v>23</v>
      </c>
      <c r="H70" s="6">
        <f>R75</f>
        <v>3.1944444444444303E-3</v>
      </c>
      <c r="I70" s="40"/>
      <c r="J70" s="41"/>
      <c r="K70" s="40"/>
      <c r="L70" s="2"/>
      <c r="N70" s="2">
        <v>0</v>
      </c>
      <c r="O70" s="2">
        <v>0.26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3">
      <c r="A71" s="2"/>
      <c r="B71" s="10"/>
      <c r="C71" s="2"/>
      <c r="D71" s="11" t="s">
        <v>56</v>
      </c>
      <c r="E71" s="6">
        <v>0.4</v>
      </c>
      <c r="F71" s="2"/>
      <c r="G71" s="2"/>
      <c r="H71" s="2"/>
      <c r="I71" s="40"/>
      <c r="J71" s="41"/>
      <c r="K71" s="40"/>
      <c r="L71" s="2"/>
      <c r="N71" s="2">
        <v>5</v>
      </c>
      <c r="O71" s="2">
        <v>0.17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3">
      <c r="A72" s="6" t="s">
        <v>27</v>
      </c>
      <c r="B72" s="6">
        <f>D10</f>
        <v>0.01</v>
      </c>
      <c r="C72" s="2"/>
      <c r="D72" s="2"/>
      <c r="E72" s="2"/>
      <c r="F72" s="2"/>
      <c r="G72" s="2"/>
      <c r="H72" s="2"/>
      <c r="I72" s="40"/>
      <c r="J72" s="41"/>
      <c r="K72" s="40"/>
      <c r="L72" s="2"/>
      <c r="N72" s="2">
        <v>10</v>
      </c>
      <c r="O72" s="2">
        <v>0.11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N73" s="2">
        <v>15</v>
      </c>
      <c r="O73" s="2">
        <v>0.05</v>
      </c>
      <c r="P73" s="2"/>
      <c r="Q73" s="2" t="s">
        <v>28</v>
      </c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N74" s="2">
        <v>20</v>
      </c>
      <c r="O74" s="2">
        <v>0</v>
      </c>
      <c r="P74" s="2"/>
      <c r="Q74" s="2">
        <f>N73</f>
        <v>15</v>
      </c>
      <c r="R74" s="2">
        <f>O73</f>
        <v>0.05</v>
      </c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3">
      <c r="A75" s="39" t="s">
        <v>139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N75" s="2">
        <v>25</v>
      </c>
      <c r="O75" s="2">
        <v>-0.06</v>
      </c>
      <c r="P75" s="2"/>
      <c r="Q75" s="3">
        <f>B28</f>
        <v>19.680555555555557</v>
      </c>
      <c r="R75" s="2">
        <f>(Q75-Q74)*(R76-R74)/(Q76-Q74)+R74</f>
        <v>3.1944444444444303E-3</v>
      </c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3">
      <c r="A76" s="42" t="s">
        <v>29</v>
      </c>
      <c r="B76" s="42" t="s">
        <v>30</v>
      </c>
      <c r="C76" s="42" t="s">
        <v>31</v>
      </c>
      <c r="D76" s="42" t="s">
        <v>32</v>
      </c>
      <c r="E76" s="42" t="s">
        <v>33</v>
      </c>
      <c r="F76" s="42" t="s">
        <v>34</v>
      </c>
      <c r="G76" s="43" t="s">
        <v>35</v>
      </c>
      <c r="H76" s="42" t="s">
        <v>36</v>
      </c>
      <c r="I76" s="43" t="s">
        <v>37</v>
      </c>
      <c r="J76" s="43" t="s">
        <v>38</v>
      </c>
      <c r="K76" s="42" t="s">
        <v>39</v>
      </c>
      <c r="L76" s="2"/>
      <c r="N76" s="2"/>
      <c r="O76" s="2"/>
      <c r="P76" s="2"/>
      <c r="Q76" s="2">
        <f>N74</f>
        <v>20</v>
      </c>
      <c r="R76" s="2">
        <f>O74</f>
        <v>0</v>
      </c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3">
      <c r="A77" s="14" t="s">
        <v>40</v>
      </c>
      <c r="B77" s="15" t="s">
        <v>41</v>
      </c>
      <c r="C77" s="15" t="s">
        <v>42</v>
      </c>
      <c r="D77" s="15" t="e">
        <f>I28</f>
        <v>#DIV/0!</v>
      </c>
      <c r="E77" s="17">
        <f>SQRT(5)</f>
        <v>2.2360679774997898</v>
      </c>
      <c r="F77" s="15">
        <v>4</v>
      </c>
      <c r="G77" s="15" t="e">
        <f t="shared" ref="G77:G81" si="13">D77/E77</f>
        <v>#DIV/0!</v>
      </c>
      <c r="H77" s="15">
        <v>1</v>
      </c>
      <c r="I77" s="15" t="e">
        <f t="shared" ref="I77:I81" si="14">G77*H77</f>
        <v>#DIV/0!</v>
      </c>
      <c r="J77" s="15" t="e">
        <f t="shared" ref="J77:J81" si="15">I77^2</f>
        <v>#DIV/0!</v>
      </c>
      <c r="K77" s="15" t="e">
        <f t="shared" ref="K77:K81" si="16">I77^4/F77</f>
        <v>#DIV/0!</v>
      </c>
      <c r="L77" s="2"/>
      <c r="N77" s="2"/>
      <c r="O77" s="2"/>
      <c r="P77" s="2"/>
      <c r="Q77" s="2" t="str">
        <f>A81</f>
        <v>Pengaruh ketidakpastian Termometer digital</v>
      </c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3">
      <c r="A78" s="18" t="s">
        <v>43</v>
      </c>
      <c r="B78" s="15" t="s">
        <v>41</v>
      </c>
      <c r="C78" s="17" t="s">
        <v>44</v>
      </c>
      <c r="D78" s="17">
        <f>E70</f>
        <v>0.03</v>
      </c>
      <c r="E78" s="17">
        <v>2</v>
      </c>
      <c r="F78" s="17">
        <v>60</v>
      </c>
      <c r="G78" s="17">
        <f t="shared" si="13"/>
        <v>1.4999999999999999E-2</v>
      </c>
      <c r="H78" s="17">
        <v>1</v>
      </c>
      <c r="I78" s="17">
        <f t="shared" si="14"/>
        <v>1.4999999999999999E-2</v>
      </c>
      <c r="J78" s="17">
        <f t="shared" si="15"/>
        <v>2.2499999999999999E-4</v>
      </c>
      <c r="K78" s="17">
        <f t="shared" si="16"/>
        <v>8.4375000000000001E-10</v>
      </c>
      <c r="L78" s="2"/>
      <c r="N78" s="2"/>
      <c r="O78" s="2"/>
      <c r="P78" s="2"/>
      <c r="Q78" s="2">
        <f>N74</f>
        <v>20</v>
      </c>
      <c r="R78" s="2">
        <f>O74</f>
        <v>0</v>
      </c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3">
      <c r="A79" s="18" t="s">
        <v>45</v>
      </c>
      <c r="B79" s="15" t="s">
        <v>41</v>
      </c>
      <c r="C79" s="17" t="s">
        <v>46</v>
      </c>
      <c r="D79" s="17">
        <f>R75</f>
        <v>3.1944444444444303E-3</v>
      </c>
      <c r="E79" s="17">
        <f t="shared" ref="E79:E80" si="17">SQRT(3)</f>
        <v>1.7320508075688772</v>
      </c>
      <c r="F79" s="17">
        <v>50</v>
      </c>
      <c r="G79" s="17">
        <f t="shared" si="13"/>
        <v>1.8443133599112965E-3</v>
      </c>
      <c r="H79" s="17">
        <v>1</v>
      </c>
      <c r="I79" s="17">
        <f t="shared" si="14"/>
        <v>1.8443133599112965E-3</v>
      </c>
      <c r="J79" s="17">
        <f t="shared" si="15"/>
        <v>3.4014917695472956E-6</v>
      </c>
      <c r="K79" s="17">
        <f t="shared" si="16"/>
        <v>2.3140292516595985E-13</v>
      </c>
      <c r="L79" s="2"/>
      <c r="N79" s="2"/>
      <c r="O79" s="2"/>
      <c r="P79" s="2"/>
      <c r="Q79" s="3">
        <f>E71+B28</f>
        <v>20.080555555555556</v>
      </c>
      <c r="R79" s="2">
        <f>(Q79-Q78)*(R80-R78)/(Q80-Q78)+R78</f>
        <v>-9.6666666666666841E-4</v>
      </c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3">
      <c r="A80" s="18" t="s">
        <v>47</v>
      </c>
      <c r="B80" s="15" t="s">
        <v>41</v>
      </c>
      <c r="C80" s="17" t="s">
        <v>46</v>
      </c>
      <c r="D80" s="17">
        <f>B72/2</f>
        <v>5.0000000000000001E-3</v>
      </c>
      <c r="E80" s="17">
        <f t="shared" si="17"/>
        <v>1.7320508075688772</v>
      </c>
      <c r="F80" s="17">
        <v>50</v>
      </c>
      <c r="G80" s="17">
        <f t="shared" si="13"/>
        <v>2.886751345948129E-3</v>
      </c>
      <c r="H80" s="17">
        <v>1</v>
      </c>
      <c r="I80" s="17">
        <f t="shared" si="14"/>
        <v>2.886751345948129E-3</v>
      </c>
      <c r="J80" s="17">
        <f t="shared" si="15"/>
        <v>8.3333333333333337E-6</v>
      </c>
      <c r="K80" s="17">
        <f t="shared" si="16"/>
        <v>1.3888888888888891E-12</v>
      </c>
      <c r="L80" s="2"/>
      <c r="M80" s="2"/>
      <c r="N80" s="2"/>
      <c r="O80" s="2"/>
      <c r="P80" s="2"/>
      <c r="Q80" s="2">
        <f>N75</f>
        <v>25</v>
      </c>
      <c r="R80" s="2">
        <f>O75</f>
        <v>-0.06</v>
      </c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3">
      <c r="A81" s="19" t="s">
        <v>48</v>
      </c>
      <c r="B81" s="20" t="s">
        <v>49</v>
      </c>
      <c r="C81" s="20" t="s">
        <v>42</v>
      </c>
      <c r="D81" s="17">
        <f>E71</f>
        <v>0.4</v>
      </c>
      <c r="E81" s="17">
        <v>2</v>
      </c>
      <c r="F81" s="17">
        <v>60</v>
      </c>
      <c r="G81" s="17">
        <f t="shared" si="13"/>
        <v>0.2</v>
      </c>
      <c r="H81" s="17">
        <f>0.05/5</f>
        <v>0.01</v>
      </c>
      <c r="I81" s="17">
        <f t="shared" si="14"/>
        <v>2E-3</v>
      </c>
      <c r="J81" s="17">
        <f t="shared" si="15"/>
        <v>3.9999999999999998E-6</v>
      </c>
      <c r="K81" s="17">
        <f t="shared" si="16"/>
        <v>2.6666666666666667E-13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3">
      <c r="A82" s="21" t="s">
        <v>50</v>
      </c>
      <c r="B82" s="22"/>
      <c r="C82" s="22"/>
      <c r="D82" s="22"/>
      <c r="E82" s="22"/>
      <c r="F82" s="22"/>
      <c r="G82" s="22"/>
      <c r="H82" s="23"/>
      <c r="I82" s="24"/>
      <c r="J82" s="25" t="e">
        <f t="shared" ref="J82:K82" si="18">SUM(J77:J80)</f>
        <v>#DIV/0!</v>
      </c>
      <c r="K82" s="15" t="e">
        <f t="shared" si="18"/>
        <v>#DIV/0!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3">
      <c r="A83" s="26" t="s">
        <v>51</v>
      </c>
      <c r="B83" s="27"/>
      <c r="C83" s="27"/>
      <c r="D83" s="27"/>
      <c r="E83" s="27"/>
      <c r="F83" s="27"/>
      <c r="G83" s="27"/>
      <c r="H83" s="28"/>
      <c r="I83" s="29"/>
      <c r="J83" s="25" t="e">
        <f>SQRT(J82)</f>
        <v>#DIV/0!</v>
      </c>
      <c r="K83" s="17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3">
      <c r="A84" s="26" t="s">
        <v>52</v>
      </c>
      <c r="B84" s="27"/>
      <c r="C84" s="27"/>
      <c r="D84" s="27"/>
      <c r="E84" s="27"/>
      <c r="F84" s="27"/>
      <c r="G84" s="27"/>
      <c r="H84" s="28"/>
      <c r="I84" s="29"/>
      <c r="J84" s="25" t="e">
        <f>J83^4/K82</f>
        <v>#DIV/0!</v>
      </c>
      <c r="K84" s="17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3">
      <c r="A85" s="26" t="s">
        <v>53</v>
      </c>
      <c r="B85" s="27"/>
      <c r="C85" s="27"/>
      <c r="D85" s="27"/>
      <c r="E85" s="27"/>
      <c r="F85" s="27"/>
      <c r="G85" s="27"/>
      <c r="H85" s="28"/>
      <c r="I85" s="29"/>
      <c r="J85" s="25" t="e">
        <f>TINV(0.05,J84)</f>
        <v>#DIV/0!</v>
      </c>
      <c r="K85" s="17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3">
      <c r="A86" s="30" t="s">
        <v>54</v>
      </c>
      <c r="B86" s="31"/>
      <c r="C86" s="31"/>
      <c r="D86" s="31"/>
      <c r="E86" s="31"/>
      <c r="F86" s="31"/>
      <c r="G86" s="31"/>
      <c r="H86" s="32"/>
      <c r="I86" s="33"/>
      <c r="J86" s="34" t="e">
        <f>J85*J83</f>
        <v>#DIV/0!</v>
      </c>
      <c r="K86" s="35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>
        <v>3.6999999999999998E-2</v>
      </c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/>
    <row r="288" spans="1:26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</sheetData>
  <mergeCells count="15">
    <mergeCell ref="A21:A22"/>
    <mergeCell ref="B21:B22"/>
    <mergeCell ref="C21:H21"/>
    <mergeCell ref="I21:I22"/>
    <mergeCell ref="J21:J22"/>
    <mergeCell ref="A26:A27"/>
    <mergeCell ref="B26:B27"/>
    <mergeCell ref="C26:H26"/>
    <mergeCell ref="I26:I27"/>
    <mergeCell ref="J26:J27"/>
    <mergeCell ref="A16:A17"/>
    <mergeCell ref="B16:B17"/>
    <mergeCell ref="C16:H16"/>
    <mergeCell ref="I16:I17"/>
    <mergeCell ref="J16:J17"/>
  </mergeCells>
  <pageMargins left="0.7" right="0.7" top="0.75" bottom="0.75" header="0" footer="0"/>
  <pageSetup orientation="landscape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868DE-9AFD-459A-8197-100251A45775}">
  <dimension ref="D4:F20"/>
  <sheetViews>
    <sheetView workbookViewId="0">
      <selection activeCell="F9" sqref="F9"/>
    </sheetView>
  </sheetViews>
  <sheetFormatPr defaultRowHeight="13.8" x14ac:dyDescent="0.3"/>
  <sheetData>
    <row r="4" spans="4:6" x14ac:dyDescent="0.3">
      <c r="D4" s="2" t="s">
        <v>24</v>
      </c>
      <c r="E4" s="89" t="s">
        <v>141</v>
      </c>
    </row>
    <row r="5" spans="4:6" x14ac:dyDescent="0.3">
      <c r="D5">
        <v>15</v>
      </c>
      <c r="E5">
        <v>10.083</v>
      </c>
      <c r="F5">
        <f t="shared" ref="F5:F9" si="0">E5-9.208</f>
        <v>0.875</v>
      </c>
    </row>
    <row r="6" spans="4:6" x14ac:dyDescent="0.3">
      <c r="D6">
        <v>16</v>
      </c>
      <c r="E6">
        <v>9.8849999999999998</v>
      </c>
      <c r="F6">
        <f t="shared" si="0"/>
        <v>0.6769999999999996</v>
      </c>
    </row>
    <row r="7" spans="4:6" x14ac:dyDescent="0.3">
      <c r="D7">
        <v>17</v>
      </c>
      <c r="E7">
        <v>9.6989999999999998</v>
      </c>
      <c r="F7">
        <f t="shared" si="0"/>
        <v>0.49099999999999966</v>
      </c>
    </row>
    <row r="8" spans="4:6" x14ac:dyDescent="0.3">
      <c r="D8">
        <v>18</v>
      </c>
      <c r="E8">
        <v>9.5250000000000004</v>
      </c>
      <c r="F8">
        <f t="shared" si="0"/>
        <v>0.31700000000000017</v>
      </c>
    </row>
    <row r="9" spans="4:6" x14ac:dyDescent="0.3">
      <c r="D9">
        <v>19</v>
      </c>
      <c r="E9">
        <v>9.3610000000000007</v>
      </c>
      <c r="F9">
        <f t="shared" si="0"/>
        <v>0.15300000000000047</v>
      </c>
    </row>
    <row r="10" spans="4:6" x14ac:dyDescent="0.3">
      <c r="D10">
        <v>20</v>
      </c>
      <c r="E10">
        <v>9.2080000000000002</v>
      </c>
      <c r="F10">
        <f>E10-9.208</f>
        <v>0</v>
      </c>
    </row>
    <row r="11" spans="4:6" x14ac:dyDescent="0.3">
      <c r="D11">
        <v>21</v>
      </c>
      <c r="E11">
        <v>9.0649999999999995</v>
      </c>
      <c r="F11">
        <f t="shared" ref="F11:F20" si="1">E11-9.208</f>
        <v>-0.14300000000000068</v>
      </c>
    </row>
    <row r="12" spans="4:6" x14ac:dyDescent="0.3">
      <c r="D12">
        <v>22</v>
      </c>
      <c r="E12">
        <v>8.9309999999999992</v>
      </c>
      <c r="F12">
        <f t="shared" si="1"/>
        <v>-0.27700000000000102</v>
      </c>
    </row>
    <row r="13" spans="4:6" x14ac:dyDescent="0.3">
      <c r="D13">
        <v>23</v>
      </c>
      <c r="E13">
        <v>8.8059999999999992</v>
      </c>
      <c r="F13">
        <f t="shared" si="1"/>
        <v>-0.40200000000000102</v>
      </c>
    </row>
    <row r="14" spans="4:6" x14ac:dyDescent="0.3">
      <c r="D14">
        <v>24</v>
      </c>
      <c r="E14">
        <v>8.69</v>
      </c>
      <c r="F14">
        <f t="shared" si="1"/>
        <v>-0.51800000000000068</v>
      </c>
    </row>
    <row r="15" spans="4:6" x14ac:dyDescent="0.3">
      <c r="D15">
        <v>25</v>
      </c>
      <c r="E15">
        <v>8.5809999999999995</v>
      </c>
      <c r="F15">
        <f t="shared" si="1"/>
        <v>-0.62700000000000067</v>
      </c>
    </row>
    <row r="16" spans="4:6" x14ac:dyDescent="0.3">
      <c r="D16">
        <v>26</v>
      </c>
      <c r="E16">
        <v>8.4809999999999999</v>
      </c>
      <c r="F16">
        <f t="shared" si="1"/>
        <v>-0.72700000000000031</v>
      </c>
    </row>
    <row r="17" spans="4:6" x14ac:dyDescent="0.3">
      <c r="D17">
        <v>27</v>
      </c>
      <c r="E17">
        <v>8.3879999999999999</v>
      </c>
      <c r="F17">
        <f t="shared" si="1"/>
        <v>-0.82000000000000028</v>
      </c>
    </row>
    <row r="18" spans="4:6" x14ac:dyDescent="0.3">
      <c r="D18">
        <v>28</v>
      </c>
      <c r="E18">
        <v>8.3030000000000008</v>
      </c>
      <c r="F18">
        <f t="shared" si="1"/>
        <v>-0.90499999999999936</v>
      </c>
    </row>
    <row r="19" spans="4:6" x14ac:dyDescent="0.3">
      <c r="D19">
        <v>29</v>
      </c>
      <c r="E19">
        <v>8.2240000000000002</v>
      </c>
      <c r="F19">
        <f t="shared" si="1"/>
        <v>-0.98399999999999999</v>
      </c>
    </row>
    <row r="20" spans="4:6" x14ac:dyDescent="0.3">
      <c r="D20">
        <v>30</v>
      </c>
      <c r="E20">
        <v>8.1519999999999992</v>
      </c>
      <c r="F20">
        <f t="shared" si="1"/>
        <v>-1.0560000000000009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Sertifikat</vt:lpstr>
      <vt:lpstr>Budget DO meter</vt:lpstr>
      <vt:lpstr>Sheet1</vt:lpstr>
      <vt:lpstr>Sertifikat!Print_Area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Wira Akira</dc:creator>
  <cp:lastModifiedBy>Athalla Abhiyoga</cp:lastModifiedBy>
  <cp:lastPrinted>2025-09-02T06:14:19Z</cp:lastPrinted>
  <dcterms:created xsi:type="dcterms:W3CDTF">2024-12-16T04:24:33Z</dcterms:created>
  <dcterms:modified xsi:type="dcterms:W3CDTF">2025-12-15T13:47:49Z</dcterms:modified>
</cp:coreProperties>
</file>